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Capstone2\"/>
    </mc:Choice>
  </mc:AlternateContent>
  <xr:revisionPtr revIDLastSave="0" documentId="8_{07C6D1A6-E7F1-4802-AB6B-A883FBDD7DF6}" xr6:coauthVersionLast="47" xr6:coauthVersionMax="47" xr10:uidLastSave="{00000000-0000-0000-0000-000000000000}"/>
  <bookViews>
    <workbookView xWindow="4800" yWindow="980" windowWidth="14400" windowHeight="7270" xr2:uid="{00000000-000D-0000-FFFF-FFFF00000000}"/>
  </bookViews>
  <sheets>
    <sheet name="Recurrent Expenditure" sheetId="1" r:id="rId1"/>
    <sheet name="MDAs Development Expendi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726" i="1" l="1"/>
  <c r="AH726" i="1"/>
  <c r="Y726" i="1"/>
  <c r="S726" i="1"/>
  <c r="O726" i="1"/>
  <c r="N726" i="1"/>
  <c r="K726" i="1"/>
  <c r="J726" i="1"/>
  <c r="I726" i="1"/>
  <c r="H726" i="1"/>
  <c r="G726" i="1"/>
  <c r="F726" i="1"/>
  <c r="D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Y685" i="1"/>
  <c r="S685" i="1"/>
  <c r="O685" i="1"/>
  <c r="N685" i="1"/>
  <c r="L685" i="1"/>
  <c r="K685" i="1"/>
  <c r="J685" i="1"/>
  <c r="I685" i="1"/>
  <c r="H685" i="1"/>
  <c r="G685" i="1"/>
  <c r="D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0" i="1"/>
  <c r="AL659" i="1"/>
  <c r="AL658" i="1"/>
  <c r="AL657" i="1"/>
  <c r="AL656" i="1"/>
  <c r="AL655" i="1"/>
  <c r="AL654" i="1"/>
  <c r="AL653" i="1"/>
  <c r="AL652" i="1"/>
  <c r="AL651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K635" i="1"/>
  <c r="Y635" i="1"/>
  <c r="S635" i="1"/>
  <c r="O635" i="1"/>
  <c r="N635" i="1"/>
  <c r="L635" i="1"/>
  <c r="K635" i="1"/>
  <c r="J635" i="1"/>
  <c r="I635" i="1"/>
  <c r="H635" i="1"/>
  <c r="G635" i="1"/>
  <c r="D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K583" i="1"/>
  <c r="AJ583" i="1"/>
  <c r="Y583" i="1"/>
  <c r="S583" i="1"/>
  <c r="O583" i="1"/>
  <c r="N583" i="1"/>
  <c r="L583" i="1"/>
  <c r="K583" i="1"/>
  <c r="J583" i="1"/>
  <c r="I583" i="1"/>
  <c r="H583" i="1"/>
  <c r="G583" i="1"/>
  <c r="D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K517" i="1"/>
  <c r="AJ517" i="1"/>
  <c r="AG517" i="1"/>
  <c r="Y517" i="1"/>
  <c r="S517" i="1"/>
  <c r="O517" i="1"/>
  <c r="N517" i="1"/>
  <c r="L517" i="1"/>
  <c r="K517" i="1"/>
  <c r="J517" i="1"/>
  <c r="I517" i="1"/>
  <c r="H517" i="1"/>
  <c r="G517" i="1"/>
  <c r="D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K451" i="1"/>
  <c r="AJ451" i="1"/>
  <c r="AG451" i="1"/>
  <c r="Y451" i="1"/>
  <c r="S451" i="1"/>
  <c r="O451" i="1"/>
  <c r="N451" i="1"/>
  <c r="L451" i="1"/>
  <c r="K451" i="1"/>
  <c r="J451" i="1"/>
  <c r="I451" i="1"/>
  <c r="H451" i="1"/>
  <c r="G451" i="1"/>
  <c r="D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K377" i="1"/>
  <c r="AJ377" i="1"/>
  <c r="AG377" i="1"/>
  <c r="Y377" i="1"/>
  <c r="S377" i="1"/>
  <c r="O377" i="1"/>
  <c r="N377" i="1"/>
  <c r="L377" i="1"/>
  <c r="K377" i="1"/>
  <c r="J377" i="1"/>
  <c r="I377" i="1"/>
  <c r="H377" i="1"/>
  <c r="G377" i="1"/>
  <c r="D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K305" i="1"/>
  <c r="AJ305" i="1"/>
  <c r="AG305" i="1"/>
  <c r="Y305" i="1"/>
  <c r="S305" i="1"/>
  <c r="O305" i="1"/>
  <c r="N305" i="1"/>
  <c r="L305" i="1"/>
  <c r="K305" i="1"/>
  <c r="J305" i="1"/>
  <c r="I305" i="1"/>
  <c r="H305" i="1"/>
  <c r="G305" i="1"/>
  <c r="D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K236" i="1"/>
  <c r="AJ236" i="1"/>
  <c r="AG236" i="1"/>
  <c r="Y236" i="1"/>
  <c r="S236" i="1"/>
  <c r="O236" i="1"/>
  <c r="N236" i="1"/>
  <c r="L236" i="1"/>
  <c r="K236" i="1"/>
  <c r="J236" i="1"/>
  <c r="I236" i="1"/>
  <c r="H236" i="1"/>
  <c r="G236" i="1"/>
  <c r="D236" i="1"/>
  <c r="AL166" i="1"/>
  <c r="AK166" i="1"/>
  <c r="AJ166" i="1"/>
  <c r="AE166" i="1"/>
  <c r="AD166" i="1"/>
  <c r="AC166" i="1"/>
  <c r="AB166" i="1"/>
  <c r="AA166" i="1"/>
  <c r="Z166" i="1"/>
  <c r="Y166" i="1"/>
  <c r="X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AL83" i="1"/>
  <c r="AK83" i="1"/>
  <c r="AJ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AL451" i="1" l="1"/>
  <c r="AL305" i="1"/>
  <c r="AL726" i="1"/>
  <c r="AL583" i="1"/>
  <c r="AL377" i="1"/>
  <c r="AL685" i="1"/>
  <c r="AL635" i="1"/>
  <c r="AL5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21" authorId="0" shapeId="0" xr:uid="{00000000-0006-0000-0000-000001000000}">
      <text>
        <r>
          <rPr>
            <sz val="10"/>
            <color rgb="FF000000"/>
            <rFont val="Arial"/>
            <scheme val="minor"/>
          </rPr>
          <t>cleaning needed here @chepwin12@gmail.com
	-Felix Kiprono</t>
        </r>
      </text>
    </comment>
  </commentList>
</comments>
</file>

<file path=xl/sharedStrings.xml><?xml version="1.0" encoding="utf-8"?>
<sst xmlns="http://schemas.openxmlformats.org/spreadsheetml/2006/main" count="6380" uniqueCount="1576">
  <si>
    <t>Ministry/State Department</t>
  </si>
  <si>
    <t>MDA_cleaned</t>
  </si>
  <si>
    <t>Year</t>
  </si>
  <si>
    <t>Compensation of Employess</t>
  </si>
  <si>
    <t>Utilities,
 Supplies
 and
 Services</t>
  </si>
  <si>
    <t>Com-
 muni-
 cation,
 Supplies
 and
 Services</t>
  </si>
  <si>
    <t>Domestic
 Travel</t>
  </si>
  <si>
    <t>Foreign
 Travel</t>
  </si>
  <si>
    <t>Printing
 and
 Advertis-
 ing</t>
  </si>
  <si>
    <t>Rentals
 and Rates-
 Non-Resi-
 dential</t>
  </si>
  <si>
    <t>Training</t>
  </si>
  <si>
    <t>Hospi-
 tality</t>
  </si>
  <si>
    <t>Spe-
 cialised
 Materi-
 als and
 Supplies</t>
  </si>
  <si>
    <t>Main-
 tenance
 Ex-
 penses-
 Motor
 Vehicles</t>
  </si>
  <si>
    <t>Main-
 tenance
 Expens-
 es-Other
 Assets</t>
  </si>
  <si>
    <t>Insurance Cost</t>
  </si>
  <si>
    <t>Office and Genral Supplies and Services</t>
  </si>
  <si>
    <t>Fuel Oil and Lubricants</t>
  </si>
  <si>
    <t>Other
 Expenses</t>
  </si>
  <si>
    <t>Subsidies
 to Public
 Corpora-
 tions</t>
  </si>
  <si>
    <t>Subsidies
 to Private
 enterprise</t>
  </si>
  <si>
    <t>Social Security Benefits(Kshs. Billion)</t>
  </si>
  <si>
    <t xml:space="preserve">Grants
 and
 Other
 Trans-
 fers </t>
  </si>
  <si>
    <t>Grants and other Transfers to internal organizations</t>
  </si>
  <si>
    <t>Current Transfers (Grants and other Transfer to other Government Units)</t>
  </si>
  <si>
    <t>Other Transfers and Emergency Releif</t>
  </si>
  <si>
    <t>Acqui-
 sition of
 Financial
 Assets</t>
  </si>
  <si>
    <t>Refubrishment of Buildings</t>
  </si>
  <si>
    <t>Pur-
 chase of
 Vehicles
 and
 Other
 Trans-
 port
 Equip-
 ment</t>
  </si>
  <si>
    <t>Pur-
 chase of
 Office
 Furni-
 ture and
 General
 Equip-
 ment</t>
  </si>
  <si>
    <t>Purchase of
 Specialised
 Plant,
 Equipment
 and Ma-
 chinery</t>
  </si>
  <si>
    <t xml:space="preserve">Acquisition of Non-Financial Assets </t>
  </si>
  <si>
    <t>Legal Fees</t>
  </si>
  <si>
    <t>Purchase of Motor Vehicles</t>
  </si>
  <si>
    <t>Scholarships and Other Educational Benefits</t>
  </si>
  <si>
    <t>Gross Expenditure</t>
  </si>
  <si>
    <t>(A-I-A)</t>
  </si>
  <si>
    <t>Net Expenditure</t>
  </si>
  <si>
    <t>The Executive
 Office of the
 President</t>
  </si>
  <si>
    <t>The Executive Office of the President</t>
  </si>
  <si>
    <t>2023/2024</t>
  </si>
  <si>
    <t>-</t>
  </si>
  <si>
    <t>Office of the Dep-
 uty President</t>
  </si>
  <si>
    <t>Office of the Deputy President</t>
  </si>
  <si>
    <t>Office of the
 Prime Cabinet
 Secretary</t>
  </si>
  <si>
    <t>Office of the Prime Cabinet Secretary</t>
  </si>
  <si>
    <t>State Department
 for Parliamentary
 Affairs</t>
  </si>
  <si>
    <t>State Department for Parliamentary Affairs</t>
  </si>
  <si>
    <t>State Department
 for Performance
 and Delivery
 Management</t>
  </si>
  <si>
    <t>State Department for Performance and Delivery Management</t>
  </si>
  <si>
    <t>State Department
 for Cabinet
 Affairs</t>
  </si>
  <si>
    <t>State Department for Cabinet Affairs</t>
  </si>
  <si>
    <t>State House</t>
  </si>
  <si>
    <t>State Department
 for Correctional
 Services</t>
  </si>
  <si>
    <t>State Department for Correctional Services</t>
  </si>
  <si>
    <t>State Department
 for Immigration
 and Citizen
 Services</t>
  </si>
  <si>
    <t>State Department for Immigration and Citizen Services</t>
  </si>
  <si>
    <t>National Police
 Service</t>
  </si>
  <si>
    <t>National Police Service</t>
  </si>
  <si>
    <t>State Department
 for Internal Secu-
 rity and National
 Administration</t>
  </si>
  <si>
    <t>State Department for Internal Security and National Administration</t>
  </si>
  <si>
    <t>State Department
 of Devolution</t>
  </si>
  <si>
    <t>State Department of Devolution</t>
  </si>
  <si>
    <t>State Department
 for the ASALs
 and Regional
 Development</t>
  </si>
  <si>
    <t>State Department for the ASALs and Regional Development</t>
  </si>
  <si>
    <t>Ministry of
 Defence</t>
  </si>
  <si>
    <t>Ministry of Defence</t>
  </si>
  <si>
    <t>State Department
 for Foreign
 Affairs</t>
  </si>
  <si>
    <t>State Department for Foreign Affairs</t>
  </si>
  <si>
    <t>State Department
 for Diaspora
 Affairs</t>
  </si>
  <si>
    <t>State Department for Diaspora Affairs</t>
  </si>
  <si>
    <t>State Department
 for Vocational
 and Technical
 Training</t>
  </si>
  <si>
    <t>State Department for Vocational and Technical Training</t>
  </si>
  <si>
    <t>State Department for Higher Education and Research</t>
  </si>
  <si>
    <t>State Department
 for Basic
 Education</t>
  </si>
  <si>
    <t>State Department for Basic Education</t>
  </si>
  <si>
    <t>The National
 Treasury</t>
  </si>
  <si>
    <t>The National Treasury</t>
  </si>
  <si>
    <t>State Department
 of Economic
 Planning</t>
  </si>
  <si>
    <t>State Department of Economic Planning</t>
  </si>
  <si>
    <t>State Department
 for Medical
 Services</t>
  </si>
  <si>
    <t>State Department for Medical Services</t>
  </si>
  <si>
    <t>State Department
 for Public Health
 and Professional
 Standards</t>
  </si>
  <si>
    <t>State Department for Public Health and Professional Standards</t>
  </si>
  <si>
    <t>State Department
 for Roads</t>
  </si>
  <si>
    <t>State Department for Roads</t>
  </si>
  <si>
    <t>State Department
 of Transport</t>
  </si>
  <si>
    <t>State Department of Transport</t>
  </si>
  <si>
    <t>State Department
 for Shipping and
 Maritime Affairs</t>
  </si>
  <si>
    <t>State Department for Shipping and Maritime Affairs</t>
  </si>
  <si>
    <t>State Department
 for Housing and
 Urban Devel-
 opment</t>
  </si>
  <si>
    <t>State Department for Housing and Urban Development</t>
  </si>
  <si>
    <t>State Department
 for Public Works</t>
  </si>
  <si>
    <t>State Department for Public Works</t>
  </si>
  <si>
    <t>State Department
 for Irrigation</t>
  </si>
  <si>
    <t>State Department for Irrigation</t>
  </si>
  <si>
    <t>State Department
 of Water and
 Sanitation</t>
  </si>
  <si>
    <t>State Department of Water and Sanitation</t>
  </si>
  <si>
    <t>State Department
 for Lands and
 Physical Planning</t>
  </si>
  <si>
    <t>State Department for Lands and Physical Planning</t>
  </si>
  <si>
    <t>State Department
 for Information
 Communications
 Technology and
 Digital Economy</t>
  </si>
  <si>
    <t>State Department for Information Communications Technology and Digital Economy</t>
  </si>
  <si>
    <t>State Department
 for Broadcasting
 and Telecommu-
 nications</t>
  </si>
  <si>
    <t>State Department for Broadcasting and Telecommunications</t>
  </si>
  <si>
    <t>State Department
 for Sports</t>
  </si>
  <si>
    <t>State Department for Sports</t>
  </si>
  <si>
    <t>State Department
 for Culture and
 Heritage</t>
  </si>
  <si>
    <t>State Department for Culture and Heritage</t>
  </si>
  <si>
    <t>State Department
 for Youth Affairs
 and the Arts</t>
  </si>
  <si>
    <t>State Department for Youth Affairs and the Arts</t>
  </si>
  <si>
    <t>State Department
 for Energy</t>
  </si>
  <si>
    <t>State Department for Energy</t>
  </si>
  <si>
    <t>State Department
 for Livestock
 Development</t>
  </si>
  <si>
    <t>State Department for Livestock Development</t>
  </si>
  <si>
    <t>State Department
 for the Blue
 Economy and
 Fisheries</t>
  </si>
  <si>
    <t>State Department for the Blue Economy and Fisheries</t>
  </si>
  <si>
    <t>State Department
 for Crop Devel-
 opment</t>
  </si>
  <si>
    <t>State Department for Crop Development</t>
  </si>
  <si>
    <t>State Department
 for Cooperatives</t>
  </si>
  <si>
    <t>State Department for Cooperatives</t>
  </si>
  <si>
    <t>State Department
 for Trade</t>
  </si>
  <si>
    <t>State Department for Trade</t>
  </si>
  <si>
    <t>State Department
 for Industry</t>
  </si>
  <si>
    <t>State Department for Industry</t>
  </si>
  <si>
    <t>State Department
 for Micro, Small
 and Medium
 Enterprises
 Development</t>
  </si>
  <si>
    <t>State Department for Micro, Small and Medium Enterprises Development</t>
  </si>
  <si>
    <t>State Department
 for Investment
 Promotion</t>
  </si>
  <si>
    <t>State Department for Investment Promotion</t>
  </si>
  <si>
    <t>State Department
 for Labour and
 Skills Develop-
 ment</t>
  </si>
  <si>
    <t>State Department for Labour and Skills Development</t>
  </si>
  <si>
    <t>State Department
 for Social Protec-
 tion and Senior
 Citizen Affairs</t>
  </si>
  <si>
    <t>State Department for Social Protection and Senior Citizen Affairs</t>
  </si>
  <si>
    <t>State Department
 for Mining</t>
  </si>
  <si>
    <t>State Department for Mining</t>
  </si>
  <si>
    <t>State Department
 for Petroleum</t>
  </si>
  <si>
    <t>State Department for Petroleum</t>
  </si>
  <si>
    <t>State Department
 for Tourism</t>
  </si>
  <si>
    <t>State Department for Tourism</t>
  </si>
  <si>
    <t>State Department
 for Wildlife</t>
  </si>
  <si>
    <t>State Department for Wildlife</t>
  </si>
  <si>
    <t>State Department
 for Gender and
 Affirmative
 Action</t>
  </si>
  <si>
    <t>State Department for Gender and Affirmative Action</t>
  </si>
  <si>
    <t>State Department
 for Public Service</t>
  </si>
  <si>
    <t>State Department for Public Service</t>
  </si>
  <si>
    <t>State Department
 for East African
 Community</t>
  </si>
  <si>
    <t>State Department for East African Community</t>
  </si>
  <si>
    <t>The State Law
 Office</t>
  </si>
  <si>
    <t>The State Law Office</t>
  </si>
  <si>
    <t>The Judiciary</t>
  </si>
  <si>
    <t>Ethics and
 Anti-Corruption
 Commission</t>
  </si>
  <si>
    <t>Ethics and Anti-Corruption Commission</t>
  </si>
  <si>
    <t>National Intelli-
 gence Service</t>
  </si>
  <si>
    <t>National Intelligence Service</t>
  </si>
  <si>
    <t>Office of the
 Director of Public
 Prosecutions</t>
  </si>
  <si>
    <t>Office of the Director of Public Prosecutions</t>
  </si>
  <si>
    <t>Office of the Reg-
 istrar of Political
 Parties</t>
  </si>
  <si>
    <t>Office of the Registrar of Political Parties</t>
  </si>
  <si>
    <t>Witness Protec-
 tion Agency</t>
  </si>
  <si>
    <t>Witness Protection Agency</t>
  </si>
  <si>
    <t>State Department
 for Environment
 and Climate
 Change</t>
  </si>
  <si>
    <t>State Department for Environment and Climate Change</t>
  </si>
  <si>
    <t>State Department
 for Forestry</t>
  </si>
  <si>
    <t>State Department for Forestry</t>
  </si>
  <si>
    <t>Kenya National
 Commission on
 Human Rights</t>
  </si>
  <si>
    <t>Kenya National Commission on Human Rights</t>
  </si>
  <si>
    <t>National Land
 Commission</t>
  </si>
  <si>
    <t>National Land Commission</t>
  </si>
  <si>
    <t>Independent
 Electoral and
 Boundaries
 Commission</t>
  </si>
  <si>
    <t>Independent Electoral and Boundaries Commission</t>
  </si>
  <si>
    <t>Parliamentary
 Service Com-
 mission</t>
  </si>
  <si>
    <t>Parliamentary Service Commission</t>
  </si>
  <si>
    <t/>
  </si>
  <si>
    <t>Parliamentary
 Joint Services</t>
  </si>
  <si>
    <t>Parliamentary Joint Services</t>
  </si>
  <si>
    <t>Senate</t>
  </si>
  <si>
    <t>Judicial Service
 Commission</t>
  </si>
  <si>
    <t>Judicial Service Commission</t>
  </si>
  <si>
    <t>The Commission
 on Revenue
 Allocation</t>
  </si>
  <si>
    <t>The Commission on Revenue Allocation</t>
  </si>
  <si>
    <t>#VAL-
 UE!</t>
  </si>
  <si>
    <t>Public Service
 Commission</t>
  </si>
  <si>
    <t>Public Service Commission</t>
  </si>
  <si>
    <t>Salaries and
 Remuneration
 Commission</t>
  </si>
  <si>
    <t>Salaries and Remuneration Commission</t>
  </si>
  <si>
    <t>Teachers Service
 Commission</t>
  </si>
  <si>
    <t>Teachers Service Commission</t>
  </si>
  <si>
    <t>National Police
 Service Com-
 mission</t>
  </si>
  <si>
    <t>National Police Service Commission</t>
  </si>
  <si>
    <t>Auditor General</t>
  </si>
  <si>
    <t>Controller of
 Budget</t>
  </si>
  <si>
    <t>Controller of Budget</t>
  </si>
  <si>
    <t>The Commission
 on Administrative
 Justice</t>
  </si>
  <si>
    <t>The Commission on Administrative Justice</t>
  </si>
  <si>
    <t>The Gender and Equality
 Commission</t>
  </si>
  <si>
    <t>The Gender and Equality Commission</t>
  </si>
  <si>
    <t>Independent Police Oversight Authority</t>
  </si>
  <si>
    <t>Total</t>
  </si>
  <si>
    <t>The
 Executive
 Office of
 the Presi-
 dent</t>
  </si>
  <si>
    <t>2022/2023</t>
  </si>
  <si>
    <t>Office
 of the
 Deputy
 President</t>
  </si>
  <si>
    <t>Office of
 the Prime
 Cabinet
 Secretary</t>
  </si>
  <si>
    <t>State
 Depart-
 ment for
 Interior</t>
  </si>
  <si>
    <t>State Department for Interior</t>
  </si>
  <si>
    <t>State De-
 partment
 for Cor-
 rectional
 Services</t>
  </si>
  <si>
    <t>State
 Depart-
 ment for
 Internal
 Security
 and
 National
 Adminis-
 tration</t>
  </si>
  <si>
    <t>State
 Depart-
 ment for
 Immigra-
 tion nd
 Citizen
 Services</t>
  </si>
  <si>
    <t>State
 Depart-
 ment for
 Devolu-
 tion</t>
  </si>
  <si>
    <t>State Department for Devolution</t>
  </si>
  <si>
    <t>State
 Depart-
 ment for
 Develop-
 ment for
 the ASAL</t>
  </si>
  <si>
    <t>State Department for Development for the ASAL</t>
  </si>
  <si>
    <t>Minis-
 try of
 Defence</t>
  </si>
  <si>
    <t>Ministry
 of Foreign
 Affairs</t>
  </si>
  <si>
    <t>Ministry of Foreign Affairs</t>
  </si>
  <si>
    <t>State
 Depart-
 ment for
 Foreign
 Affairs</t>
  </si>
  <si>
    <t>State
 Depart-
 ment for
 Diaspora
 Affairs</t>
  </si>
  <si>
    <t>State De-
 partment
 for Voca-
 tional and
 Technical
 Training</t>
  </si>
  <si>
    <t>State
 Depart-
 ment for
 University
 Education</t>
  </si>
  <si>
    <t>State Department for University Education</t>
  </si>
  <si>
    <t>State De-
 partment
 for Early
 Learning
 &amp; Basic
 Education</t>
  </si>
  <si>
    <t>State Department for Early Learning &amp; Basic Education</t>
  </si>
  <si>
    <t>State De-
 partment
 for Post
 Training
 and Skills
 Develop-
 ment</t>
  </si>
  <si>
    <t>State Department for Post Training and Skills Development</t>
  </si>
  <si>
    <t>State De-
 partment
 for Imple-
 mentation
 of Cur-
 riculum
 Reforms</t>
  </si>
  <si>
    <t>State Department for Implementation of Curriculum Reforms</t>
  </si>
  <si>
    <t>The
 National
 Treasury</t>
  </si>
  <si>
    <t>State
 Depart-
 ment of
 Planning</t>
  </si>
  <si>
    <t>State Department of Planning</t>
  </si>
  <si>
    <t>Ministry
 of Health</t>
  </si>
  <si>
    <t>Ministry of Health</t>
  </si>
  <si>
    <t>State De-
 partment
 for Public
 Health
 and Prof-
 fessional
 Standards</t>
  </si>
  <si>
    <t>State Department for Public Health and Proffessional Standards</t>
  </si>
  <si>
    <t>State De-
 partment
 of Infra-
 structure</t>
  </si>
  <si>
    <t>State Department of Infrastructure</t>
  </si>
  <si>
    <t>State
 Depart-
 ment of
 Transport</t>
  </si>
  <si>
    <t>State
 Depart-
 ment for
 Shipping
 and Mari-
 time.</t>
  </si>
  <si>
    <t>State
 Depart-
 ment for
 Housing,
 Urban
 Develop-
 ment</t>
  </si>
  <si>
    <t>State De-
 partment
 for Public
 Works</t>
  </si>
  <si>
    <t>Minis-
 try of
 Water,Sni-
 tation and
 Irrigation</t>
  </si>
  <si>
    <t>Ministry of Water,Snitation and Irrigation</t>
  </si>
  <si>
    <t>State
 Depart-
 ment for
 Irrigation</t>
  </si>
  <si>
    <t>State
 Depart-
 ment for
 Forestry</t>
  </si>
  <si>
    <t>Ministry
 of Envi-
 ronment,-
 Climate
 Change
 and
 Forestry</t>
  </si>
  <si>
    <t>Ministry of Environment,Climate Change and Forestry</t>
  </si>
  <si>
    <t>Ministry
 of Lands
 and
 Physical
 Planning</t>
  </si>
  <si>
    <t>Ministry of Lands and Physical Planning</t>
  </si>
  <si>
    <t>State De-
 partment
 for Infor-
 mation
 Commu-
 nications
 and
 Technol-
 ogy</t>
  </si>
  <si>
    <t>State
 Depart-
 ment for
 Broad-
 casting &amp;
 Telecom-
 munica-
 tions</t>
  </si>
  <si>
    <t>State
 Depart-
 ment for
 Sports</t>
  </si>
  <si>
    <t>State
 Depart-
 ment for
 Heritage</t>
  </si>
  <si>
    <t>State Department for Heritage</t>
  </si>
  <si>
    <t>State
 Depart-
 ment for
 Energy</t>
  </si>
  <si>
    <t>State
 Depart-
 ment for
 Livestock</t>
  </si>
  <si>
    <t>State Department for Livestock</t>
  </si>
  <si>
    <t>State De-
 partment
 for Crop
 Develop-
 ment</t>
  </si>
  <si>
    <t>State
 Depart-
 ment for
 Fisheries,
 Aquacul-
 ture and
 the Blue
 Economy</t>
  </si>
  <si>
    <t>State Department for Fisheries, Aquaculture and the Blue Economy</t>
  </si>
  <si>
    <t>State
 Depart-
 ment for
 Coopera-
 tives</t>
  </si>
  <si>
    <t>State De-
 partment
 for Trade</t>
  </si>
  <si>
    <t>State
 Depart-
 ment for
 Invest-
 ment and
 Promo-
 tion</t>
  </si>
  <si>
    <t>State De-
 partment
 for Mi-
 cro,Small
 and
 Medium
 Enterpris-
 es devel-
 opment</t>
  </si>
  <si>
    <t>State Department for Micro,Small and Medium Enterprises development</t>
  </si>
  <si>
    <t>State
 Depart-
 ment for
 Industri-
 alization</t>
  </si>
  <si>
    <t>State Department for Industrialization</t>
  </si>
  <si>
    <t>State
 Depart-
 ment for
 Labour</t>
  </si>
  <si>
    <t>State Department for Labour</t>
  </si>
  <si>
    <t>State De-
 partment
 for Social
 Protection</t>
  </si>
  <si>
    <t>Ministry
 of Petro-
 leum and
 Mining</t>
  </si>
  <si>
    <t>Ministry of Petroleum and Mining</t>
  </si>
  <si>
    <t>State
 Depart-
 ment for
 Mining</t>
  </si>
  <si>
    <t>State
 Depart-
 ment for
 Tourism</t>
  </si>
  <si>
    <t>State
 Depart-
 ment for
 Wildlife</t>
  </si>
  <si>
    <t>State De-
 partment
 for Public
 Service</t>
  </si>
  <si>
    <t>State De-
 partment
 for Youth</t>
  </si>
  <si>
    <t>State Department for Youth</t>
  </si>
  <si>
    <t>State
 Depart-
 ment for
 Gender</t>
  </si>
  <si>
    <t>State Department for Gender</t>
  </si>
  <si>
    <t>State De-
 partment
 for East
 African
 Commu-
 nity</t>
  </si>
  <si>
    <t>State
 Depart-
 ment for
 Regional
 and
 Northern
 Corridor
 Develop-
 ment</t>
  </si>
  <si>
    <t>State Department for Regional and Northern Corridor Development</t>
  </si>
  <si>
    <t>State Law
 Office and
 Depart-
 ment of
 Justice</t>
  </si>
  <si>
    <t>State Law Office and Department of Justice</t>
  </si>
  <si>
    <t>The Judi-
 ciary</t>
  </si>
  <si>
    <t>Ethics and
 Anti-Cor-
 ruption
 Commis-
 sion</t>
  </si>
  <si>
    <t>National
 Intelli-
 gence
 Service</t>
  </si>
  <si>
    <t>Office
 of the
 Director
 of Public
 Prosecu-
 tions</t>
  </si>
  <si>
    <t>Office of
 the Reg-
 istrar of
 Political
 Parties</t>
  </si>
  <si>
    <t>Witness
 Protection
 Agency</t>
  </si>
  <si>
    <t>Kenya
 National
 Commis-
 sion on
 Human
 Rights</t>
  </si>
  <si>
    <t>National
 Land
 Commis-
 sion</t>
  </si>
  <si>
    <t>Indepen-
 dent Elec-
 toral and
 Boundar-
 ies Com-
 mission</t>
  </si>
  <si>
    <t>Parlia-
 mentary
 Joint
 Services</t>
  </si>
  <si>
    <t>Parlia-
 mentary
 Service
 Commis-
 sion</t>
  </si>
  <si>
    <t>National
 Assembly</t>
  </si>
  <si>
    <t>National Assembly</t>
  </si>
  <si>
    <t>Judicial
 Service
 Commis-
 sion</t>
  </si>
  <si>
    <t>The
 Commis-
 sion on
 Revenue
 Allocation</t>
  </si>
  <si>
    <t>Public
 Service
 Commis-
 sion</t>
  </si>
  <si>
    <t>Salaries
 and
 Remu-
 neration
 Commis-
 sion</t>
  </si>
  <si>
    <t>Teachers
 Service
 Commis-
 sion</t>
  </si>
  <si>
    <t>National
 Police
 Service
 Commis-
 sion</t>
  </si>
  <si>
    <t>National
 Police
 Service</t>
  </si>
  <si>
    <t>Auditor
 General</t>
  </si>
  <si>
    <t>Controller
 of Budget</t>
  </si>
  <si>
    <t>The
 Commis-
 sion on
 Admin-
 istrative
 Justice</t>
  </si>
  <si>
    <t>National
 Gender
 and
 Equality
 Commis-
 sion</t>
  </si>
  <si>
    <t>National Gender and Equality Commission</t>
  </si>
  <si>
    <t>Inde-
 pendent
 Policing
 Oversight
 Authority</t>
  </si>
  <si>
    <t>2021/2022</t>
  </si>
  <si>
    <t>https://journaliststudio.google.com/pinpoint-extract/preview?collection=524daaefa335d538&amp;job=da2bc2801cc717c7&amp;docid=3a84e2afec62e521_524daaefa335d538&amp;schid=8001&amp;row=0&amp;page=45</t>
  </si>
  <si>
    <t>State Department for Interior and Citizen Services</t>
  </si>
  <si>
    <t>https://journaliststudio.google.com/pinpoint-extract/preview?collection=524daaefa335d538&amp;job=da2bc2801cc717c7&amp;docid=3a84e2afec62e521_524daaefa335d538&amp;schid=8001&amp;row=1&amp;page=45</t>
  </si>
  <si>
    <t>https://journaliststudio.google.com/pinpoint-extract/preview?collection=524daaefa335d538&amp;job=da2bc2801cc717c7&amp;docid=3a84e2afec62e521_524daaefa335d538&amp;schid=8001&amp;row=2&amp;page=45</t>
  </si>
  <si>
    <t>https://journaliststudio.google.com/pinpoint-extract/preview?collection=524daaefa335d538&amp;job=da2bc2801cc717c7&amp;docid=3a84e2afec62e521_524daaefa335d538&amp;schid=8001&amp;row=3&amp;page=45</t>
  </si>
  <si>
    <t>State Department for Development for the ASALs</t>
  </si>
  <si>
    <t>https://journaliststudio.google.com/pinpoint-extract/preview?collection=524daaefa335d538&amp;job=da2bc2801cc717c7&amp;docid=3a84e2afec62e521_524daaefa335d538&amp;schid=8001&amp;row=4&amp;page=45</t>
  </si>
  <si>
    <t>https://journaliststudio.google.com/pinpoint-extract/preview?collection=524daaefa335d538&amp;job=da2bc2801cc717c7&amp;docid=3a84e2afec62e521_524daaefa335d538&amp;schid=8001&amp;row=5&amp;page=45</t>
  </si>
  <si>
    <t>https://journaliststudio.google.com/pinpoint-extract/preview?collection=524daaefa335d538&amp;job=da2bc2801cc717c7&amp;docid=3a84e2afec62e521_524daaefa335d538&amp;schid=8001&amp;row=6&amp;page=45</t>
  </si>
  <si>
    <t>https://journaliststudio.google.com/pinpoint-extract/preview?collection=524daaefa335d538&amp;job=da2bc2801cc717c7&amp;docid=3a84e2afec62e521_524daaefa335d538&amp;schid=8001&amp;row=7&amp;page=45</t>
  </si>
  <si>
    <t>https://journaliststudio.google.com/pinpoint-extract/preview?collection=524daaefa335d538&amp;job=da2bc2801cc717c7&amp;docid=3a84e2afec62e521_524daaefa335d538&amp;schid=8001&amp;row=8&amp;page=45</t>
  </si>
  <si>
    <t>https://journaliststudio.google.com/pinpoint-extract/preview?collection=524daaefa335d538&amp;job=da2bc2801cc717c7&amp;docid=3a84e2afec62e521_524daaefa335d538&amp;schid=8001&amp;row=9&amp;page=45</t>
  </si>
  <si>
    <t>https://journaliststudio.google.com/pinpoint-extract/preview?collection=524daaefa335d538&amp;job=da2bc2801cc717c7&amp;docid=3a84e2afec62e521_524daaefa335d538&amp;schid=8001&amp;row=10&amp;page=45</t>
  </si>
  <si>
    <t>https://journaliststudio.google.com/pinpoint-extract/preview?collection=524daaefa335d538&amp;job=da2bc2801cc717c7&amp;docid=3a84e2afec62e521_524daaefa335d538&amp;schid=8001&amp;row=11&amp;page=45</t>
  </si>
  <si>
    <t>https://journaliststudio.google.com/pinpoint-extract/preview?collection=524daaefa335d538&amp;job=da2bc2801cc717c7&amp;docid=3a84e2afec62e521_524daaefa335d538&amp;schid=8001&amp;row=12&amp;page=46</t>
  </si>
  <si>
    <t>State Department for Planning</t>
  </si>
  <si>
    <t>https://journaliststudio.google.com/pinpoint-extract/preview?collection=524daaefa335d538&amp;job=da2bc2801cc717c7&amp;docid=3a84e2afec62e521_524daaefa335d538&amp;schid=8001&amp;row=13&amp;page=46</t>
  </si>
  <si>
    <t>State Department for Infrastructure</t>
  </si>
  <si>
    <t>https://journaliststudio.google.com/pinpoint-extract/preview?collection=524daaefa335d538&amp;job=da2bc2801cc717c7&amp;docid=3a84e2afec62e521_524daaefa335d538&amp;schid=8001&amp;row=14&amp;page=46</t>
  </si>
  <si>
    <t>State Department for Transport</t>
  </si>
  <si>
    <t>https://journaliststudio.google.com/pinpoint-extract/preview?collection=524daaefa335d538&amp;job=da2bc2801cc717c7&amp;docid=3a84e2afec62e521_524daaefa335d538&amp;schid=8001&amp;row=15&amp;page=46</t>
  </si>
  <si>
    <t>State Department for Shipping and Maritime</t>
  </si>
  <si>
    <t>https://journaliststudio.google.com/pinpoint-extract/preview?collection=524daaefa335d538&amp;job=da2bc2801cc717c7&amp;docid=3a84e2afec62e521_524daaefa335d538&amp;schid=8001&amp;row=16&amp;page=46</t>
  </si>
  <si>
    <t>State Department for Housing, Urban Development</t>
  </si>
  <si>
    <t>https://journaliststudio.google.com/pinpoint-extract/preview?collection=524daaefa335d538&amp;job=da2bc2801cc717c7&amp;docid=3a84e2afec62e521_524daaefa335d538&amp;schid=8001&amp;row=17&amp;page=46</t>
  </si>
  <si>
    <t>https://journaliststudio.google.com/pinpoint-extract/preview?collection=524daaefa335d538&amp;job=da2bc2801cc717c7&amp;docid=3a84e2afec62e521_524daaefa335d538&amp;schid=8001&amp;row=18&amp;page=46</t>
  </si>
  <si>
    <t>Ministry of Water, Irrigation, and Sanitation</t>
  </si>
  <si>
    <t>https://journaliststudio.google.com/pinpoint-extract/preview?collection=524daaefa335d538&amp;job=da2bc2801cc717c7&amp;docid=3a84e2afec62e521_524daaefa335d538&amp;schid=8001&amp;row=19&amp;page=46</t>
  </si>
  <si>
    <t>Ministry of Environment and Forestry</t>
  </si>
  <si>
    <t>https://journaliststudio.google.com/pinpoint-extract/preview?collection=524daaefa335d538&amp;job=da2bc2801cc717c7&amp;docid=3a84e2afec62e521_524daaefa335d538&amp;schid=8001&amp;row=20&amp;page=46</t>
  </si>
  <si>
    <t>https://journaliststudio.google.com/pinpoint-extract/preview?collection=524daaefa335d538&amp;job=da2bc2801cc717c7&amp;docid=3a84e2afec62e521_524daaefa335d538&amp;schid=8001&amp;row=21&amp;page=46</t>
  </si>
  <si>
    <t>State Department for Information Communications and Technology</t>
  </si>
  <si>
    <t>https://journaliststudio.google.com/pinpoint-extract/preview?collection=524daaefa335d538&amp;job=da2bc2801cc717c7&amp;docid=3a84e2afec62e521_524daaefa335d538&amp;schid=8001&amp;row=22&amp;page=46</t>
  </si>
  <si>
    <t xml:space="preserve">State Department for Broadcasting &amp; Telecommunications </t>
  </si>
  <si>
    <t>https://journaliststudio.google.com/pinpoint-extract/preview?collection=524daaefa335d538&amp;job=da2bc2801cc717c7&amp;docid=3a84e2afec62e521_524daaefa335d538&amp;schid=8001&amp;row=23&amp;page=46</t>
  </si>
  <si>
    <t>https://journaliststudio.google.com/pinpoint-extract/preview?collection=524daaefa335d538&amp;job=da2bc2801cc717c7&amp;docid=3a84e2afec62e521_524daaefa335d538&amp;schid=8001&amp;row=24&amp;page=46</t>
  </si>
  <si>
    <t>https://journaliststudio.google.com/pinpoint-extract/preview?collection=524daaefa335d538&amp;job=da2bc2801cc717c7&amp;docid=3a84e2afec62e521_524daaefa335d538&amp;schid=8001&amp;row=25&amp;page=47</t>
  </si>
  <si>
    <t>Ministry of Energy</t>
  </si>
  <si>
    <t>https://journaliststudio.google.com/pinpoint-extract/preview?collection=524daaefa335d538&amp;job=da2bc2801cc717c7&amp;docid=3a84e2afec62e521_524daaefa335d538&amp;schid=8001&amp;row=26&amp;page=47</t>
  </si>
  <si>
    <t>https://journaliststudio.google.com/pinpoint-extract/preview?collection=524daaefa335d538&amp;job=da2bc2801cc717c7&amp;docid=3a84e2afec62e521_524daaefa335d538&amp;schid=8001&amp;row=27&amp;page=47</t>
  </si>
  <si>
    <t>State Department for Crop Development and Agricultural Research</t>
  </si>
  <si>
    <t>https://journaliststudio.google.com/pinpoint-extract/preview?collection=524daaefa335d538&amp;job=da2bc2801cc717c7&amp;docid=3a84e2afec62e521_524daaefa335d538&amp;schid=8001&amp;row=28&amp;page=47</t>
  </si>
  <si>
    <t>https://journaliststudio.google.com/pinpoint-extract/preview?collection=524daaefa335d538&amp;job=da2bc2801cc717c7&amp;docid=3a84e2afec62e521_524daaefa335d538&amp;schid=8001&amp;row=29&amp;page=47</t>
  </si>
  <si>
    <t>https://journaliststudio.google.com/pinpoint-extract/preview?collection=524daaefa335d538&amp;job=da2bc2801cc717c7&amp;docid=3a84e2afec62e521_524daaefa335d538&amp;schid=8001&amp;row=30&amp;page=47</t>
  </si>
  <si>
    <t>https://journaliststudio.google.com/pinpoint-extract/preview?collection=524daaefa335d538&amp;job=da2bc2801cc717c7&amp;docid=3a84e2afec62e521_524daaefa335d538&amp;schid=8001&amp;row=31&amp;page=47</t>
  </si>
  <si>
    <t>State Department for Industrialisation</t>
  </si>
  <si>
    <t>https://journaliststudio.google.com/pinpoint-extract/preview?collection=524daaefa335d538&amp;job=da2bc2801cc717c7&amp;docid=3a84e2afec62e521_524daaefa335d538&amp;schid=8001&amp;row=32&amp;page=47</t>
  </si>
  <si>
    <t>https://journaliststudio.google.com/pinpoint-extract/preview?collection=524daaefa335d538&amp;job=da2bc2801cc717c7&amp;docid=3a84e2afec62e521_524daaefa335d538&amp;schid=8001&amp;row=33&amp;page=47</t>
  </si>
  <si>
    <t>State Department for Social Protection, Pensions, and Senior Citizens</t>
  </si>
  <si>
    <t>https://journaliststudio.google.com/pinpoint-extract/preview?collection=524daaefa335d538&amp;job=da2bc2801cc717c7&amp;docid=3a84e2afec62e521_524daaefa335d538&amp;schid=8001&amp;row=34&amp;page=47</t>
  </si>
  <si>
    <t>https://journaliststudio.google.com/pinpoint-extract/preview?collection=524daaefa335d538&amp;job=da2bc2801cc717c7&amp;docid=3a84e2afec62e521_524daaefa335d538&amp;schid=8001&amp;row=35&amp;page=47</t>
  </si>
  <si>
    <t>https://journaliststudio.google.com/pinpoint-extract/preview?collection=524daaefa335d538&amp;job=da2bc2801cc717c7&amp;docid=3a84e2afec62e521_524daaefa335d538&amp;schid=8001&amp;row=36&amp;page=47</t>
  </si>
  <si>
    <t>https://journaliststudio.google.com/pinpoint-extract/preview?collection=524daaefa335d538&amp;job=da2bc2801cc717c7&amp;docid=3a84e2afec62e521_524daaefa335d538&amp;schid=8001&amp;row=37&amp;page=47</t>
  </si>
  <si>
    <t>https://journaliststudio.google.com/pinpoint-extract/preview?collection=524daaefa335d538&amp;job=da2bc2801cc717c7&amp;docid=3a84e2afec62e521_524daaefa335d538&amp;schid=8001&amp;row=38&amp;page=48</t>
  </si>
  <si>
    <t>https://journaliststudio.google.com/pinpoint-extract/preview?collection=524daaefa335d538&amp;job=da2bc2801cc717c7&amp;docid=3a84e2afec62e521_524daaefa335d538&amp;schid=8001&amp;row=39&amp;page=48</t>
  </si>
  <si>
    <t>https://journaliststudio.google.com/pinpoint-extract/preview?collection=524daaefa335d538&amp;job=da2bc2801cc717c7&amp;docid=3a84e2afec62e521_524daaefa335d538&amp;schid=8001&amp;row=40&amp;page=48</t>
  </si>
  <si>
    <t>https://journaliststudio.google.com/pinpoint-extract/preview?collection=524daaefa335d538&amp;job=da2bc2801cc717c7&amp;docid=3a84e2afec62e521_524daaefa335d538&amp;schid=8001&amp;row=41&amp;page=48</t>
  </si>
  <si>
    <t>https://journaliststudio.google.com/pinpoint-extract/preview?collection=524daaefa335d538&amp;job=da2bc2801cc717c7&amp;docid=3a84e2afec62e521_524daaefa335d538&amp;schid=8001&amp;row=42&amp;page=48</t>
  </si>
  <si>
    <t>https://journaliststudio.google.com/pinpoint-extract/preview?collection=524daaefa335d538&amp;job=da2bc2801cc717c7&amp;docid=3a84e2afec62e521_524daaefa335d538&amp;schid=8001&amp;row=43&amp;page=48</t>
  </si>
  <si>
    <t>https://journaliststudio.google.com/pinpoint-extract/preview?collection=524daaefa335d538&amp;job=da2bc2801cc717c7&amp;docid=3a84e2afec62e521_524daaefa335d538&amp;schid=8001&amp;row=44&amp;page=48</t>
  </si>
  <si>
    <t>https://journaliststudio.google.com/pinpoint-extract/preview?collection=524daaefa335d538&amp;job=da2bc2801cc717c7&amp;docid=3a84e2afec62e521_524daaefa335d538&amp;schid=8001&amp;row=45&amp;page=48</t>
  </si>
  <si>
    <t>https://journaliststudio.google.com/pinpoint-extract/preview?collection=524daaefa335d538&amp;job=da2bc2801cc717c7&amp;docid=3a84e2afec62e521_524daaefa335d538&amp;schid=8001&amp;row=46&amp;page=48</t>
  </si>
  <si>
    <t>https://journaliststudio.google.com/pinpoint-extract/preview?collection=524daaefa335d538&amp;job=da2bc2801cc717c7&amp;docid=3a84e2afec62e521_524daaefa335d538&amp;schid=8001&amp;row=47&amp;page=48</t>
  </si>
  <si>
    <t>https://journaliststudio.google.com/pinpoint-extract/preview?collection=524daaefa335d538&amp;job=da2bc2801cc717c7&amp;docid=3a84e2afec62e521_524daaefa335d538&amp;schid=8001&amp;row=48&amp;page=48</t>
  </si>
  <si>
    <t>https://journaliststudio.google.com/pinpoint-extract/preview?collection=524daaefa335d538&amp;job=da2bc2801cc717c7&amp;docid=3a84e2afec62e521_524daaefa335d538&amp;schid=8001&amp;row=49&amp;page=48</t>
  </si>
  <si>
    <t>https://journaliststudio.google.com/pinpoint-extract/preview?collection=524daaefa335d538&amp;job=da2bc2801cc717c7&amp;docid=3a84e2afec62e521_524daaefa335d538&amp;schid=8001&amp;row=50&amp;page=48</t>
  </si>
  <si>
    <t>https://journaliststudio.google.com/pinpoint-extract/preview?collection=524daaefa335d538&amp;job=da2bc2801cc717c7&amp;docid=3a84e2afec62e521_524daaefa335d538&amp;schid=8001&amp;row=51&amp;page=48</t>
  </si>
  <si>
    <t>https://journaliststudio.google.com/pinpoint-extract/preview?collection=524daaefa335d538&amp;job=da2bc2801cc717c7&amp;docid=3a84e2afec62e521_524daaefa335d538&amp;schid=8001&amp;row=52&amp;page=48</t>
  </si>
  <si>
    <t>https://journaliststudio.google.com/pinpoint-extract/preview?collection=524daaefa335d538&amp;job=da2bc2801cc717c7&amp;docid=3a84e2afec62e521_524daaefa335d538&amp;schid=8001&amp;row=53&amp;page=49</t>
  </si>
  <si>
    <t>https://journaliststudio.google.com/pinpoint-extract/preview?collection=524daaefa335d538&amp;job=da2bc2801cc717c7&amp;docid=3a84e2afec62e521_524daaefa335d538&amp;schid=8001&amp;row=54&amp;page=49</t>
  </si>
  <si>
    <t>https://journaliststudio.google.com/pinpoint-extract/preview?collection=524daaefa335d538&amp;job=da2bc2801cc717c7&amp;docid=3a84e2afec62e521_524daaefa335d538&amp;schid=8001&amp;row=55&amp;page=49</t>
  </si>
  <si>
    <t>https://journaliststudio.google.com/pinpoint-extract/preview?collection=524daaefa335d538&amp;job=da2bc2801cc717c7&amp;docid=3a84e2afec62e521_524daaefa335d538&amp;schid=8001&amp;row=56&amp;page=49</t>
  </si>
  <si>
    <t>https://journaliststudio.google.com/pinpoint-extract/preview?collection=524daaefa335d538&amp;job=da2bc2801cc717c7&amp;docid=3a84e2afec62e521_524daaefa335d538&amp;schid=8001&amp;row=57&amp;page=49</t>
  </si>
  <si>
    <t>https://journaliststudio.google.com/pinpoint-extract/preview?collection=524daaefa335d538&amp;job=da2bc2801cc717c7&amp;docid=3a84e2afec62e521_524daaefa335d538&amp;schid=8001&amp;row=58&amp;page=49</t>
  </si>
  <si>
    <t>https://journaliststudio.google.com/pinpoint-extract/preview?collection=524daaefa335d538&amp;job=da2bc2801cc717c7&amp;docid=3a84e2afec62e521_524daaefa335d538&amp;schid=8001&amp;row=59&amp;page=49</t>
  </si>
  <si>
    <t>https://journaliststudio.google.com/pinpoint-extract/preview?collection=524daaefa335d538&amp;job=da2bc2801cc717c7&amp;docid=3a84e2afec62e521_524daaefa335d538&amp;schid=8001&amp;row=60&amp;page=49</t>
  </si>
  <si>
    <t>https://journaliststudio.google.com/pinpoint-extract/preview?collection=524daaefa335d538&amp;job=da2bc2801cc717c7&amp;docid=3a84e2afec62e521_524daaefa335d538&amp;schid=8001&amp;row=61&amp;page=49</t>
  </si>
  <si>
    <t>https://journaliststudio.google.com/pinpoint-extract/preview?collection=524daaefa335d538&amp;job=da2bc2801cc717c7&amp;docid=3a84e2afec62e521_524daaefa335d538&amp;schid=8001&amp;row=62&amp;page=49</t>
  </si>
  <si>
    <t>https://journaliststudio.google.com/pinpoint-extract/preview?collection=524daaefa335d538&amp;job=da2bc2801cc717c7&amp;docid=3a84e2afec62e521_524daaefa335d538&amp;schid=8001&amp;row=63&amp;page=49</t>
  </si>
  <si>
    <t>https://journaliststudio.google.com/pinpoint-extract/preview?collection=524daaefa335d538&amp;job=da2bc2801cc717c7&amp;docid=3a84e2afec62e521_524daaefa335d538&amp;schid=8001&amp;row=64&amp;page=49</t>
  </si>
  <si>
    <t>https://journaliststudio.google.com/pinpoint-extract/preview?collection=524daaefa335d538&amp;job=da2bc2801cc717c7&amp;docid=3a84e2afec62e521_524daaefa335d538&amp;schid=8001&amp;row=65&amp;page=49</t>
  </si>
  <si>
    <t>Independent Policing Oversight Authority</t>
  </si>
  <si>
    <t>https://journaliststudio.google.com/pinpoint-extract/preview?collection=524daaefa335d538&amp;job=da2bc2801cc717c7&amp;docid=3a84e2afec62e521_524daaefa335d538&amp;schid=8001&amp;row=66&amp;page=49</t>
  </si>
  <si>
    <t>https://journaliststudio.google.com/pinpoint-extract/preview?collection=524daaefa335d538&amp;job=da2bc2801cc717c7&amp;docid=3a84e2afec62e521_524daaefa335d538&amp;schid=8001&amp;row=67&amp;page=49</t>
  </si>
  <si>
    <t>2020/2021</t>
  </si>
  <si>
    <t>https://journaliststudio.google.com/pinpoint-extract/preview?collection=524daaefa335d538&amp;job=a98fe27898c7f9dc&amp;docid=1244364dcff36f7f_524daaefa335d538&amp;schid=8001&amp;row=0&amp;page=40</t>
  </si>
  <si>
    <t>https://journaliststudio.google.com/pinpoint-extract/preview?collection=524daaefa335d538&amp;job=a98fe27898c7f9dc&amp;docid=1244364dcff36f7f_524daaefa335d538&amp;schid=8001&amp;row=1&amp;page=40</t>
  </si>
  <si>
    <t>https://journaliststudio.google.com/pinpoint-extract/preview?collection=524daaefa335d538&amp;job=a98fe27898c7f9dc&amp;docid=1244364dcff36f7f_524daaefa335d538&amp;schid=8001&amp;row=2&amp;page=40</t>
  </si>
  <si>
    <t>https://journaliststudio.google.com/pinpoint-extract/preview?collection=524daaefa335d538&amp;job=a98fe27898c7f9dc&amp;docid=1244364dcff36f7f_524daaefa335d538&amp;schid=8001&amp;row=3&amp;page=40</t>
  </si>
  <si>
    <t>https://journaliststudio.google.com/pinpoint-extract/preview?collection=524daaefa335d538&amp;job=a98fe27898c7f9dc&amp;docid=1244364dcff36f7f_524daaefa335d538&amp;schid=8001&amp;row=4&amp;page=40</t>
  </si>
  <si>
    <t>https://journaliststudio.google.com/pinpoint-extract/preview?collection=524daaefa335d538&amp;job=a98fe27898c7f9dc&amp;docid=1244364dcff36f7f_524daaefa335d538&amp;schid=8001&amp;row=5&amp;page=40</t>
  </si>
  <si>
    <t>https://journaliststudio.google.com/pinpoint-extract/preview?collection=524daaefa335d538&amp;job=a98fe27898c7f9dc&amp;docid=1244364dcff36f7f_524daaefa335d538&amp;schid=8001&amp;row=6&amp;page=40</t>
  </si>
  <si>
    <t>https://journaliststudio.google.com/pinpoint-extract/preview?collection=524daaefa335d538&amp;job=a98fe27898c7f9dc&amp;docid=1244364dcff36f7f_524daaefa335d538&amp;schid=8001&amp;row=7&amp;page=40</t>
  </si>
  <si>
    <t>https://journaliststudio.google.com/pinpoint-extract/preview?collection=524daaefa335d538&amp;job=a98fe27898c7f9dc&amp;docid=1244364dcff36f7f_524daaefa335d538&amp;schid=8001&amp;row=8&amp;page=40</t>
  </si>
  <si>
    <t>https://journaliststudio.google.com/pinpoint-extract/preview?collection=524daaefa335d538&amp;job=a98fe27898c7f9dc&amp;docid=1244364dcff36f7f_524daaefa335d538&amp;schid=8001&amp;row=9&amp;page=40</t>
  </si>
  <si>
    <t>https://journaliststudio.google.com/pinpoint-extract/preview?collection=524daaefa335d538&amp;job=a98fe27898c7f9dc&amp;docid=1244364dcff36f7f_524daaefa335d538&amp;schid=8001&amp;row=10&amp;page=40</t>
  </si>
  <si>
    <t>https://journaliststudio.google.com/pinpoint-extract/preview?collection=524daaefa335d538&amp;job=a98fe27898c7f9dc&amp;docid=1244364dcff36f7f_524daaefa335d538&amp;schid=8001&amp;row=11&amp;page=40</t>
  </si>
  <si>
    <t>https://journaliststudio.google.com/pinpoint-extract/preview?collection=524daaefa335d538&amp;job=a98fe27898c7f9dc&amp;docid=1244364dcff36f7f_524daaefa335d538&amp;schid=8001&amp;row=12&amp;page=40</t>
  </si>
  <si>
    <t>https://journaliststudio.google.com/pinpoint-extract/preview?collection=524daaefa335d538&amp;job=a98fe27898c7f9dc&amp;docid=1244364dcff36f7f_524daaefa335d538&amp;schid=8001&amp;row=13&amp;page=40</t>
  </si>
  <si>
    <t>https://journaliststudio.google.com/pinpoint-extract/preview?collection=524daaefa335d538&amp;job=a98fe27898c7f9dc&amp;docid=1244364dcff36f7f_524daaefa335d538&amp;schid=8001&amp;row=14&amp;page=40</t>
  </si>
  <si>
    <t>5,987 .27</t>
  </si>
  <si>
    <t>https://journaliststudio.google.com/pinpoint-extract/preview?collection=524daaefa335d538&amp;job=a98fe27898c7f9dc&amp;docid=1244364dcff36f7f_524daaefa335d538&amp;schid=8001&amp;row=15&amp;page=40</t>
  </si>
  <si>
    <t>https://journaliststudio.google.com/pinpoint-extract/preview?collection=524daaefa335d538&amp;job=a98fe27898c7f9dc&amp;docid=1244364dcff36f7f_524daaefa335d538&amp;schid=8001&amp;row=16&amp;page=40</t>
  </si>
  <si>
    <t>State Department for Housing &amp; Urban Development</t>
  </si>
  <si>
    <t>https://journaliststudio.google.com/pinpoint-extract/preview?collection=524daaefa335d538&amp;job=a98fe27898c7f9dc&amp;docid=1244364dcff36f7f_524daaefa335d538&amp;schid=8001&amp;row=17&amp;page=40</t>
  </si>
  <si>
    <t>https://journaliststudio.google.com/pinpoint-extract/preview?collection=524daaefa335d538&amp;job=a98fe27898c7f9dc&amp;docid=1244364dcff36f7f_524daaefa335d538&amp;schid=8001&amp;row=18&amp;page=40</t>
  </si>
  <si>
    <t>State Department for Water, Sanitation and Irrigation</t>
  </si>
  <si>
    <t>https://journaliststudio.google.com/pinpoint-extract/preview?collection=524daaefa335d538&amp;job=a98fe27898c7f9dc&amp;docid=1244364dcff36f7f_524daaefa335d538&amp;schid=8001&amp;row=19&amp;page=41</t>
  </si>
  <si>
    <t>https://journaliststudio.google.com/pinpoint-extract/preview?collection=524daaefa335d538&amp;job=a98fe27898c7f9dc&amp;docid=1244364dcff36f7f_524daaefa335d538&amp;schid=8001&amp;row=20&amp;page=41</t>
  </si>
  <si>
    <t>https://journaliststudio.google.com/pinpoint-extract/preview?collection=524daaefa335d538&amp;job=a98fe27898c7f9dc&amp;docid=1244364dcff36f7f_524daaefa335d538&amp;schid=8001&amp;row=21&amp;page=41</t>
  </si>
  <si>
    <t>https://journaliststudio.google.com/pinpoint-extract/preview?collection=524daaefa335d538&amp;job=a98fe27898c7f9dc&amp;docid=1244364dcff36f7f_524daaefa335d538&amp;schid=8001&amp;row=22&amp;page=41</t>
  </si>
  <si>
    <t>State Department for Broadcasting &amp; Telecommunications</t>
  </si>
  <si>
    <t>https://journaliststudio.google.com/pinpoint-extract/preview?collection=524daaefa335d538&amp;job=a98fe27898c7f9dc&amp;docid=1244364dcff36f7f_524daaefa335d538&amp;schid=8001&amp;row=23&amp;page=41</t>
  </si>
  <si>
    <t>https://journaliststudio.google.com/pinpoint-extract/preview?collection=524daaefa335d538&amp;job=a98fe27898c7f9dc&amp;docid=1244364dcff36f7f_524daaefa335d538&amp;schid=8001&amp;row=24&amp;page=41</t>
  </si>
  <si>
    <t>https://journaliststudio.google.com/pinpoint-extract/preview?collection=524daaefa335d538&amp;job=a98fe27898c7f9dc&amp;docid=1244364dcff36f7f_524daaefa335d538&amp;schid=8001&amp;row=25&amp;page=41</t>
  </si>
  <si>
    <t>https://journaliststudio.google.com/pinpoint-extract/preview?collection=524daaefa335d538&amp;job=a98fe27898c7f9dc&amp;docid=1244364dcff36f7f_524daaefa335d538&amp;schid=8001&amp;row=26&amp;page=41</t>
  </si>
  <si>
    <t>https://journaliststudio.google.com/pinpoint-extract/preview?collection=524daaefa335d538&amp;job=a98fe27898c7f9dc&amp;docid=1244364dcff36f7f_524daaefa335d538&amp;schid=8001&amp;row=27&amp;page=41</t>
  </si>
  <si>
    <t>https://journaliststudio.google.com/pinpoint-extract/preview?collection=524daaefa335d538&amp;job=a98fe27898c7f9dc&amp;docid=1244364dcff36f7f_524daaefa335d538&amp;schid=8001&amp;row=28&amp;page=41</t>
  </si>
  <si>
    <t>State Department for Fisheries, Aquaculture, and the Blue Economy</t>
  </si>
  <si>
    <t>https://journaliststudio.google.com/pinpoint-extract/preview?collection=524daaefa335d538&amp;job=a98fe27898c7f9dc&amp;docid=1244364dcff36f7f_524daaefa335d538&amp;schid=8001&amp;row=29&amp;page=41</t>
  </si>
  <si>
    <t>https://journaliststudio.google.com/pinpoint-extract/preview?collection=524daaefa335d538&amp;job=a98fe27898c7f9dc&amp;docid=1244364dcff36f7f_524daaefa335d538&amp;schid=8001&amp;row=30&amp;page=41</t>
  </si>
  <si>
    <t>https://journaliststudio.google.com/pinpoint-extract/preview?collection=524daaefa335d538&amp;job=a98fe27898c7f9dc&amp;docid=1244364dcff36f7f_524daaefa335d538&amp;schid=8001&amp;row=31&amp;page=41</t>
  </si>
  <si>
    <t>https://journaliststudio.google.com/pinpoint-extract/preview?collection=524daaefa335d538&amp;job=a98fe27898c7f9dc&amp;docid=1244364dcff36f7f_524daaefa335d538&amp;schid=8001&amp;row=32&amp;page=41</t>
  </si>
  <si>
    <t>https://journaliststudio.google.com/pinpoint-extract/preview?collection=524daaefa335d538&amp;job=a98fe27898c7f9dc&amp;docid=1244364dcff36f7f_524daaefa335d538&amp;schid=8001&amp;row=33&amp;page=41</t>
  </si>
  <si>
    <t>State Department for Social Protection, Pensions and Senior Citizen Affairs</t>
  </si>
  <si>
    <t>https://journaliststudio.google.com/pinpoint-extract/preview?collection=524daaefa335d538&amp;job=a98fe27898c7f9dc&amp;docid=1244364dcff36f7f_524daaefa335d538&amp;schid=8001&amp;row=34&amp;page=41</t>
  </si>
  <si>
    <t>https://journaliststudio.google.com/pinpoint-extract/preview?collection=524daaefa335d538&amp;job=a98fe27898c7f9dc&amp;docid=1244364dcff36f7f_524daaefa335d538&amp;schid=8001&amp;row=35&amp;page=41</t>
  </si>
  <si>
    <t>https://journaliststudio.google.com/pinpoint-extract/preview?collection=524daaefa335d538&amp;job=a98fe27898c7f9dc&amp;docid=1244364dcff36f7f_524daaefa335d538&amp;schid=8001&amp;row=36&amp;page=41</t>
  </si>
  <si>
    <t>https://journaliststudio.google.com/pinpoint-extract/preview?collection=524daaefa335d538&amp;job=a98fe27898c7f9dc&amp;docid=1244364dcff36f7f_524daaefa335d538&amp;schid=8001&amp;row=37&amp;page=41</t>
  </si>
  <si>
    <t>https://journaliststudio.google.com/pinpoint-extract/preview?collection=524daaefa335d538&amp;job=a98fe27898c7f9dc&amp;docid=1244364dcff36f7f_524daaefa335d538&amp;schid=8001&amp;row=38&amp;page=42</t>
  </si>
  <si>
    <t>https://journaliststudio.google.com/pinpoint-extract/preview?collection=524daaefa335d538&amp;job=a98fe27898c7f9dc&amp;docid=1244364dcff36f7f_524daaefa335d538&amp;schid=8001&amp;row=39&amp;page=42</t>
  </si>
  <si>
    <t>State Department for Youth Affairs</t>
  </si>
  <si>
    <t>https://journaliststudio.google.com/pinpoint-extract/preview?collection=524daaefa335d538&amp;job=a98fe27898c7f9dc&amp;docid=1244364dcff36f7f_524daaefa335d538&amp;schid=8001&amp;row=40&amp;page=42</t>
  </si>
  <si>
    <t>https://journaliststudio.google.com/pinpoint-extract/preview?collection=524daaefa335d538&amp;job=a98fe27898c7f9dc&amp;docid=1244364dcff36f7f_524daaefa335d538&amp;schid=8001&amp;row=41&amp;page=42</t>
  </si>
  <si>
    <t>https://journaliststudio.google.com/pinpoint-extract/preview?collection=524daaefa335d538&amp;job=a98fe27898c7f9dc&amp;docid=1244364dcff36f7f_524daaefa335d538&amp;schid=8001&amp;row=42&amp;page=42</t>
  </si>
  <si>
    <t>https://journaliststudio.google.com/pinpoint-extract/preview?collection=524daaefa335d538&amp;job=a98fe27898c7f9dc&amp;docid=1244364dcff36f7f_524daaefa335d538&amp;schid=8001&amp;row=43&amp;page=42</t>
  </si>
  <si>
    <t>https://journaliststudio.google.com/pinpoint-extract/preview?collection=524daaefa335d538&amp;job=a98fe27898c7f9dc&amp;docid=1244364dcff36f7f_524daaefa335d538&amp;schid=8001&amp;row=44&amp;page=42</t>
  </si>
  <si>
    <t>https://journaliststudio.google.com/pinpoint-extract/preview?collection=524daaefa335d538&amp;job=a98fe27898c7f9dc&amp;docid=1244364dcff36f7f_524daaefa335d538&amp;schid=8001&amp;row=45&amp;page=42</t>
  </si>
  <si>
    <t>https://journaliststudio.google.com/pinpoint-extract/preview?collection=524daaefa335d538&amp;job=a98fe27898c7f9dc&amp;docid=1244364dcff36f7f_524daaefa335d538&amp;schid=8001&amp;row=46&amp;page=42</t>
  </si>
  <si>
    <t>https://journaliststudio.google.com/pinpoint-extract/preview?collection=524daaefa335d538&amp;job=a98fe27898c7f9dc&amp;docid=1244364dcff36f7f_524daaefa335d538&amp;schid=8001&amp;row=47&amp;page=42</t>
  </si>
  <si>
    <t>https://journaliststudio.google.com/pinpoint-extract/preview?collection=524daaefa335d538&amp;job=a98fe27898c7f9dc&amp;docid=1244364dcff36f7f_524daaefa335d538&amp;schid=8001&amp;row=48&amp;page=42</t>
  </si>
  <si>
    <t>https://journaliststudio.google.com/pinpoint-extract/preview?collection=524daaefa335d538&amp;job=a98fe27898c7f9dc&amp;docid=1244364dcff36f7f_524daaefa335d538&amp;schid=8001&amp;row=49&amp;page=42</t>
  </si>
  <si>
    <t>https://journaliststudio.google.com/pinpoint-extract/preview?collection=524daaefa335d538&amp;job=a98fe27898c7f9dc&amp;docid=1244364dcff36f7f_524daaefa335d538&amp;schid=8001&amp;row=50&amp;page=42</t>
  </si>
  <si>
    <t>https://journaliststudio.google.com/pinpoint-extract/preview?collection=524daaefa335d538&amp;job=a98fe27898c7f9dc&amp;docid=1244364dcff36f7f_524daaefa335d538&amp;schid=8001&amp;row=51&amp;page=42</t>
  </si>
  <si>
    <t>https://journaliststudio.google.com/pinpoint-extract/preview?collection=524daaefa335d538&amp;job=a98fe27898c7f9dc&amp;docid=1244364dcff36f7f_524daaefa335d538&amp;schid=8001&amp;row=52&amp;page=42</t>
  </si>
  <si>
    <t>https://journaliststudio.google.com/pinpoint-extract/preview?collection=524daaefa335d538&amp;job=a98fe27898c7f9dc&amp;docid=1244364dcff36f7f_524daaefa335d538&amp;schid=8001&amp;row=53&amp;page=42</t>
  </si>
  <si>
    <t>https://journaliststudio.google.com/pinpoint-extract/preview?collection=524daaefa335d538&amp;job=a98fe27898c7f9dc&amp;docid=1244364dcff36f7f_524daaefa335d538&amp;schid=8001&amp;row=54&amp;page=42</t>
  </si>
  <si>
    <t>https://journaliststudio.google.com/pinpoint-extract/preview?collection=524daaefa335d538&amp;job=a98fe27898c7f9dc&amp;docid=1244364dcff36f7f_524daaefa335d538&amp;schid=8001&amp;row=55&amp;page=42</t>
  </si>
  <si>
    <t>https://journaliststudio.google.com/pinpoint-extract/preview?collection=524daaefa335d538&amp;job=a98fe27898c7f9dc&amp;docid=1244364dcff36f7f_524daaefa335d538&amp;schid=8001&amp;row=56&amp;page=42</t>
  </si>
  <si>
    <t>https://journaliststudio.google.com/pinpoint-extract/preview?collection=524daaefa335d538&amp;job=a98fe27898c7f9dc&amp;docid=1244364dcff36f7f_524daaefa335d538&amp;schid=8001&amp;row=57&amp;page=43</t>
  </si>
  <si>
    <t>https://journaliststudio.google.com/pinpoint-extract/preview?collection=524daaefa335d538&amp;job=a98fe27898c7f9dc&amp;docid=1244364dcff36f7f_524daaefa335d538&amp;schid=8001&amp;row=58&amp;page=43</t>
  </si>
  <si>
    <t>https://journaliststudio.google.com/pinpoint-extract/preview?collection=524daaefa335d538&amp;job=a98fe27898c7f9dc&amp;docid=1244364dcff36f7f_524daaefa335d538&amp;schid=8001&amp;row=59&amp;page=43</t>
  </si>
  <si>
    <t>https://journaliststudio.google.com/pinpoint-extract/preview?collection=524daaefa335d538&amp;job=a98fe27898c7f9dc&amp;docid=1244364dcff36f7f_524daaefa335d538&amp;schid=8001&amp;row=60&amp;page=43</t>
  </si>
  <si>
    <t>https://journaliststudio.google.com/pinpoint-extract/preview?collection=524daaefa335d538&amp;job=a98fe27898c7f9dc&amp;docid=1244364dcff36f7f_524daaefa335d538&amp;schid=8001&amp;row=61&amp;page=43</t>
  </si>
  <si>
    <t>https://journaliststudio.google.com/pinpoint-extract/preview?collection=524daaefa335d538&amp;job=a98fe27898c7f9dc&amp;docid=1244364dcff36f7f_524daaefa335d538&amp;schid=8001&amp;row=62&amp;page=43</t>
  </si>
  <si>
    <t>https://journaliststudio.google.com/pinpoint-extract/preview?collection=524daaefa335d538&amp;job=a98fe27898c7f9dc&amp;docid=1244364dcff36f7f_524daaefa335d538&amp;schid=8001&amp;row=63&amp;page=43</t>
  </si>
  <si>
    <t>https://journaliststudio.google.com/pinpoint-extract/preview?collection=524daaefa335d538&amp;job=a98fe27898c7f9dc&amp;docid=1244364dcff36f7f_524daaefa335d538&amp;schid=8001&amp;row=64&amp;page=43</t>
  </si>
  <si>
    <t>https://journaliststudio.google.com/pinpoint-extract/preview?collection=524daaefa335d538&amp;job=a98fe27898c7f9dc&amp;docid=1244364dcff36f7f_524daaefa335d538&amp;schid=8001&amp;row=65&amp;page=43</t>
  </si>
  <si>
    <t>https://journaliststudio.google.com/pinpoint-extract/preview?collection=524daaefa335d538&amp;job=a98fe27898c7f9dc&amp;docid=1244364dcff36f7f_524daaefa335d538&amp;schid=8001&amp;row=66&amp;page=43</t>
  </si>
  <si>
    <t>https://journaliststudio.google.com/pinpoint-extract/preview?collection=524daaefa335d538&amp;job=a98fe27898c7f9dc&amp;docid=1244364dcff36f7f_524daaefa335d538&amp;schid=8001&amp;row=67&amp;page=43</t>
  </si>
  <si>
    <t>TOTAL</t>
  </si>
  <si>
    <t>The Presidency</t>
  </si>
  <si>
    <t>2019/2020</t>
  </si>
  <si>
    <t>https://journaliststudio.google.com/pinpoint-extract/preview?collection=524daaefa335d538&amp;job=7dc4c4e6adb9e99a&amp;docid=1f0f8b47c49b27c2_524daaefa335d538&amp;schid=8001&amp;row=2&amp;page=38</t>
  </si>
  <si>
    <t>https://journaliststudio.google.com/pinpoint-extract/preview?collection=524daaefa335d538&amp;job=7dc4c4e6adb9e99a&amp;docid=1f0f8b47c49b27c2_524daaefa335d538&amp;schid=8001&amp;row=3&amp;page=38</t>
  </si>
  <si>
    <t>https://journaliststudio.google.com/pinpoint-extract/preview?collection=524daaefa335d538&amp;job=7dc4c4e6adb9e99a&amp;docid=1f0f8b47c49b27c2_524daaefa335d538&amp;schid=8001&amp;row=4&amp;page=38</t>
  </si>
  <si>
    <t>https://journaliststudio.google.com/pinpoint-extract/preview?collection=524daaefa335d538&amp;job=7dc4c4e6adb9e99a&amp;docid=1f0f8b47c49b27c2_524daaefa335d538&amp;schid=8001&amp;row=5&amp;page=38</t>
  </si>
  <si>
    <t>https://journaliststudio.google.com/pinpoint-extract/preview?collection=524daaefa335d538&amp;job=7dc4c4e6adb9e99a&amp;docid=1f0f8b47c49b27c2_524daaefa335d538&amp;schid=8001&amp;row=6&amp;page=38</t>
  </si>
  <si>
    <t>State Department for Development for the ASALS</t>
  </si>
  <si>
    <t>https://journaliststudio.google.com/pinpoint-extract/preview?collection=524daaefa335d538&amp;job=7dc4c4e6adb9e99a&amp;docid=1f0f8b47c49b27c2_524daaefa335d538&amp;schid=8001&amp;row=7&amp;page=38</t>
  </si>
  <si>
    <t>https://journaliststudio.google.com/pinpoint-extract/preview?collection=524daaefa335d538&amp;job=7dc4c4e6adb9e99a&amp;docid=1f0f8b47c49b27c2_524daaefa335d538&amp;schid=8001&amp;row=8&amp;page=38</t>
  </si>
  <si>
    <t>https://journaliststudio.google.com/pinpoint-extract/preview?collection=524daaefa335d538&amp;job=7dc4c4e6adb9e99a&amp;docid=1f0f8b47c49b27c2_524daaefa335d538&amp;schid=8001&amp;row=9&amp;page=38</t>
  </si>
  <si>
    <t>https://journaliststudio.google.com/pinpoint-extract/preview?collection=524daaefa335d538&amp;job=7dc4c4e6adb9e99a&amp;docid=1f0f8b47c49b27c2_524daaefa335d538&amp;schid=8001&amp;row=10&amp;page=38</t>
  </si>
  <si>
    <t>https://journaliststudio.google.com/pinpoint-extract/preview?collection=524daaefa335d538&amp;job=7dc4c4e6adb9e99a&amp;docid=1f0f8b47c49b27c2_524daaefa335d538&amp;schid=8001&amp;row=11&amp;page=38</t>
  </si>
  <si>
    <t>https://journaliststudio.google.com/pinpoint-extract/preview?collection=524daaefa335d538&amp;job=7dc4c4e6adb9e99a&amp;docid=1f0f8b47c49b27c2_524daaefa335d538&amp;schid=8001&amp;row=12&amp;page=38</t>
  </si>
  <si>
    <t>https://journaliststudio.google.com/pinpoint-extract/preview?collection=524daaefa335d538&amp;job=7dc4c4e6adb9e99a&amp;docid=1f0f8b47c49b27c2_524daaefa335d538&amp;schid=8001&amp;row=13&amp;page=38</t>
  </si>
  <si>
    <t>https://journaliststudio.google.com/pinpoint-extract/preview?collection=524daaefa335d538&amp;job=7dc4c4e6adb9e99a&amp;docid=1f0f8b47c49b27c2_524daaefa335d538&amp;schid=8001&amp;row=14&amp;page=38</t>
  </si>
  <si>
    <t>https://journaliststudio.google.com/pinpoint-extract/preview?collection=524daaefa335d538&amp;job=7dc4c4e6adb9e99a&amp;docid=1f0f8b47c49b27c2_524daaefa335d538&amp;schid=8001&amp;row=15&amp;page=38</t>
  </si>
  <si>
    <t>https://journaliststudio.google.com/pinpoint-extract/preview?collection=524daaefa335d538&amp;job=7dc4c4e6adb9e99a&amp;docid=1f0f8b47c49b27c2_524daaefa335d538&amp;schid=8001&amp;row=16&amp;page=38</t>
  </si>
  <si>
    <t>https://journaliststudio.google.com/pinpoint-extract/preview?collection=524daaefa335d538&amp;job=7dc4c4e6adb9e99a&amp;docid=1f0f8b47c49b27c2_524daaefa335d538&amp;schid=8001&amp;row=17&amp;page=38</t>
  </si>
  <si>
    <t>https://journaliststudio.google.com/pinpoint-extract/preview?collection=524daaefa335d538&amp;job=7dc4c4e6adb9e99a&amp;docid=1f0f8b47c49b27c2_524daaefa335d538&amp;schid=8001&amp;row=18&amp;page=38</t>
  </si>
  <si>
    <t>https://journaliststudio.google.com/pinpoint-extract/preview?collection=524daaefa335d538&amp;job=7dc4c4e6adb9e99a&amp;docid=1f0f8b47c49b27c2_524daaefa335d538&amp;schid=8001&amp;row=19&amp;page=38</t>
  </si>
  <si>
    <t>https://journaliststudio.google.com/pinpoint-extract/preview?collection=524daaefa335d538&amp;job=7dc4c4e6adb9e99a&amp;docid=1f0f8b47c49b27c2_524daaefa335d538&amp;schid=8001&amp;row=20&amp;page=38</t>
  </si>
  <si>
    <t>https://journaliststudio.google.com/pinpoint-extract/preview?collection=524daaefa335d538&amp;job=7dc4c4e6adb9e99a&amp;docid=1f0f8b47c49b27c2_524daaefa335d538&amp;schid=8001&amp;row=21&amp;page=38</t>
  </si>
  <si>
    <t>State Department for Water and Sanitation</t>
  </si>
  <si>
    <t>https://journaliststudio.google.com/pinpoint-extract/preview?collection=524daaefa335d538&amp;job=7dc4c4e6adb9e99a&amp;docid=1f0f8b47c49b27c2_524daaefa335d538&amp;schid=8001&amp;row=22&amp;page=38</t>
  </si>
  <si>
    <t>State Department for Environment and Forestry</t>
  </si>
  <si>
    <t>https://journaliststudio.google.com/pinpoint-extract/preview?collection=524daaefa335d538&amp;job=7dc4c4e6adb9e99a&amp;docid=1f0f8b47c49b27c2_524daaefa335d538&amp;schid=8001&amp;row=23&amp;page=38</t>
  </si>
  <si>
    <t>https://journaliststudio.google.com/pinpoint-extract/preview?collection=524daaefa335d538&amp;job=7dc4c4e6adb9e99a&amp;docid=1f0f8b47c49b27c2_524daaefa335d538&amp;schid=8001&amp;row=24&amp;page=38</t>
  </si>
  <si>
    <t>https://journaliststudio.google.com/pinpoint-extract/preview?collection=524daaefa335d538&amp;job=7dc4c4e6adb9e99a&amp;docid=1f0f8b47c49b27c2_524daaefa335d538&amp;schid=8001&amp;row=27&amp;page=39</t>
  </si>
  <si>
    <t>https://journaliststudio.google.com/pinpoint-extract/preview?collection=524daaefa335d538&amp;job=7dc4c4e6adb9e99a&amp;docid=1f0f8b47c49b27c2_524daaefa335d538&amp;schid=8001&amp;row=28&amp;page=39</t>
  </si>
  <si>
    <t>https://journaliststudio.google.com/pinpoint-extract/preview?collection=524daaefa335d538&amp;job=7dc4c4e6adb9e99a&amp;docid=1f0f8b47c49b27c2_524daaefa335d538&amp;schid=8001&amp;row=29&amp;page=39</t>
  </si>
  <si>
    <t>https://journaliststudio.google.com/pinpoint-extract/preview?collection=524daaefa335d538&amp;job=7dc4c4e6adb9e99a&amp;docid=1f0f8b47c49b27c2_524daaefa335d538&amp;schid=8001&amp;row=30&amp;page=39</t>
  </si>
  <si>
    <t>https://journaliststudio.google.com/pinpoint-extract/preview?collection=524daaefa335d538&amp;job=7dc4c4e6adb9e99a&amp;docid=1f0f8b47c49b27c2_524daaefa335d538&amp;schid=8001&amp;row=31&amp;page=39</t>
  </si>
  <si>
    <t>https://journaliststudio.google.com/pinpoint-extract/preview?collection=524daaefa335d538&amp;job=7dc4c4e6adb9e99a&amp;docid=1f0f8b47c49b27c2_524daaefa335d538&amp;schid=8001&amp;row=32&amp;page=39</t>
  </si>
  <si>
    <t>https://journaliststudio.google.com/pinpoint-extract/preview?collection=524daaefa335d538&amp;job=7dc4c4e6adb9e99a&amp;docid=1f0f8b47c49b27c2_524daaefa335d538&amp;schid=8001&amp;row=33&amp;page=39</t>
  </si>
  <si>
    <t>https://journaliststudio.google.com/pinpoint-extract/preview?collection=524daaefa335d538&amp;job=7dc4c4e6adb9e99a&amp;docid=1f0f8b47c49b27c2_524daaefa335d538&amp;schid=8001&amp;row=34&amp;page=39</t>
  </si>
  <si>
    <t>https://journaliststudio.google.com/pinpoint-extract/preview?collection=524daaefa335d538&amp;job=7dc4c4e6adb9e99a&amp;docid=1f0f8b47c49b27c2_524daaefa335d538&amp;schid=8001&amp;row=35&amp;page=39</t>
  </si>
  <si>
    <t>State Department for Agricultural Research</t>
  </si>
  <si>
    <t>https://journaliststudio.google.com/pinpoint-extract/preview?collection=524daaefa335d538&amp;job=7dc4c4e6adb9e99a&amp;docid=1f0f8b47c49b27c2_524daaefa335d538&amp;schid=8001&amp;row=36&amp;page=39</t>
  </si>
  <si>
    <t>https://journaliststudio.google.com/pinpoint-extract/preview?collection=524daaefa335d538&amp;job=7dc4c4e6adb9e99a&amp;docid=1f0f8b47c49b27c2_524daaefa335d538&amp;schid=8001&amp;row=37&amp;page=39</t>
  </si>
  <si>
    <t>https://journaliststudio.google.com/pinpoint-extract/preview?collection=524daaefa335d538&amp;job=7dc4c4e6adb9e99a&amp;docid=1f0f8b47c49b27c2_524daaefa335d538&amp;schid=8001&amp;row=38&amp;page=39</t>
  </si>
  <si>
    <t>https://journaliststudio.google.com/pinpoint-extract/preview?collection=524daaefa335d538&amp;job=7dc4c4e6adb9e99a&amp;docid=1f0f8b47c49b27c2_524daaefa335d538&amp;schid=8001&amp;row=39&amp;page=39</t>
  </si>
  <si>
    <t>https://journaliststudio.google.com/pinpoint-extract/preview?collection=524daaefa335d538&amp;job=7dc4c4e6adb9e99a&amp;docid=1f0f8b47c49b27c2_524daaefa335d538&amp;schid=8001&amp;row=40&amp;page=39</t>
  </si>
  <si>
    <t>State Department for Social Protection</t>
  </si>
  <si>
    <t>https://journaliststudio.google.com/pinpoint-extract/preview?collection=524daaefa335d538&amp;job=7dc4c4e6adb9e99a&amp;docid=1f0f8b47c49b27c2_524daaefa335d538&amp;schid=8001&amp;row=41&amp;page=39</t>
  </si>
  <si>
    <t>https://journaliststudio.google.com/pinpoint-extract/preview?collection=524daaefa335d538&amp;job=7dc4c4e6adb9e99a&amp;docid=1f0f8b47c49b27c2_524daaefa335d538&amp;schid=8001&amp;row=42&amp;page=39</t>
  </si>
  <si>
    <t>https://journaliststudio.google.com/pinpoint-extract/preview?collection=524daaefa335d538&amp;job=7dc4c4e6adb9e99a&amp;docid=1f0f8b47c49b27c2_524daaefa335d538&amp;schid=8001&amp;row=43&amp;page=39</t>
  </si>
  <si>
    <t>https://journaliststudio.google.com/pinpoint-extract/preview?collection=524daaefa335d538&amp;job=7dc4c4e6adb9e99a&amp;docid=1f0f8b47c49b27c2_524daaefa335d538&amp;schid=8001&amp;row=44&amp;page=39</t>
  </si>
  <si>
    <t>https://journaliststudio.google.com/pinpoint-extract/preview?collection=524daaefa335d538&amp;job=7dc4c4e6adb9e99a&amp;docid=1f0f8b47c49b27c2_524daaefa335d538&amp;schid=8001&amp;row=45&amp;page=39</t>
  </si>
  <si>
    <t>https://journaliststudio.google.com/pinpoint-extract/preview?collection=524daaefa335d538&amp;job=7dc4c4e6adb9e99a&amp;docid=1f0f8b47c49b27c2_524daaefa335d538&amp;schid=8001&amp;row=46&amp;page=39</t>
  </si>
  <si>
    <t>https://journaliststudio.google.com/pinpoint-extract/preview?collection=524daaefa335d538&amp;job=7dc4c4e6adb9e99a&amp;docid=1f0f8b47c49b27c2_524daaefa335d538&amp;schid=8001&amp;row=47&amp;page=39</t>
  </si>
  <si>
    <t>https://journaliststudio.google.com/pinpoint-extract/preview?collection=524daaefa335d538&amp;job=7dc4c4e6adb9e99a&amp;docid=1f0f8b47c49b27c2_524daaefa335d538&amp;schid=8001&amp;row=48&amp;page=39</t>
  </si>
  <si>
    <t>https://journaliststudio.google.com/pinpoint-extract/preview?collection=524daaefa335d538&amp;job=7dc4c4e6adb9e99a&amp;docid=1f0f8b47c49b27c2_524daaefa335d538&amp;schid=8001&amp;row=49&amp;page=39</t>
  </si>
  <si>
    <t>https://journaliststudio.google.com/pinpoint-extract/preview?collection=524daaefa335d538&amp;job=7dc4c4e6adb9e99a&amp;docid=1f0f8b47c49b27c2_524daaefa335d538&amp;schid=8001&amp;row=50&amp;page=39</t>
  </si>
  <si>
    <t>https://journaliststudio.google.com/pinpoint-extract/preview?collection=524daaefa335d538&amp;job=7dc4c4e6adb9e99a&amp;docid=1f0f8b47c49b27c2_524daaefa335d538&amp;schid=8001&amp;row=53&amp;page=40</t>
  </si>
  <si>
    <t>https://journaliststudio.google.com/pinpoint-extract/preview?collection=524daaefa335d538&amp;job=7dc4c4e6adb9e99a&amp;docid=1f0f8b47c49b27c2_524daaefa335d538&amp;schid=8001&amp;row=54&amp;page=40</t>
  </si>
  <si>
    <t>https://journaliststudio.google.com/pinpoint-extract/preview?collection=524daaefa335d538&amp;job=7dc4c4e6adb9e99a&amp;docid=1f0f8b47c49b27c2_524daaefa335d538&amp;schid=8001&amp;row=55&amp;page=40</t>
  </si>
  <si>
    <t>https://journaliststudio.google.com/pinpoint-extract/preview?collection=524daaefa335d538&amp;job=7dc4c4e6adb9e99a&amp;docid=1f0f8b47c49b27c2_524daaefa335d538&amp;schid=8001&amp;row=56&amp;page=40</t>
  </si>
  <si>
    <t>https://journaliststudio.google.com/pinpoint-extract/preview?collection=524daaefa335d538&amp;job=7dc4c4e6adb9e99a&amp;docid=1f0f8b47c49b27c2_524daaefa335d538&amp;schid=8001&amp;row=57&amp;page=40</t>
  </si>
  <si>
    <t>https://journaliststudio.google.com/pinpoint-extract/preview?collection=524daaefa335d538&amp;job=7dc4c4e6adb9e99a&amp;docid=1f0f8b47c49b27c2_524daaefa335d538&amp;schid=8001&amp;row=58&amp;page=40</t>
  </si>
  <si>
    <t>https://journaliststudio.google.com/pinpoint-extract/preview?collection=524daaefa335d538&amp;job=7dc4c4e6adb9e99a&amp;docid=1f0f8b47c49b27c2_524daaefa335d538&amp;schid=8001&amp;row=59&amp;page=40</t>
  </si>
  <si>
    <t>https://journaliststudio.google.com/pinpoint-extract/preview?collection=524daaefa335d538&amp;job=7dc4c4e6adb9e99a&amp;docid=1f0f8b47c49b27c2_524daaefa335d538&amp;schid=8001&amp;row=60&amp;page=40</t>
  </si>
  <si>
    <t>https://journaliststudio.google.com/pinpoint-extract/preview?collection=524daaefa335d538&amp;job=7dc4c4e6adb9e99a&amp;docid=1f0f8b47c49b27c2_524daaefa335d538&amp;schid=8001&amp;row=61&amp;page=40</t>
  </si>
  <si>
    <t>https://journaliststudio.google.com/pinpoint-extract/preview?collection=524daaefa335d538&amp;job=7dc4c4e6adb9e99a&amp;docid=1f0f8b47c49b27c2_524daaefa335d538&amp;schid=8001&amp;row=62&amp;page=40</t>
  </si>
  <si>
    <t>https://journaliststudio.google.com/pinpoint-extract/preview?collection=524daaefa335d538&amp;job=7dc4c4e6adb9e99a&amp;docid=1f0f8b47c49b27c2_524daaefa335d538&amp;schid=8001&amp;row=63&amp;page=40</t>
  </si>
  <si>
    <t>https://journaliststudio.google.com/pinpoint-extract/preview?collection=524daaefa335d538&amp;job=7dc4c4e6adb9e99a&amp;docid=1f0f8b47c49b27c2_524daaefa335d538&amp;schid=8001&amp;row=64&amp;page=40</t>
  </si>
  <si>
    <t>https://journaliststudio.google.com/pinpoint-extract/preview?collection=524daaefa335d538&amp;job=7dc4c4e6adb9e99a&amp;docid=1f0f8b47c49b27c2_524daaefa335d538&amp;schid=8001&amp;row=65&amp;page=40</t>
  </si>
  <si>
    <t>https://journaliststudio.google.com/pinpoint-extract/preview?collection=524daaefa335d538&amp;job=7dc4c4e6adb9e99a&amp;docid=1f0f8b47c49b27c2_524daaefa335d538&amp;schid=8001&amp;row=66&amp;page=40</t>
  </si>
  <si>
    <t>https://journaliststudio.google.com/pinpoint-extract/preview?collection=524daaefa335d538&amp;job=7dc4c4e6adb9e99a&amp;docid=1f0f8b47c49b27c2_524daaefa335d538&amp;schid=8001&amp;row=67&amp;page=40</t>
  </si>
  <si>
    <t>https://journaliststudio.google.com/pinpoint-extract/preview?collection=524daaefa335d538&amp;job=7dc4c4e6adb9e99a&amp;docid=1f0f8b47c49b27c2_524daaefa335d538&amp;schid=8001&amp;row=68&amp;page=40</t>
  </si>
  <si>
    <t>https://journaliststudio.google.com/pinpoint-extract/preview?collection=524daaefa335d538&amp;job=7dc4c4e6adb9e99a&amp;docid=1f0f8b47c49b27c2_524daaefa335d538&amp;schid=8001&amp;row=69&amp;page=40</t>
  </si>
  <si>
    <t>https://journaliststudio.google.com/pinpoint-extract/preview?collection=524daaefa335d538&amp;job=7dc4c4e6adb9e99a&amp;docid=1f0f8b47c49b27c2_524daaefa335d538&amp;schid=8001&amp;row=70&amp;page=40</t>
  </si>
  <si>
    <t>https://journaliststudio.google.com/pinpoint-extract/preview?collection=524daaefa335d538&amp;job=7dc4c4e6adb9e99a&amp;docid=1f0f8b47c49b27c2_524daaefa335d538&amp;schid=8001&amp;row=71&amp;page=40</t>
  </si>
  <si>
    <t>https://journaliststudio.google.com/pinpoint-extract/preview?collection=524daaefa335d538&amp;job=7dc4c4e6adb9e99a&amp;docid=1f0f8b47c49b27c2_524daaefa335d538&amp;schid=8001&amp;row=72&amp;page=40</t>
  </si>
  <si>
    <t>https://journaliststudio.google.com/pinpoint-extract/preview?collection=524daaefa335d538&amp;job=7dc4c4e6adb9e99a&amp;docid=1f0f8b47c49b27c2_524daaefa335d538&amp;schid=8001&amp;row=73&amp;page=40</t>
  </si>
  <si>
    <t>https://journaliststudio.google.com/pinpoint-extract/preview?collection=524daaefa335d538&amp;job=7dc4c4e6adb9e99a&amp;docid=1f0f8b47c49b27c2_524daaefa335d538&amp;schid=8001&amp;row=74&amp;page=40</t>
  </si>
  <si>
    <t>https://journaliststudio.google.com/pinpoint-extract/preview?collection=524daaefa335d538&amp;job=7dc4c4e6adb9e99a&amp;docid=1f0f8b47c49b27c2_524daaefa335d538&amp;schid=8001&amp;row=75&amp;page=40</t>
  </si>
  <si>
    <t>https://journaliststudio.google.com/pinpoint-extract/preview?collection=524daaefa335d538&amp;job=7dc4c4e6adb9e99a&amp;docid=1f0f8b47c49b27c2_524daaefa335d538&amp;schid=8001&amp;row=79&amp;page=41</t>
  </si>
  <si>
    <t xml:space="preserve"> </t>
  </si>
  <si>
    <t>https://journaliststudio.google.com/pinpoint-extract/preview?collection=524daaefa335d538&amp;job=7dc4c4e6adb9e99a&amp;docid=1f0f8b47c49b27c2_524daaefa335d538&amp;schid=8001&amp;row=80&amp;page=41</t>
  </si>
  <si>
    <t>2018/2019</t>
  </si>
  <si>
    <t>https://journaliststudio.google.com/pinpoint-extract/preview?collection=59c534ba70c0b75b&amp;job=4cd2f64341a72b0b&amp;docid=d5c6addb973fc20e_59c534ba70c0b75b&amp;schid=8001&amp;row=0&amp;page=38</t>
  </si>
  <si>
    <t>https://journaliststudio.google.com/pinpoint-extract/preview?collection=59c534ba70c0b75b&amp;job=4cd2f64341a72b0b&amp;docid=d5c6addb973fc20e_59c534ba70c0b75b&amp;schid=8001&amp;row=1&amp;page=38</t>
  </si>
  <si>
    <t>https://journaliststudio.google.com/pinpoint-extract/preview?collection=59c534ba70c0b75b&amp;job=4cd2f64341a72b0b&amp;docid=d5c6addb973fc20e_59c534ba70c0b75b&amp;schid=8001&amp;row=2&amp;page=38</t>
  </si>
  <si>
    <t>https://journaliststudio.google.com/pinpoint-extract/preview?collection=59c534ba70c0b75b&amp;job=4cd2f64341a72b0b&amp;docid=d5c6addb973fc20e_59c534ba70c0b75b&amp;schid=8001&amp;row=3&amp;page=38</t>
  </si>
  <si>
    <t>https://journaliststudio.google.com/pinpoint-extract/preview?collection=59c534ba70c0b75b&amp;job=4cd2f64341a72b0b&amp;docid=d5c6addb973fc20e_59c534ba70c0b75b&amp;schid=8001&amp;row=4&amp;page=38</t>
  </si>
  <si>
    <t>https://journaliststudio.google.com/pinpoint-extract/preview?collection=59c534ba70c0b75b&amp;job=4cd2f64341a72b0b&amp;docid=d5c6addb973fc20e_59c534ba70c0b75b&amp;schid=8001&amp;row=5&amp;page=38</t>
  </si>
  <si>
    <t>https://journaliststudio.google.com/pinpoint-extract/preview?collection=59c534ba70c0b75b&amp;job=4cd2f64341a72b0b&amp;docid=d5c6addb973fc20e_59c534ba70c0b75b&amp;schid=8001&amp;row=6&amp;page=38</t>
  </si>
  <si>
    <t>https://journaliststudio.google.com/pinpoint-extract/preview?collection=59c534ba70c0b75b&amp;job=4cd2f64341a72b0b&amp;docid=d5c6addb973fc20e_59c534ba70c0b75b&amp;schid=8001&amp;row=7&amp;page=38</t>
  </si>
  <si>
    <t>https://journaliststudio.google.com/pinpoint-extract/preview?collection=59c534ba70c0b75b&amp;job=4cd2f64341a72b0b&amp;docid=d5c6addb973fc20e_59c534ba70c0b75b&amp;schid=8001&amp;row=8&amp;page=38</t>
  </si>
  <si>
    <t>https://journaliststudio.google.com/pinpoint-extract/preview?collection=59c534ba70c0b75b&amp;job=4cd2f64341a72b0b&amp;docid=d5c6addb973fc20e_59c534ba70c0b75b&amp;schid=8001&amp;row=9&amp;page=38</t>
  </si>
  <si>
    <t>https://journaliststudio.google.com/pinpoint-extract/preview?collection=59c534ba70c0b75b&amp;job=4cd2f64341a72b0b&amp;docid=d5c6addb973fc20e_59c534ba70c0b75b&amp;schid=8001&amp;row=10&amp;page=38</t>
  </si>
  <si>
    <t>https://journaliststudio.google.com/pinpoint-extract/preview?collection=59c534ba70c0b75b&amp;job=4cd2f64341a72b0b&amp;docid=d5c6addb973fc20e_59c534ba70c0b75b&amp;schid=8001&amp;row=11&amp;page=38</t>
  </si>
  <si>
    <t>https://journaliststudio.google.com/pinpoint-extract/preview?collection=59c534ba70c0b75b&amp;job=4cd2f64341a72b0b&amp;docid=d5c6addb973fc20e_59c534ba70c0b75b&amp;schid=8001&amp;row=12&amp;page=38</t>
  </si>
  <si>
    <t>https://journaliststudio.google.com/pinpoint-extract/preview?collection=59c534ba70c0b75b&amp;job=4cd2f64341a72b0b&amp;docid=d5c6addb973fc20e_59c534ba70c0b75b&amp;schid=8001&amp;row=13&amp;page=38</t>
  </si>
  <si>
    <t>https://journaliststudio.google.com/pinpoint-extract/preview?collection=59c534ba70c0b75b&amp;job=4cd2f64341a72b0b&amp;docid=d5c6addb973fc20e_59c534ba70c0b75b&amp;schid=8001&amp;row=14&amp;page=38</t>
  </si>
  <si>
    <t>https://journaliststudio.google.com/pinpoint-extract/preview?collection=59c534ba70c0b75b&amp;job=4cd2f64341a72b0b&amp;docid=d5c6addb973fc20e_59c534ba70c0b75b&amp;schid=8001&amp;row=15&amp;page=38</t>
  </si>
  <si>
    <t>1.4.</t>
  </si>
  <si>
    <t>https://journaliststudio.google.com/pinpoint-extract/preview?collection=59c534ba70c0b75b&amp;job=4cd2f64341a72b0b&amp;docid=d5c6addb973fc20e_59c534ba70c0b75b&amp;schid=8001&amp;row=16&amp;page=38</t>
  </si>
  <si>
    <t>https://journaliststudio.google.com/pinpoint-extract/preview?collection=59c534ba70c0b75b&amp;job=4cd2f64341a72b0b&amp;docid=d5c6addb973fc20e_59c534ba70c0b75b&amp;schid=8001&amp;row=17&amp;page=38</t>
  </si>
  <si>
    <t>https://journaliststudio.google.com/pinpoint-extract/preview?collection=59c534ba70c0b75b&amp;job=4cd2f64341a72b0b&amp;docid=d5c6addb973fc20e_59c534ba70c0b75b&amp;schid=8001&amp;row=18&amp;page=38</t>
  </si>
  <si>
    <t>https://journaliststudio.google.com/pinpoint-extract/preview?collection=59c534ba70c0b75b&amp;job=4cd2f64341a72b0b&amp;docid=d5c6addb973fc20e_59c534ba70c0b75b&amp;schid=8001&amp;row=19&amp;page=38</t>
  </si>
  <si>
    <t>State Department for Housing, Urban Development and Public Works</t>
  </si>
  <si>
    <t>https://journaliststudio.google.com/pinpoint-extract/preview?collection=59c534ba70c0b75b&amp;job=4cd2f64341a72b0b&amp;docid=d5c6addb973fc20e_59c534ba70c0b75b&amp;schid=8001&amp;row=20&amp;page=38</t>
  </si>
  <si>
    <t>https://journaliststudio.google.com/pinpoint-extract/preview?collection=59c534ba70c0b75b&amp;job=4cd2f64341a72b0b&amp;docid=d5c6addb973fc20e_59c534ba70c0b75b&amp;schid=8001&amp;row=21&amp;page=38</t>
  </si>
  <si>
    <t>https://journaliststudio.google.com/pinpoint-extract/preview?collection=59c534ba70c0b75b&amp;job=4cd2f64341a72b0b&amp;docid=d5c6addb973fc20e_59c534ba70c0b75b&amp;schid=8001&amp;row=22&amp;page=39</t>
  </si>
  <si>
    <t>https://journaliststudio.google.com/pinpoint-extract/preview?collection=59c534ba70c0b75b&amp;job=4cd2f64341a72b0b&amp;docid=d5c6addb973fc20e_59c534ba70c0b75b&amp;schid=8001&amp;row=23&amp;page=39</t>
  </si>
  <si>
    <t>https://journaliststudio.google.com/pinpoint-extract/preview?collection=59c534ba70c0b75b&amp;job=4cd2f64341a72b0b&amp;docid=d5c6addb973fc20e_59c534ba70c0b75b&amp;schid=8001&amp;row=24&amp;page=39</t>
  </si>
  <si>
    <t>https://journaliststudio.google.com/pinpoint-extract/preview?collection=59c534ba70c0b75b&amp;job=4cd2f64341a72b0b&amp;docid=d5c6addb973fc20e_59c534ba70c0b75b&amp;schid=8001&amp;row=25&amp;page=39</t>
  </si>
  <si>
    <t>https://journaliststudio.google.com/pinpoint-extract/preview?collection=59c534ba70c0b75b&amp;job=4cd2f64341a72b0b&amp;docid=d5c6addb973fc20e_59c534ba70c0b75b&amp;schid=8001&amp;row=26&amp;page=39</t>
  </si>
  <si>
    <t>https://journaliststudio.google.com/pinpoint-extract/preview?collection=59c534ba70c0b75b&amp;job=4cd2f64341a72b0b&amp;docid=d5c6addb973fc20e_59c534ba70c0b75b&amp;schid=8001&amp;row=27&amp;page=39</t>
  </si>
  <si>
    <t>https://journaliststudio.google.com/pinpoint-extract/preview?collection=59c534ba70c0b75b&amp;job=4cd2f64341a72b0b&amp;docid=d5c6addb973fc20e_59c534ba70c0b75b&amp;schid=8001&amp;row=28&amp;page=39</t>
  </si>
  <si>
    <t>https://journaliststudio.google.com/pinpoint-extract/preview?collection=59c534ba70c0b75b&amp;job=4cd2f64341a72b0b&amp;docid=d5c6addb973fc20e_59c534ba70c0b75b&amp;schid=8001&amp;row=29&amp;page=39</t>
  </si>
  <si>
    <t>https://journaliststudio.google.com/pinpoint-extract/preview?collection=59c534ba70c0b75b&amp;job=4cd2f64341a72b0b&amp;docid=d5c6addb973fc20e_59c534ba70c0b75b&amp;schid=8001&amp;row=30&amp;page=39</t>
  </si>
  <si>
    <t>https://journaliststudio.google.com/pinpoint-extract/preview?collection=59c534ba70c0b75b&amp;job=4cd2f64341a72b0b&amp;docid=d5c6addb973fc20e_59c534ba70c0b75b&amp;schid=8001&amp;row=31&amp;page=39</t>
  </si>
  <si>
    <t>https://journaliststudio.google.com/pinpoint-extract/preview?collection=59c534ba70c0b75b&amp;job=4cd2f64341a72b0b&amp;docid=d5c6addb973fc20e_59c534ba70c0b75b&amp;schid=8001&amp;row=32&amp;page=39</t>
  </si>
  <si>
    <t>https://journaliststudio.google.com/pinpoint-extract/preview?collection=59c534ba70c0b75b&amp;job=4cd2f64341a72b0b&amp;docid=d5c6addb973fc20e_59c534ba70c0b75b&amp;schid=8001&amp;row=33&amp;page=39</t>
  </si>
  <si>
    <t>https://journaliststudio.google.com/pinpoint-extract/preview?collection=59c534ba70c0b75b&amp;job=4cd2f64341a72b0b&amp;docid=d5c6addb973fc20e_59c534ba70c0b75b&amp;schid=8001&amp;row=34&amp;page=39</t>
  </si>
  <si>
    <t>https://journaliststudio.google.com/pinpoint-extract/preview?collection=59c534ba70c0b75b&amp;job=4cd2f64341a72b0b&amp;docid=d5c6addb973fc20e_59c534ba70c0b75b&amp;schid=8001&amp;row=35&amp;page=39</t>
  </si>
  <si>
    <t>https://journaliststudio.google.com/pinpoint-extract/preview?collection=59c534ba70c0b75b&amp;job=4cd2f64341a72b0b&amp;docid=d5c6addb973fc20e_59c534ba70c0b75b&amp;schid=8001&amp;row=36&amp;page=39</t>
  </si>
  <si>
    <t>https://journaliststudio.google.com/pinpoint-extract/preview?collection=59c534ba70c0b75b&amp;job=4cd2f64341a72b0b&amp;docid=d5c6addb973fc20e_59c534ba70c0b75b&amp;schid=8001&amp;row=37&amp;page=39</t>
  </si>
  <si>
    <t>https://journaliststudio.google.com/pinpoint-extract/preview?collection=59c534ba70c0b75b&amp;job=4cd2f64341a72b0b&amp;docid=d5c6addb973fc20e_59c534ba70c0b75b&amp;schid=8001&amp;row=38&amp;page=39</t>
  </si>
  <si>
    <t>https://journaliststudio.google.com/pinpoint-extract/preview?collection=59c534ba70c0b75b&amp;job=4cd2f64341a72b0b&amp;docid=d5c6addb973fc20e_59c534ba70c0b75b&amp;schid=8001&amp;row=39&amp;page=39</t>
  </si>
  <si>
    <t>https://journaliststudio.google.com/pinpoint-extract/preview?collection=59c534ba70c0b75b&amp;job=4cd2f64341a72b0b&amp;docid=d5c6addb973fc20e_59c534ba70c0b75b&amp;schid=8001&amp;row=40&amp;page=39</t>
  </si>
  <si>
    <t>https://journaliststudio.google.com/pinpoint-extract/preview?collection=59c534ba70c0b75b&amp;job=4cd2f64341a72b0b&amp;docid=d5c6addb973fc20e_59c534ba70c0b75b&amp;schid=8001&amp;row=41&amp;page=39</t>
  </si>
  <si>
    <t>https://journaliststudio.google.com/pinpoint-extract/preview?collection=59c534ba70c0b75b&amp;job=4cd2f64341a72b0b&amp;docid=d5c6addb973fc20e_59c534ba70c0b75b&amp;schid=8001&amp;row=42&amp;page=39</t>
  </si>
  <si>
    <t>Ministry of Tourism and Wildlife</t>
  </si>
  <si>
    <t>https://journaliststudio.google.com/pinpoint-extract/preview?collection=59c534ba70c0b75b&amp;job=4cd2f64341a72b0b&amp;docid=d5c6addb973fc20e_59c534ba70c0b75b&amp;schid=8001&amp;row=43&amp;page=39</t>
  </si>
  <si>
    <t>State Department for Public Service and youth</t>
  </si>
  <si>
    <t>https://journaliststudio.google.com/pinpoint-extract/preview?collection=59c534ba70c0b75b&amp;job=4cd2f64341a72b0b&amp;docid=d5c6addb973fc20e_59c534ba70c0b75b&amp;schid=8001&amp;row=44&amp;page=39</t>
  </si>
  <si>
    <t>State Department for Public service</t>
  </si>
  <si>
    <t>https://journaliststudio.google.com/pinpoint-extract/preview?collection=59c534ba70c0b75b&amp;job=4cd2f64341a72b0b&amp;docid=d5c6addb973fc20e_59c534ba70c0b75b&amp;schid=8001&amp;row=45&amp;page=39</t>
  </si>
  <si>
    <t>https://journaliststudio.google.com/pinpoint-extract/preview?collection=59c534ba70c0b75b&amp;job=4cd2f64341a72b0b&amp;docid=d5c6addb973fc20e_59c534ba70c0b75b&amp;schid=8001&amp;row=46&amp;page=39</t>
  </si>
  <si>
    <t>https://journaliststudio.google.com/pinpoint-extract/preview?collection=59c534ba70c0b75b&amp;job=4cd2f64341a72b0b&amp;docid=d5c6addb973fc20e_59c534ba70c0b75b&amp;schid=8001&amp;row=47&amp;page=40</t>
  </si>
  <si>
    <t>https://journaliststudio.google.com/pinpoint-extract/preview?collection=59c534ba70c0b75b&amp;job=4cd2f64341a72b0b&amp;docid=d5c6addb973fc20e_59c534ba70c0b75b&amp;schid=8001&amp;row=48&amp;page=40</t>
  </si>
  <si>
    <t>https://journaliststudio.google.com/pinpoint-extract/preview?collection=59c534ba70c0b75b&amp;job=4cd2f64341a72b0b&amp;docid=d5c6addb973fc20e_59c534ba70c0b75b&amp;schid=8001&amp;row=49&amp;page=40</t>
  </si>
  <si>
    <t>https://journaliststudio.google.com/pinpoint-extract/preview?collection=59c534ba70c0b75b&amp;job=4cd2f64341a72b0b&amp;docid=d5c6addb973fc20e_59c534ba70c0b75b&amp;schid=8001&amp;row=50&amp;page=40</t>
  </si>
  <si>
    <t>https://journaliststudio.google.com/pinpoint-extract/preview?collection=59c534ba70c0b75b&amp;job=4cd2f64341a72b0b&amp;docid=d5c6addb973fc20e_59c534ba70c0b75b&amp;schid=8001&amp;row=51&amp;page=40</t>
  </si>
  <si>
    <t>https://journaliststudio.google.com/pinpoint-extract/preview?collection=59c534ba70c0b75b&amp;job=4cd2f64341a72b0b&amp;docid=d5c6addb973fc20e_59c534ba70c0b75b&amp;schid=8001&amp;row=52&amp;page=40</t>
  </si>
  <si>
    <t>https://journaliststudio.google.com/pinpoint-extract/preview?collection=59c534ba70c0b75b&amp;job=4cd2f64341a72b0b&amp;docid=d5c6addb973fc20e_59c534ba70c0b75b&amp;schid=8001&amp;row=53&amp;page=40</t>
  </si>
  <si>
    <t>https://journaliststudio.google.com/pinpoint-extract/preview?collection=59c534ba70c0b75b&amp;job=4cd2f64341a72b0b&amp;docid=d5c6addb973fc20e_59c534ba70c0b75b&amp;schid=8001&amp;row=54&amp;page=40</t>
  </si>
  <si>
    <t>https://journaliststudio.google.com/pinpoint-extract/preview?collection=59c534ba70c0b75b&amp;job=4cd2f64341a72b0b&amp;docid=d5c6addb973fc20e_59c534ba70c0b75b&amp;schid=8001&amp;row=55&amp;page=40</t>
  </si>
  <si>
    <t>https://journaliststudio.google.com/pinpoint-extract/preview?collection=59c534ba70c0b75b&amp;job=4cd2f64341a72b0b&amp;docid=d5c6addb973fc20e_59c534ba70c0b75b&amp;schid=8001&amp;row=56&amp;page=40</t>
  </si>
  <si>
    <t>https://journaliststudio.google.com/pinpoint-extract/preview?collection=59c534ba70c0b75b&amp;job=4cd2f64341a72b0b&amp;docid=d5c6addb973fc20e_59c534ba70c0b75b&amp;schid=8001&amp;row=57&amp;page=40</t>
  </si>
  <si>
    <t>https://journaliststudio.google.com/pinpoint-extract/preview?collection=59c534ba70c0b75b&amp;job=4cd2f64341a72b0b&amp;docid=d5c6addb973fc20e_59c534ba70c0b75b&amp;schid=8001&amp;row=58&amp;page=40</t>
  </si>
  <si>
    <t>https://journaliststudio.google.com/pinpoint-extract/preview?collection=59c534ba70c0b75b&amp;job=4cd2f64341a72b0b&amp;docid=d5c6addb973fc20e_59c534ba70c0b75b&amp;schid=8001&amp;row=59&amp;page=40</t>
  </si>
  <si>
    <t>https://journaliststudio.google.com/pinpoint-extract/preview?collection=59c534ba70c0b75b&amp;job=4cd2f64341a72b0b&amp;docid=d5c6addb973fc20e_59c534ba70c0b75b&amp;schid=8001&amp;row=60&amp;page=40</t>
  </si>
  <si>
    <t>https://journaliststudio.google.com/pinpoint-extract/preview?collection=59c534ba70c0b75b&amp;job=4cd2f64341a72b0b&amp;docid=d5c6addb973fc20e_59c534ba70c0b75b&amp;schid=8001&amp;row=61&amp;page=40</t>
  </si>
  <si>
    <t>https://journaliststudio.google.com/pinpoint-extract/preview?collection=59c534ba70c0b75b&amp;job=4cd2f64341a72b0b&amp;docid=d5c6addb973fc20e_59c534ba70c0b75b&amp;schid=8001&amp;row=62&amp;page=40</t>
  </si>
  <si>
    <t>https://journaliststudio.google.com/pinpoint-extract/preview?collection=59c534ba70c0b75b&amp;job=4cd2f64341a72b0b&amp;docid=d5c6addb973fc20e_59c534ba70c0b75b&amp;schid=8001&amp;row=63&amp;page=40</t>
  </si>
  <si>
    <t>https://journaliststudio.google.com/pinpoint-extract/preview?collection=59c534ba70c0b75b&amp;job=4cd2f64341a72b0b&amp;docid=d5c6addb973fc20e_59c534ba70c0b75b&amp;schid=8001&amp;row=64&amp;page=40</t>
  </si>
  <si>
    <t>https://journaliststudio.google.com/pinpoint-extract/preview?collection=59c534ba70c0b75b&amp;job=4cd2f64341a72b0b&amp;docid=d5c6addb973fc20e_59c534ba70c0b75b&amp;schid=8001&amp;row=65&amp;page=40</t>
  </si>
  <si>
    <t>https://journaliststudio.google.com/pinpoint-extract/preview?collection=59c534ba70c0b75b&amp;job=4cd2f64341a72b0b&amp;docid=d5c6addb973fc20e_59c534ba70c0b75b&amp;schid=8001&amp;row=66&amp;page=40</t>
  </si>
  <si>
    <t>https://journaliststudio.google.com/pinpoint-extract/preview?collection=59c534ba70c0b75b&amp;job=4cd2f64341a72b0b&amp;docid=d5c6addb973fc20e_59c534ba70c0b75b&amp;schid=8001&amp;row=67&amp;page=40</t>
  </si>
  <si>
    <t>https://journaliststudio.google.com/pinpoint-extract/preview?collection=59c534ba70c0b75b&amp;job=4cd2f64341a72b0b&amp;docid=d5c6addb973fc20e_59c534ba70c0b75b&amp;schid=8001&amp;row=68&amp;page=40</t>
  </si>
  <si>
    <t>https://journaliststudio.google.com/pinpoint-extract/preview?collection=59c534ba70c0b75b&amp;job=4cd2f64341a72b0b&amp;docid=d5c6addb973fc20e_59c534ba70c0b75b&amp;schid=8001&amp;row=69&amp;page=40</t>
  </si>
  <si>
    <t>https://journaliststudio.google.com/pinpoint-extract/preview?collection=59c534ba70c0b75b&amp;job=4cd2f64341a72b0b&amp;docid=d5c6addb973fc20e_59c534ba70c0b75b&amp;schid=8001&amp;row=70&amp;page=41</t>
  </si>
  <si>
    <t>https://journaliststudio.google.com/pinpoint-extract/preview?collection=59c534ba70c0b75b&amp;job=4cd2f64341a72b0b&amp;docid=d5c6addb973fc20e_59c534ba70c0b75b&amp;schid=8001&amp;row=71&amp;page=41</t>
  </si>
  <si>
    <t>https://journaliststudio.google.com/pinpoint-extract/preview?collection=59c534ba70c0b75b&amp;job=4cd2f64341a72b0b&amp;docid=d5c6addb973fc20e_59c534ba70c0b75b&amp;schid=8001&amp;row=72&amp;page=41</t>
  </si>
  <si>
    <t>https://journaliststudio.google.com/pinpoint-extract/preview?collection=59c534ba70c0b75b&amp;job=4cd2f64341a72b0b&amp;docid=d5c6addb973fc20e_59c534ba70c0b75b&amp;schid=8001&amp;row=73&amp;page=41</t>
  </si>
  <si>
    <t>2017/2018</t>
  </si>
  <si>
    <t>https://journaliststudio.google.com/pinpoint-extract/preview?collection=94f5d562231d4dd6&amp;job=ae935e256ae44e8c&amp;docid=bb843fadc6314b6e_94f5d562231d4dd6&amp;schid=8017&amp;row=0&amp;page=27</t>
  </si>
  <si>
    <t>https://journaliststudio.google.com/pinpoint-extract/preview?collection=94f5d562231d4dd6&amp;job=ae935e256ae44e8c&amp;docid=bb843fadc6314b6e_94f5d562231d4dd6&amp;schid=8017&amp;row=1&amp;page=27</t>
  </si>
  <si>
    <t>https://journaliststudio.google.com/pinpoint-extract/preview?collection=94f5d562231d4dd6&amp;job=ae935e256ae44e8c&amp;docid=bb843fadc6314b6e_94f5d562231d4dd6&amp;schid=8017&amp;row=2&amp;page=27</t>
  </si>
  <si>
    <t>https://journaliststudio.google.com/pinpoint-extract/preview?collection=94f5d562231d4dd6&amp;job=ae935e256ae44e8c&amp;docid=bb843fadc6314b6e_94f5d562231d4dd6&amp;schid=8017&amp;row=3&amp;page=27</t>
  </si>
  <si>
    <t>State Department for Special Programmes</t>
  </si>
  <si>
    <t>https://journaliststudio.google.com/pinpoint-extract/preview?collection=94f5d562231d4dd6&amp;job=ae935e256ae44e8c&amp;docid=bb843fadc6314b6e_94f5d562231d4dd6&amp;schid=8017&amp;row=4&amp;page=27</t>
  </si>
  <si>
    <t>State Department for Planning &amp; Statistics</t>
  </si>
  <si>
    <t>https://journaliststudio.google.com/pinpoint-extract/preview?collection=94f5d562231d4dd6&amp;job=ae935e256ae44e8c&amp;docid=bb843fadc6314b6e_94f5d562231d4dd6&amp;schid=8017&amp;row=5&amp;page=27</t>
  </si>
  <si>
    <t>https://journaliststudio.google.com/pinpoint-extract/preview?collection=94f5d562231d4dd6&amp;job=ae935e256ae44e8c&amp;docid=bb843fadc6314b6e_94f5d562231d4dd6&amp;schid=8017&amp;row=6&amp;page=27</t>
  </si>
  <si>
    <t>Ministry of Foreign Affairs and International Trade</t>
  </si>
  <si>
    <t>https://journaliststudio.google.com/pinpoint-extract/preview?collection=94f5d562231d4dd6&amp;job=ae935e256ae44e8c&amp;docid=bb843fadc6314b6e_94f5d562231d4dd6&amp;schid=8017&amp;row=7&amp;page=27</t>
  </si>
  <si>
    <t>https://journaliststudio.google.com/pinpoint-extract/preview?collection=94f5d562231d4dd6&amp;job=ae935e256ae44e8c&amp;docid=bb843fadc6314b6e_94f5d562231d4dd6&amp;schid=8017&amp;row=8&amp;page=27</t>
  </si>
  <si>
    <t>https://journaliststudio.google.com/pinpoint-extract/preview?collection=94f5d562231d4dd6&amp;job=ae935e256ae44e8c&amp;docid=bb843fadc6314b6e_94f5d562231d4dd6&amp;schid=8017&amp;row=9&amp;page=27</t>
  </si>
  <si>
    <t>https://journaliststudio.google.com/pinpoint-extract/preview?collection=94f5d562231d4dd6&amp;job=ae935e256ae44e8c&amp;docid=bb843fadc6314b6e_94f5d562231d4dd6&amp;schid=8017&amp;row=10&amp;page=27</t>
  </si>
  <si>
    <t>https://journaliststudio.google.com/pinpoint-extract/preview?collection=94f5d562231d4dd6&amp;job=ae935e256ae44e8c&amp;docid=bb843fadc6314b6e_94f5d562231d4dd6&amp;schid=8017&amp;row=11&amp;page=27</t>
  </si>
  <si>
    <t>https://journaliststudio.google.com/pinpoint-extract/preview?collection=94f5d562231d4dd6&amp;job=ae935e256ae44e8c&amp;docid=bb843fadc6314b6e_94f5d562231d4dd6&amp;schid=8017&amp;row=12&amp;page=27</t>
  </si>
  <si>
    <t>https://journaliststudio.google.com/pinpoint-extract/preview?collection=94f5d562231d4dd6&amp;job=ae935e256ae44e8c&amp;docid=bb843fadc6314b6e_94f5d562231d4dd6&amp;schid=8017&amp;row=13&amp;page=27</t>
  </si>
  <si>
    <t>https://journaliststudio.google.com/pinpoint-extract/preview?collection=94f5d562231d4dd6&amp;job=ae935e256ae44e8c&amp;docid=bb843fadc6314b6e_94f5d562231d4dd6&amp;schid=8017&amp;row=14&amp;page=27</t>
  </si>
  <si>
    <t>State Department for Maritime Affairs</t>
  </si>
  <si>
    <t>https://journaliststudio.google.com/pinpoint-extract/preview?collection=94f5d562231d4dd6&amp;job=ae935e256ae44e8c&amp;docid=bb843fadc6314b6e_94f5d562231d4dd6&amp;schid=8017&amp;row=15&amp;page=27</t>
  </si>
  <si>
    <t>https://journaliststudio.google.com/pinpoint-extract/preview?collection=94f5d562231d4dd6&amp;job=ae935e256ae44e8c&amp;docid=bb843fadc6314b6e_94f5d562231d4dd6&amp;schid=8017&amp;row=16&amp;page=27</t>
  </si>
  <si>
    <t>https://journaliststudio.google.com/pinpoint-extract/preview?collection=94f5d562231d4dd6&amp;job=ae935e256ae44e8c&amp;docid=bb843fadc6314b6e_94f5d562231d4dd6&amp;schid=8017&amp;row=17&amp;page=27</t>
  </si>
  <si>
    <t>State Department for Water Services</t>
  </si>
  <si>
    <t>https://journaliststudio.google.com/pinpoint-extract/preview?collection=94f5d562231d4dd6&amp;job=ae935e256ae44e8c&amp;docid=bb843fadc6314b6e_94f5d562231d4dd6&amp;schid=8017&amp;row=18&amp;page=27</t>
  </si>
  <si>
    <t>https://journaliststudio.google.com/pinpoint-extract/preview?collection=94f5d562231d4dd6&amp;job=ae935e256ae44e8c&amp;docid=bb843fadc6314b6e_94f5d562231d4dd6&amp;schid=8017&amp;row=19&amp;page=27</t>
  </si>
  <si>
    <t>State Department for Environment</t>
  </si>
  <si>
    <t>https://journaliststudio.google.com/pinpoint-extract/preview?collection=94f5d562231d4dd6&amp;job=ae935e256ae44e8c&amp;docid=bb843fadc6314b6e_94f5d562231d4dd6&amp;schid=8017&amp;row=20&amp;page=27</t>
  </si>
  <si>
    <t>State Department for Natural Resources</t>
  </si>
  <si>
    <t>https://journaliststudio.google.com/pinpoint-extract/preview?collection=94f5d562231d4dd6&amp;job=ae935e256ae44e8c&amp;docid=bb843fadc6314b6e_94f5d562231d4dd6&amp;schid=8017&amp;row=21&amp;page=27</t>
  </si>
  <si>
    <t>https://journaliststudio.google.com/pinpoint-extract/preview?collection=94f5d562231d4dd6&amp;job=ae935e256ae44e8c&amp;docid=bb843fadc6314b6e_94f5d562231d4dd6&amp;schid=8017&amp;row=22&amp;page=27</t>
  </si>
  <si>
    <t>State Department of Information Communications &amp; Technology &amp; Innovation</t>
  </si>
  <si>
    <t>https://journaliststudio.google.com/pinpoint-extract/preview?collection=94f5d562231d4dd6&amp;job=73925388c8ca2ad8&amp;docid=bb843fadc6314b6e_94f5d562231d4dd6&amp;schid=8030&amp;row=0&amp;page=28</t>
  </si>
  <si>
    <t>https://journaliststudio.google.com/pinpoint-extract/preview?collection=94f5d562231d4dd6&amp;job=73925388c8ca2ad8&amp;docid=bb843fadc6314b6e_94f5d562231d4dd6&amp;schid=8030&amp;row=1&amp;page=28</t>
  </si>
  <si>
    <t>State Department for Sports Development</t>
  </si>
  <si>
    <t>https://journaliststudio.google.com/pinpoint-extract/preview?collection=94f5d562231d4dd6&amp;job=73925388c8ca2ad8&amp;docid=bb843fadc6314b6e_94f5d562231d4dd6&amp;schid=8030&amp;row=2&amp;page=28</t>
  </si>
  <si>
    <t>State Department for Arts and Culture</t>
  </si>
  <si>
    <t>https://journaliststudio.google.com/pinpoint-extract/preview?collection=94f5d562231d4dd6&amp;job=73925388c8ca2ad8&amp;docid=bb843fadc6314b6e_94f5d562231d4dd6&amp;schid=8030&amp;row=3&amp;page=28</t>
  </si>
  <si>
    <t>State Department of Energy</t>
  </si>
  <si>
    <t>https://journaliststudio.google.com/pinpoint-extract/preview?collection=94f5d562231d4dd6&amp;job=73925388c8ca2ad8&amp;docid=bb843fadc6314b6e_94f5d562231d4dd6&amp;schid=8030&amp;row=4&amp;page=28</t>
  </si>
  <si>
    <t>State Department of Petroleum</t>
  </si>
  <si>
    <t>https://journaliststudio.google.com/pinpoint-extract/preview?collection=94f5d562231d4dd6&amp;job=73925388c8ca2ad8&amp;docid=bb843fadc6314b6e_94f5d562231d4dd6&amp;schid=8030&amp;row=5&amp;page=28</t>
  </si>
  <si>
    <t>State Department for Agriculture</t>
  </si>
  <si>
    <t>https://journaliststudio.google.com/pinpoint-extract/preview?collection=94f5d562231d4dd6&amp;job=73925388c8ca2ad8&amp;docid=bb843fadc6314b6e_94f5d562231d4dd6&amp;schid=8030&amp;row=6&amp;page=28</t>
  </si>
  <si>
    <t>https://journaliststudio.google.com/pinpoint-extract/preview?collection=94f5d562231d4dd6&amp;job=73925388c8ca2ad8&amp;docid=bb843fadc6314b6e_94f5d562231d4dd6&amp;schid=8030&amp;row=7&amp;page=28</t>
  </si>
  <si>
    <t>State Department for Fisheries and the Blue Economy</t>
  </si>
  <si>
    <t>https://journaliststudio.google.com/pinpoint-extract/preview?collection=94f5d562231d4dd6&amp;job=73925388c8ca2ad8&amp;docid=bb843fadc6314b6e_94f5d562231d4dd6&amp;schid=8030&amp;row=8&amp;page=28</t>
  </si>
  <si>
    <t>State Department for Investment and Industry</t>
  </si>
  <si>
    <t>https://journaliststudio.google.com/pinpoint-extract/preview?collection=94f5d562231d4dd6&amp;job=73925388c8ca2ad8&amp;docid=bb843fadc6314b6e_94f5d562231d4dd6&amp;schid=8030&amp;row=9&amp;page=28</t>
  </si>
  <si>
    <t>https://journaliststudio.google.com/pinpoint-extract/preview?collection=94f5d562231d4dd6&amp;job=73925388c8ca2ad8&amp;docid=bb843fadc6314b6e_94f5d562231d4dd6&amp;schid=8030&amp;row=10&amp;page=28</t>
  </si>
  <si>
    <t>https://journaliststudio.google.com/pinpoint-extract/preview?collection=94f5d562231d4dd6&amp;job=73925388c8ca2ad8&amp;docid=bb843fadc6314b6e_94f5d562231d4dd6&amp;schid=8030&amp;row=11&amp;page=28</t>
  </si>
  <si>
    <t>State Department for East African Integration</t>
  </si>
  <si>
    <t>https://journaliststudio.google.com/pinpoint-extract/preview?collection=94f5d562231d4dd6&amp;job=73925388c8ca2ad8&amp;docid=bb843fadc6314b6e_94f5d562231d4dd6&amp;schid=8030&amp;row=12&amp;page=28</t>
  </si>
  <si>
    <t>https://journaliststudio.google.com/pinpoint-extract/preview?collection=94f5d562231d4dd6&amp;job=73925388c8ca2ad8&amp;docid=bb843fadc6314b6e_94f5d562231d4dd6&amp;schid=8030&amp;row=13&amp;page=28</t>
  </si>
  <si>
    <t>https://journaliststudio.google.com/pinpoint-extract/preview?collection=94f5d562231d4dd6&amp;job=73925388c8ca2ad8&amp;docid=bb843fadc6314b6e_94f5d562231d4dd6&amp;schid=8030&amp;row=14&amp;page=28</t>
  </si>
  <si>
    <t>Ministry of Mining</t>
  </si>
  <si>
    <t>https://journaliststudio.google.com/pinpoint-extract/preview?collection=94f5d562231d4dd6&amp;job=73925388c8ca2ad8&amp;docid=bb843fadc6314b6e_94f5d562231d4dd6&amp;schid=8030&amp;row=15&amp;page=28</t>
  </si>
  <si>
    <t>Ministry of Tourism</t>
  </si>
  <si>
    <t>https://journaliststudio.google.com/pinpoint-extract/preview?collection=94f5d562231d4dd6&amp;job=73925388c8ca2ad8&amp;docid=bb843fadc6314b6e_94f5d562231d4dd6&amp;schid=8030&amp;row=16&amp;page=28</t>
  </si>
  <si>
    <t>State Department for Public Service and Youth Affairs</t>
  </si>
  <si>
    <t>https://journaliststudio.google.com/pinpoint-extract/preview?collection=94f5d562231d4dd6&amp;job=73925388c8ca2ad8&amp;docid=bb843fadc6314b6e_94f5d562231d4dd6&amp;schid=8030&amp;row=17&amp;page=28</t>
  </si>
  <si>
    <t>https://journaliststudio.google.com/pinpoint-extract/preview?collection=94f5d562231d4dd6&amp;job=73925388c8ca2ad8&amp;docid=bb843fadc6314b6e_94f5d562231d4dd6&amp;schid=8030&amp;row=18&amp;page=28</t>
  </si>
  <si>
    <t>https://journaliststudio.google.com/pinpoint-extract/preview?collection=94f5d562231d4dd6&amp;job=73925388c8ca2ad8&amp;docid=bb843fadc6314b6e_94f5d562231d4dd6&amp;schid=8030&amp;row=19&amp;page=28</t>
  </si>
  <si>
    <t>https://journaliststudio.google.com/pinpoint-extract/preview?collection=94f5d562231d4dd6&amp;job=73925388c8ca2ad8&amp;docid=bb843fadc6314b6e_94f5d562231d4dd6&amp;schid=8030&amp;row=20&amp;page=28</t>
  </si>
  <si>
    <t>Ethics &amp; Anti-Corruption Commission</t>
  </si>
  <si>
    <t>https://journaliststudio.google.com/pinpoint-extract/preview?collection=94f5d562231d4dd6&amp;job=73925388c8ca2ad8&amp;docid=bb843fadc6314b6e_94f5d562231d4dd6&amp;schid=8030&amp;row=21&amp;page=28</t>
  </si>
  <si>
    <t>https://journaliststudio.google.com/pinpoint-extract/preview?collection=94f5d562231d4dd6&amp;job=73925388c8ca2ad8&amp;docid=bb843fadc6314b6e_94f5d562231d4dd6&amp;schid=8030&amp;row=22&amp;page=28</t>
  </si>
  <si>
    <t>https://journaliststudio.google.com/pinpoint-extract/preview?collection=94f5d562231d4dd6&amp;job=73925388c8ca2ad8&amp;docid=bb843fadc6314b6e_94f5d562231d4dd6&amp;schid=8030&amp;row=23&amp;page=29</t>
  </si>
  <si>
    <t>https://journaliststudio.google.com/pinpoint-extract/preview?collection=94f5d562231d4dd6&amp;job=73925388c8ca2ad8&amp;docid=bb843fadc6314b6e_94f5d562231d4dd6&amp;schid=8030&amp;row=24&amp;page=29</t>
  </si>
  <si>
    <t>https://journaliststudio.google.com/pinpoint-extract/preview?collection=94f5d562231d4dd6&amp;job=73925388c8ca2ad8&amp;docid=bb843fadc6314b6e_94f5d562231d4dd6&amp;schid=8030&amp;row=25&amp;page=29</t>
  </si>
  <si>
    <t>https://journaliststudio.google.com/pinpoint-extract/preview?collection=94f5d562231d4dd6&amp;job=73925388c8ca2ad8&amp;docid=bb843fadc6314b6e_94f5d562231d4dd6&amp;schid=8030&amp;row=26&amp;page=29</t>
  </si>
  <si>
    <t>National Lands Commission</t>
  </si>
  <si>
    <t>https://journaliststudio.google.com/pinpoint-extract/preview?collection=94f5d562231d4dd6&amp;job=73925388c8ca2ad8&amp;docid=bb843fadc6314b6e_94f5d562231d4dd6&amp;schid=8030&amp;row=27&amp;page=29</t>
  </si>
  <si>
    <t>https://journaliststudio.google.com/pinpoint-extract/preview?collection=94f5d562231d4dd6&amp;job=73925388c8ca2ad8&amp;docid=bb843fadc6314b6e_94f5d562231d4dd6&amp;schid=8030&amp;row=28&amp;page=29</t>
  </si>
  <si>
    <t>https://journaliststudio.google.com/pinpoint-extract/preview?collection=94f5d562231d4dd6&amp;job=73925388c8ca2ad8&amp;docid=bb843fadc6314b6e_94f5d562231d4dd6&amp;schid=8030&amp;row=29&amp;page=29</t>
  </si>
  <si>
    <t>https://journaliststudio.google.com/pinpoint-extract/preview?collection=94f5d562231d4dd6&amp;job=73925388c8ca2ad8&amp;docid=bb843fadc6314b6e_94f5d562231d4dd6&amp;schid=8030&amp;row=30&amp;page=29</t>
  </si>
  <si>
    <t>https://journaliststudio.google.com/pinpoint-extract/preview?collection=94f5d562231d4dd6&amp;job=73925388c8ca2ad8&amp;docid=bb843fadc6314b6e_94f5d562231d4dd6&amp;schid=8030&amp;row=31&amp;page=29</t>
  </si>
  <si>
    <t>Commission on Revenue Allocation</t>
  </si>
  <si>
    <t>https://journaliststudio.google.com/pinpoint-extract/preview?collection=94f5d562231d4dd6&amp;job=73925388c8ca2ad8&amp;docid=bb843fadc6314b6e_94f5d562231d4dd6&amp;schid=8030&amp;row=32&amp;page=29</t>
  </si>
  <si>
    <t>https://journaliststudio.google.com/pinpoint-extract/preview?collection=94f5d562231d4dd6&amp;job=73925388c8ca2ad8&amp;docid=bb843fadc6314b6e_94f5d562231d4dd6&amp;schid=8030&amp;row=33&amp;page=29</t>
  </si>
  <si>
    <t>Salaries &amp; Remuneration Commission</t>
  </si>
  <si>
    <t>https://journaliststudio.google.com/pinpoint-extract/preview?collection=94f5d562231d4dd6&amp;job=73925388c8ca2ad8&amp;docid=bb843fadc6314b6e_94f5d562231d4dd6&amp;schid=8030&amp;row=34&amp;page=29</t>
  </si>
  <si>
    <t>https://journaliststudio.google.com/pinpoint-extract/preview?collection=94f5d562231d4dd6&amp;job=73925388c8ca2ad8&amp;docid=bb843fadc6314b6e_94f5d562231d4dd6&amp;schid=8030&amp;row=35&amp;page=29</t>
  </si>
  <si>
    <t>https://journaliststudio.google.com/pinpoint-extract/preview?collection=94f5d562231d4dd6&amp;job=73925388c8ca2ad8&amp;docid=bb843fadc6314b6e_94f5d562231d4dd6&amp;schid=8030&amp;row=36&amp;page=29</t>
  </si>
  <si>
    <t>https://journaliststudio.google.com/pinpoint-extract/preview?collection=94f5d562231d4dd6&amp;job=73925388c8ca2ad8&amp;docid=bb843fadc6314b6e_94f5d562231d4dd6&amp;schid=8030&amp;row=37&amp;page=29</t>
  </si>
  <si>
    <t>https://journaliststudio.google.com/pinpoint-extract/preview?collection=94f5d562231d4dd6&amp;job=73925388c8ca2ad8&amp;docid=bb843fadc6314b6e_94f5d562231d4dd6&amp;schid=8030&amp;row=38&amp;page=29</t>
  </si>
  <si>
    <t>https://journaliststudio.google.com/pinpoint-extract/preview?collection=94f5d562231d4dd6&amp;job=73925388c8ca2ad8&amp;docid=bb843fadc6314b6e_94f5d562231d4dd6&amp;schid=8030&amp;row=39&amp;page=29</t>
  </si>
  <si>
    <t>National Gender &amp; Equality Commission</t>
  </si>
  <si>
    <t>https://journaliststudio.google.com/pinpoint-extract/preview?collection=94f5d562231d4dd6&amp;job=73925388c8ca2ad8&amp;docid=bb843fadc6314b6e_94f5d562231d4dd6&amp;schid=8030&amp;row=40&amp;page=29</t>
  </si>
  <si>
    <t>https://journaliststudio.google.com/pinpoint-extract/preview?collection=94f5d562231d4dd6&amp;job=73925388c8ca2ad8&amp;docid=bb843fadc6314b6e_94f5d562231d4dd6&amp;schid=8030&amp;row=41&amp;page=29</t>
  </si>
  <si>
    <t>https://journaliststudio.google.com/pinpoint-extract/preview?collection=94f5d562231d4dd6&amp;job=73925388c8ca2ad8&amp;docid=bb843fadc6314b6e_94f5d562231d4dd6&amp;schid=8030&amp;row=42&amp;page=29</t>
  </si>
  <si>
    <t>2016/2017</t>
  </si>
  <si>
    <t>https://journaliststudio.google.com/pinpoint-extract/preview?collection=59c534ba70c0b75b&amp;job=7d986fe353a45a34&amp;docid=f9a22023735ef321_59c534ba70c0b75b&amp;schid=8016&amp;row=0&amp;page=26</t>
  </si>
  <si>
    <t>https://journaliststudio.google.com/pinpoint-extract/preview?collection=59c534ba70c0b75b&amp;job=7d986fe353a45a34&amp;docid=f9a22023735ef321_59c534ba70c0b75b&amp;schid=8016&amp;row=1&amp;page=26</t>
  </si>
  <si>
    <t>https://journaliststudio.google.com/pinpoint-extract/preview?collection=59c534ba70c0b75b&amp;job=7d986fe353a45a34&amp;docid=f9a22023735ef321_59c534ba70c0b75b&amp;schid=8016&amp;row=2&amp;page=26</t>
  </si>
  <si>
    <t>https://journaliststudio.google.com/pinpoint-extract/preview?collection=59c534ba70c0b75b&amp;job=7d986fe353a45a34&amp;docid=f9a22023735ef321_59c534ba70c0b75b&amp;schid=8016&amp;row=3&amp;page=26</t>
  </si>
  <si>
    <t>https://journaliststudio.google.com/pinpoint-extract/preview?collection=59c534ba70c0b75b&amp;job=7d986fe353a45a34&amp;docid=f9a22023735ef321_59c534ba70c0b75b&amp;schid=8016&amp;row=4&amp;page=26</t>
  </si>
  <si>
    <t>https://journaliststudio.google.com/pinpoint-extract/preview?collection=59c534ba70c0b75b&amp;job=7d986fe353a45a34&amp;docid=f9a22023735ef321_59c534ba70c0b75b&amp;schid=8016&amp;row=5&amp;page=26</t>
  </si>
  <si>
    <t>https://journaliststudio.google.com/pinpoint-extract/preview?collection=59c534ba70c0b75b&amp;job=7d986fe353a45a34&amp;docid=f9a22023735ef321_59c534ba70c0b75b&amp;schid=8016&amp;row=6&amp;page=26</t>
  </si>
  <si>
    <t>https://journaliststudio.google.com/pinpoint-extract/preview?collection=59c534ba70c0b75b&amp;job=7d986fe353a45a34&amp;docid=f9a22023735ef321_59c534ba70c0b75b&amp;schid=8016&amp;row=7&amp;page=26</t>
  </si>
  <si>
    <t>https://journaliststudio.google.com/pinpoint-extract/preview?collection=59c534ba70c0b75b&amp;job=7d986fe353a45a34&amp;docid=f9a22023735ef321_59c534ba70c0b75b&amp;schid=8016&amp;row=8&amp;page=26</t>
  </si>
  <si>
    <t>https://journaliststudio.google.com/pinpoint-extract/preview?collection=59c534ba70c0b75b&amp;job=7d986fe353a45a34&amp;docid=f9a22023735ef321_59c534ba70c0b75b&amp;schid=8016&amp;row=9&amp;page=26</t>
  </si>
  <si>
    <t>https://journaliststudio.google.com/pinpoint-extract/preview?collection=59c534ba70c0b75b&amp;job=7d986fe353a45a34&amp;docid=f9a22023735ef321_59c534ba70c0b75b&amp;schid=8016&amp;row=10&amp;page=26</t>
  </si>
  <si>
    <t>https://journaliststudio.google.com/pinpoint-extract/preview?collection=59c534ba70c0b75b&amp;job=7d986fe353a45a34&amp;docid=f9a22023735ef321_59c534ba70c0b75b&amp;schid=8016&amp;row=11&amp;page=26</t>
  </si>
  <si>
    <t>https://journaliststudio.google.com/pinpoint-extract/preview?collection=59c534ba70c0b75b&amp;job=7d986fe353a45a34&amp;docid=f9a22023735ef321_59c534ba70c0b75b&amp;schid=8016&amp;row=12&amp;page=26</t>
  </si>
  <si>
    <t>https://journaliststudio.google.com/pinpoint-extract/preview?collection=59c534ba70c0b75b&amp;job=7d986fe353a45a34&amp;docid=f9a22023735ef321_59c534ba70c0b75b&amp;schid=8016&amp;row=13&amp;page=26</t>
  </si>
  <si>
    <t>https://journaliststudio.google.com/pinpoint-extract/preview?collection=59c534ba70c0b75b&amp;job=7d986fe353a45a34&amp;docid=f9a22023735ef321_59c534ba70c0b75b&amp;schid=8016&amp;row=14&amp;page=26</t>
  </si>
  <si>
    <t>https://journaliststudio.google.com/pinpoint-extract/preview?collection=59c534ba70c0b75b&amp;job=35432234b21c40f6&amp;docid=f9a22023735ef321_59c534ba70c0b75b&amp;schid=8030&amp;row=0&amp;page=27</t>
  </si>
  <si>
    <t>https://journaliststudio.google.com/pinpoint-extract/preview?collection=59c534ba70c0b75b&amp;job=35432234b21c40f6&amp;docid=f9a22023735ef321_59c534ba70c0b75b&amp;schid=8030&amp;row=1&amp;page=27</t>
  </si>
  <si>
    <t>https://journaliststudio.google.com/pinpoint-extract/preview?collection=59c534ba70c0b75b&amp;job=35432234b21c40f6&amp;docid=f9a22023735ef321_59c534ba70c0b75b&amp;schid=8030&amp;row=2&amp;page=27</t>
  </si>
  <si>
    <t>https://journaliststudio.google.com/pinpoint-extract/preview?collection=59c534ba70c0b75b&amp;job=35432234b21c40f6&amp;docid=f9a22023735ef321_59c534ba70c0b75b&amp;schid=8030&amp;row=3&amp;page=27</t>
  </si>
  <si>
    <t>https://journaliststudio.google.com/pinpoint-extract/preview?collection=59c534ba70c0b75b&amp;job=35432234b21c40f6&amp;docid=f9a22023735ef321_59c534ba70c0b75b&amp;schid=8030&amp;row=4&amp;page=27</t>
  </si>
  <si>
    <t>https://journaliststudio.google.com/pinpoint-extract/preview?collection=59c534ba70c0b75b&amp;job=35432234b21c40f6&amp;docid=f9a22023735ef321_59c534ba70c0b75b&amp;schid=8030&amp;row=5&amp;page=27</t>
  </si>
  <si>
    <t>https://journaliststudio.google.com/pinpoint-extract/preview?collection=59c534ba70c0b75b&amp;job=35432234b21c40f6&amp;docid=f9a22023735ef321_59c534ba70c0b75b&amp;schid=8030&amp;row=6&amp;page=27</t>
  </si>
  <si>
    <t>https://journaliststudio.google.com/pinpoint-extract/preview?collection=59c534ba70c0b75b&amp;job=35432234b21c40f6&amp;docid=f9a22023735ef321_59c534ba70c0b75b&amp;schid=8030&amp;row=7&amp;page=27</t>
  </si>
  <si>
    <t>https://journaliststudio.google.com/pinpoint-extract/preview?collection=59c534ba70c0b75b&amp;job=35432234b21c40f6&amp;docid=f9a22023735ef321_59c534ba70c0b75b&amp;schid=8030&amp;row=8&amp;page=27</t>
  </si>
  <si>
    <t>https://journaliststudio.google.com/pinpoint-extract/preview?collection=59c534ba70c0b75b&amp;job=35432234b21c40f6&amp;docid=f9a22023735ef321_59c534ba70c0b75b&amp;schid=8030&amp;row=9&amp;page=27</t>
  </si>
  <si>
    <t>https://journaliststudio.google.com/pinpoint-extract/preview?collection=59c534ba70c0b75b&amp;job=35432234b21c40f6&amp;docid=f9a22023735ef321_59c534ba70c0b75b&amp;schid=8030&amp;row=10&amp;page=27</t>
  </si>
  <si>
    <t>https://journaliststudio.google.com/pinpoint-extract/preview?collection=59c534ba70c0b75b&amp;job=35432234b21c40f6&amp;docid=f9a22023735ef321_59c534ba70c0b75b&amp;schid=8030&amp;row=11&amp;page=27</t>
  </si>
  <si>
    <t>https://journaliststudio.google.com/pinpoint-extract/preview?collection=59c534ba70c0b75b&amp;job=35432234b21c40f6&amp;docid=f9a22023735ef321_59c534ba70c0b75b&amp;schid=8030&amp;row=12&amp;page=27</t>
  </si>
  <si>
    <t>https://journaliststudio.google.com/pinpoint-extract/preview?collection=59c534ba70c0b75b&amp;job=f96ade24dc66657&amp;docid=f9a22023735ef321_59c534ba70c0b75b&amp;schid=8044&amp;row=0&amp;page=28</t>
  </si>
  <si>
    <t>https://journaliststudio.google.com/pinpoint-extract/preview?collection=59c534ba70c0b75b&amp;job=f96ade24dc66657&amp;docid=f9a22023735ef321_59c534ba70c0b75b&amp;schid=8044&amp;row=1&amp;page=28</t>
  </si>
  <si>
    <t>https://journaliststudio.google.com/pinpoint-extract/preview?collection=59c534ba70c0b75b&amp;job=f96ade24dc66657&amp;docid=f9a22023735ef321_59c534ba70c0b75b&amp;schid=8044&amp;row=2&amp;page=28</t>
  </si>
  <si>
    <t>State Department of Investment and Industry</t>
  </si>
  <si>
    <t>https://journaliststudio.google.com/pinpoint-extract/preview?collection=59c534ba70c0b75b&amp;job=f96ade24dc66657&amp;docid=f9a22023735ef321_59c534ba70c0b75b&amp;schid=8044&amp;row=3&amp;page=28</t>
  </si>
  <si>
    <t>https://journaliststudio.google.com/pinpoint-extract/preview?collection=59c534ba70c0b75b&amp;job=f96ade24dc66657&amp;docid=f9a22023735ef321_59c534ba70c0b75b&amp;schid=8044&amp;row=4&amp;page=28</t>
  </si>
  <si>
    <t>https://journaliststudio.google.com/pinpoint-extract/preview?collection=59c534ba70c0b75b&amp;job=f96ade24dc66657&amp;docid=f9a22023735ef321_59c534ba70c0b75b&amp;schid=8044&amp;row=5&amp;page=28</t>
  </si>
  <si>
    <t>https://journaliststudio.google.com/pinpoint-extract/preview?collection=59c534ba70c0b75b&amp;job=f96ade24dc66657&amp;docid=f9a22023735ef321_59c534ba70c0b75b&amp;schid=8044&amp;row=6&amp;page=28</t>
  </si>
  <si>
    <t>https://journaliststudio.google.com/pinpoint-extract/preview?collection=59c534ba70c0b75b&amp;job=f96ade24dc66657&amp;docid=f9a22023735ef321_59c534ba70c0b75b&amp;schid=8044&amp;row=7&amp;page=28</t>
  </si>
  <si>
    <t>https://journaliststudio.google.com/pinpoint-extract/preview?collection=59c534ba70c0b75b&amp;job=f96ade24dc66657&amp;docid=f9a22023735ef321_59c534ba70c0b75b&amp;schid=8044&amp;row=8&amp;page=28</t>
  </si>
  <si>
    <t>https://journaliststudio.google.com/pinpoint-extract/preview?collection=59c534ba70c0b75b&amp;job=f96ade24dc66657&amp;docid=f9a22023735ef321_59c534ba70c0b75b&amp;schid=8044&amp;row=9&amp;page=28</t>
  </si>
  <si>
    <t>https://journaliststudio.google.com/pinpoint-extract/preview?collection=59c534ba70c0b75b&amp;job=f96ade24dc66657&amp;docid=f9a22023735ef321_59c534ba70c0b75b&amp;schid=8044&amp;row=10&amp;page=28</t>
  </si>
  <si>
    <t>https://journaliststudio.google.com/pinpoint-extract/preview?collection=59c534ba70c0b75b&amp;job=f96ade24dc66657&amp;docid=f9a22023735ef321_59c534ba70c0b75b&amp;schid=8044&amp;row=11&amp;page=28</t>
  </si>
  <si>
    <t>https://journaliststudio.google.com/pinpoint-extract/preview?collection=59c534ba70c0b75b&amp;job=f96ade24dc66657&amp;docid=f9a22023735ef321_59c534ba70c0b75b&amp;schid=8044&amp;row=12&amp;page=28</t>
  </si>
  <si>
    <t>https://journaliststudio.google.com/pinpoint-extract/preview?collection=59c534ba70c0b75b&amp;job=f96ade24dc66657&amp;docid=f9a22023735ef321_59c534ba70c0b75b&amp;schid=8044&amp;row=13&amp;page=28</t>
  </si>
  <si>
    <t>https://journaliststudio.google.com/pinpoint-extract/preview?collection=59c534ba70c0b75b&amp;job=f96ade24dc66657&amp;docid=f9a22023735ef321_59c534ba70c0b75b&amp;schid=8044&amp;row=14&amp;page=28</t>
  </si>
  <si>
    <t>https://journaliststudio.google.com/pinpoint-extract/preview?collection=59c534ba70c0b75b&amp;job=4cd2f64341a72b0b&amp;docid=f9a22023735ef321_59c534ba70c0b75b&amp;schid=8001&amp;row=0&amp;page=29</t>
  </si>
  <si>
    <t>https://journaliststudio.google.com/pinpoint-extract/preview?collection=59c534ba70c0b75b&amp;job=4cd2f64341a72b0b&amp;docid=f9a22023735ef321_59c534ba70c0b75b&amp;schid=8001&amp;row=1&amp;page=29</t>
  </si>
  <si>
    <t>https://journaliststudio.google.com/pinpoint-extract/preview?collection=59c534ba70c0b75b&amp;job=4cd2f64341a72b0b&amp;docid=f9a22023735ef321_59c534ba70c0b75b&amp;schid=8001&amp;row=2&amp;page=29</t>
  </si>
  <si>
    <t>https://journaliststudio.google.com/pinpoint-extract/preview?collection=59c534ba70c0b75b&amp;job=4cd2f64341a72b0b&amp;docid=f9a22023735ef321_59c534ba70c0b75b&amp;schid=8001&amp;row=3&amp;page=29</t>
  </si>
  <si>
    <t>https://journaliststudio.google.com/pinpoint-extract/preview?collection=59c534ba70c0b75b&amp;job=4cd2f64341a72b0b&amp;docid=f9a22023735ef321_59c534ba70c0b75b&amp;schid=8001&amp;row=4&amp;page=29</t>
  </si>
  <si>
    <t>https://journaliststudio.google.com/pinpoint-extract/preview?collection=59c534ba70c0b75b&amp;job=4cd2f64341a72b0b&amp;docid=f9a22023735ef321_59c534ba70c0b75b&amp;schid=8001&amp;row=5&amp;page=29</t>
  </si>
  <si>
    <t>https://journaliststudio.google.com/pinpoint-extract/preview?collection=59c534ba70c0b75b&amp;job=4cd2f64341a72b0b&amp;docid=f9a22023735ef321_59c534ba70c0b75b&amp;schid=8001&amp;row=6&amp;page=29</t>
  </si>
  <si>
    <t>https://journaliststudio.google.com/pinpoint-extract/preview?collection=59c534ba70c0b75b&amp;job=4cd2f64341a72b0b&amp;docid=f9a22023735ef321_59c534ba70c0b75b&amp;schid=8001&amp;row=7&amp;page=29</t>
  </si>
  <si>
    <t>https://journaliststudio.google.com/pinpoint-extract/preview?collection=59c534ba70c0b75b&amp;job=4cd2f64341a72b0b&amp;docid=f9a22023735ef321_59c534ba70c0b75b&amp;schid=8001&amp;row=8&amp;page=29</t>
  </si>
  <si>
    <t>https://journaliststudio.google.com/pinpoint-extract/preview?collection=59c534ba70c0b75b&amp;job=4cd2f64341a72b0b&amp;docid=f9a22023735ef321_59c534ba70c0b75b&amp;schid=8001&amp;row=9&amp;page=29</t>
  </si>
  <si>
    <t>https://journaliststudio.google.com/pinpoint-extract/preview?collection=59c534ba70c0b75b&amp;job=4cd2f64341a72b0b&amp;docid=f9a22023735ef321_59c534ba70c0b75b&amp;schid=8001&amp;row=10&amp;page=29</t>
  </si>
  <si>
    <t>https://journaliststudio.google.com/pinpoint-extract/preview?collection=59c534ba70c0b75b&amp;job=4cd2f64341a72b0b&amp;docid=f9a22023735ef321_59c534ba70c0b75b&amp;schid=8001&amp;row=11&amp;page=29</t>
  </si>
  <si>
    <t>https://journaliststudio.google.com/pinpoint-extract/preview?collection=59c534ba70c0b75b&amp;job=4cd2f64341a72b0b&amp;docid=f9a22023735ef321_59c534ba70c0b75b&amp;schid=8001&amp;row=12&amp;page=29</t>
  </si>
  <si>
    <t>https://journaliststudio.google.com/pinpoint-extract/preview?collection=59c534ba70c0b75b&amp;job=4cd2f64341a72b0b&amp;docid=f9a22023735ef321_59c534ba70c0b75b&amp;schid=8001&amp;row=13&amp;page=29</t>
  </si>
  <si>
    <t>https://journaliststudio.google.com/pinpoint-extract/preview?collection=59c534ba70c0b75b&amp;job=4cd2f64341a72b0b&amp;docid=f9a22023735ef321_59c534ba70c0b75b&amp;schid=8001&amp;row=14&amp;page=30</t>
  </si>
  <si>
    <t>https://journaliststudio.google.com/pinpoint-extract/preview?collection=59c534ba70c0b75b&amp;job=4cd2f64341a72b0b&amp;docid=f9a22023735ef321_59c534ba70c0b75b&amp;schid=8001&amp;row=15&amp;page=30</t>
  </si>
  <si>
    <t>https://journaliststudio.google.com/pinpoint-extract/preview?collection=59c534ba70c0b75b&amp;job=4cd2f64341a72b0b&amp;docid=f9a22023735ef321_59c534ba70c0b75b&amp;schid=8001&amp;row=16&amp;page=30</t>
  </si>
  <si>
    <t>https://journaliststudio.google.com/pinpoint-extract/preview?collection=59c534ba70c0b75b&amp;job=4cd2f64341a72b0b&amp;docid=f9a22023735ef321_59c534ba70c0b75b&amp;schid=8001&amp;row=17&amp;page=30</t>
  </si>
  <si>
    <t>https://journaliststudio.google.com/pinpoint-extract/preview?collection=59c534ba70c0b75b&amp;job=4cd2f64341a72b0b&amp;docid=f9a22023735ef321_59c534ba70c0b75b&amp;schid=8001&amp;row=18&amp;page=30</t>
  </si>
  <si>
    <t>https://journaliststudio.google.com/pinpoint-extract/preview?collection=59c534ba70c0b75b&amp;job=4cd2f64341a72b0b&amp;docid=f9a22023735ef321_59c534ba70c0b75b&amp;schid=8001&amp;row=19&amp;page=30</t>
  </si>
  <si>
    <t>https://journaliststudio.google.com/pinpoint-extract/preview?collection=59c534ba70c0b75b&amp;job=4cd2f64341a72b0b&amp;docid=f9a22023735ef321_59c534ba70c0b75b&amp;schid=8001&amp;row=20&amp;page=30</t>
  </si>
  <si>
    <t>https://journaliststudio.google.com/pinpoint-extract/preview?collection=59c534ba70c0b75b&amp;job=4cd2f64341a72b0b&amp;docid=f9a22023735ef321_59c534ba70c0b75b&amp;schid=8001&amp;row=21&amp;page=30</t>
  </si>
  <si>
    <t>2015/2016</t>
  </si>
  <si>
    <t>https://journaliststudio.google.com/pinpoint-extract/preview?collection=b4db47ccc48595a5&amp;job=1feec7ab74957524&amp;docid=252734efe751c385_b4db47ccc48595a5&amp;schid=8042&amp;row=0&amp;page=29</t>
  </si>
  <si>
    <t>https://journaliststudio.google.com/pinpoint-extract/preview?collection=b4db47ccc48595a5&amp;job=1feec7ab74957524&amp;docid=252734efe751c385_b4db47ccc48595a5&amp;schid=8042&amp;row=1&amp;page=29</t>
  </si>
  <si>
    <t>State Department for Coordination of National Government</t>
  </si>
  <si>
    <t>https://journaliststudio.google.com/pinpoint-extract/preview?collection=b4db47ccc48595a5&amp;job=1feec7ab74957524&amp;docid=252734efe751c385_b4db47ccc48595a5&amp;schid=8042&amp;row=2&amp;page=29</t>
  </si>
  <si>
    <t>https://journaliststudio.google.com/pinpoint-extract/preview?collection=b4db47ccc48595a5&amp;job=1feec7ab74957524&amp;docid=252734efe751c385_b4db47ccc48595a5&amp;schid=8042&amp;row=3&amp;page=29</t>
  </si>
  <si>
    <t>https://journaliststudio.google.com/pinpoint-extract/preview?collection=b4db47ccc48595a5&amp;job=1feec7ab74957524&amp;docid=252734efe751c385_b4db47ccc48595a5&amp;schid=8042&amp;row=4&amp;page=29</t>
  </si>
  <si>
    <t>https://journaliststudio.google.com/pinpoint-extract/preview?collection=b4db47ccc48595a5&amp;job=1feec7ab74957524&amp;docid=252734efe751c385_b4db47ccc48595a5&amp;schid=8042&amp;row=5&amp;page=29</t>
  </si>
  <si>
    <t>https://journaliststudio.google.com/pinpoint-extract/preview?collection=b4db47ccc48595a5&amp;job=1feec7ab74957524&amp;docid=252734efe751c385_b4db47ccc48595a5&amp;schid=8042&amp;row=6&amp;page=29</t>
  </si>
  <si>
    <t>State Department for Education</t>
  </si>
  <si>
    <t>https://journaliststudio.google.com/pinpoint-extract/preview?collection=b4db47ccc48595a5&amp;job=1feec7ab74957524&amp;docid=252734efe751c385_b4db47ccc48595a5&amp;schid=8042&amp;row=7&amp;page=29</t>
  </si>
  <si>
    <t>State Department for Higher Education, Science and Technology</t>
  </si>
  <si>
    <t>https://journaliststudio.google.com/pinpoint-extract/preview?collection=b4db47ccc48595a5&amp;job=1feec7ab74957524&amp;docid=252734efe751c385_b4db47ccc48595a5&amp;schid=8042&amp;row=8&amp;page=29</t>
  </si>
  <si>
    <t>https://journaliststudio.google.com/pinpoint-extract/preview?collection=b4db47ccc48595a5&amp;job=1feec7ab74957524&amp;docid=252734efe751c385_b4db47ccc48595a5&amp;schid=8042&amp;row=9&amp;page=29</t>
  </si>
  <si>
    <t>https://journaliststudio.google.com/pinpoint-extract/preview?collection=b4db47ccc48595a5&amp;job=1feec7ab74957524&amp;docid=252734efe751c385_b4db47ccc48595a5&amp;schid=8042&amp;row=10&amp;page=29</t>
  </si>
  <si>
    <t>https://journaliststudio.google.com/pinpoint-extract/preview?collection=b4db47ccc48595a5&amp;job=1feec7ab74957524&amp;docid=252734efe751c385_b4db47ccc48595a5&amp;schid=8042&amp;row=11&amp;page=29</t>
  </si>
  <si>
    <t>https://journaliststudio.google.com/pinpoint-extract/preview?collection=b4db47ccc48595a5&amp;job=1feec7ab74957524&amp;docid=252734efe751c385_b4db47ccc48595a5&amp;schid=8042&amp;row=12&amp;page=29</t>
  </si>
  <si>
    <t>State Department for Environment &amp; Natural Resources</t>
  </si>
  <si>
    <t>https://journaliststudio.google.com/pinpoint-extract/preview?collection=b4db47ccc48595a5&amp;job=1feec7ab74957524&amp;docid=252734efe751c385_b4db47ccc48595a5&amp;schid=8042&amp;row=13&amp;page=29</t>
  </si>
  <si>
    <t>State Department for Water &amp; Regional Authorities</t>
  </si>
  <si>
    <t>https://journaliststudio.google.com/pinpoint-extract/preview?collection=b4db47ccc48595a5&amp;job=1feec7ab74957524&amp;docid=252734efe751c385_b4db47ccc48595a5&amp;schid=8042&amp;row=14&amp;page=29</t>
  </si>
  <si>
    <t>Ministry of Lands, Housing, and Urban Development</t>
  </si>
  <si>
    <t>https://journaliststudio.google.com/pinpoint-extract/preview?collection=b4db47ccc48595a5&amp;job=1feec7ab74957524&amp;docid=252734efe751c385_b4db47ccc48595a5&amp;schid=8042&amp;row=15&amp;page=29</t>
  </si>
  <si>
    <t>Ministry of Information &amp; Communication and Technology</t>
  </si>
  <si>
    <t>https://journaliststudio.google.com/pinpoint-extract/preview?collection=b4db47ccc48595a5&amp;job=1feec7ab74957524&amp;docid=252734efe751c385_b4db47ccc48595a5&amp;schid=8042&amp;row=16&amp;page=29</t>
  </si>
  <si>
    <t>Ministry of Sports Culture and Arts</t>
  </si>
  <si>
    <t>https://journaliststudio.google.com/pinpoint-extract/preview?collection=b4db47ccc48595a5&amp;job=7bbb0f67809b104e&amp;docid=252734efe751c385_b4db47ccc48595a5&amp;schid=8081&amp;row=0&amp;page=30</t>
  </si>
  <si>
    <t>Ministry of Labour Social Security and Services</t>
  </si>
  <si>
    <t>https://journaliststudio.google.com/pinpoint-extract/preview?collection=b4db47ccc48595a5&amp;job=7bbb0f67809b104e&amp;docid=252734efe751c385_b4db47ccc48595a5&amp;schid=8081&amp;row=1&amp;page=30</t>
  </si>
  <si>
    <t>Ministry of Energy and Petroleum</t>
  </si>
  <si>
    <t>https://journaliststudio.google.com/pinpoint-extract/preview?collection=b4db47ccc48595a5&amp;job=7bbb0f67809b104e&amp;docid=252734efe751c385_b4db47ccc48595a5&amp;schid=8081&amp;row=2&amp;page=30</t>
  </si>
  <si>
    <t>https://journaliststudio.google.com/pinpoint-extract/preview?collection=b4db47ccc48595a5&amp;job=7bbb0f67809b104e&amp;docid=252734efe751c385_b4db47ccc48595a5&amp;schid=8081&amp;row=3&amp;page=30</t>
  </si>
  <si>
    <t>https://journaliststudio.google.com/pinpoint-extract/preview?collection=b4db47ccc48595a5&amp;job=7bbb0f67809b104e&amp;docid=252734efe751c385_b4db47ccc48595a5&amp;schid=8081&amp;row=4&amp;page=30</t>
  </si>
  <si>
    <t>State Department for Fisheries</t>
  </si>
  <si>
    <t>https://journaliststudio.google.com/pinpoint-extract/preview?collection=b4db47ccc48595a5&amp;job=7bbb0f67809b104e&amp;docid=252734efe751c385_b4db47ccc48595a5&amp;schid=8081&amp;row=5&amp;page=30</t>
  </si>
  <si>
    <t>Ministry of Industrialization and Enterprise Development</t>
  </si>
  <si>
    <t>https://journaliststudio.google.com/pinpoint-extract/preview?collection=b4db47ccc48595a5&amp;job=7bbb0f67809b104e&amp;docid=252734efe751c385_b4db47ccc48595a5&amp;schid=8081&amp;row=6&amp;page=30</t>
  </si>
  <si>
    <t>State Department for Commerce &amp; Tourism</t>
  </si>
  <si>
    <t>https://journaliststudio.google.com/pinpoint-extract/preview?collection=b4db47ccc48595a5&amp;job=7bbb0f67809b104e&amp;docid=252734efe751c385_b4db47ccc48595a5&amp;schid=8081&amp;row=7&amp;page=30</t>
  </si>
  <si>
    <t>State Department for East African Affairs</t>
  </si>
  <si>
    <t>https://journaliststudio.google.com/pinpoint-extract/preview?collection=b4db47ccc48595a5&amp;job=7bbb0f67809b104e&amp;docid=252734efe751c385_b4db47ccc48595a5&amp;schid=8081&amp;row=8&amp;page=30</t>
  </si>
  <si>
    <t>https://journaliststudio.google.com/pinpoint-extract/preview?collection=b4db47ccc48595a5&amp;job=7bbb0f67809b104e&amp;docid=252734efe751c385_b4db47ccc48595a5&amp;schid=8081&amp;row=9&amp;page=30</t>
  </si>
  <si>
    <t>Office of the Attorney General and Department of Justice</t>
  </si>
  <si>
    <t>https://journaliststudio.google.com/pinpoint-extract/preview?collection=b4db47ccc48595a5&amp;job=7bbb0f67809b104e&amp;docid=252734efe751c385_b4db47ccc48595a5&amp;schid=8081&amp;row=10&amp;page=30</t>
  </si>
  <si>
    <t>https://journaliststudio.google.com/pinpoint-extract/preview?collection=b4db47ccc48595a5&amp;job=7bbb0f67809b104e&amp;docid=252734efe751c385_b4db47ccc48595a5&amp;schid=8081&amp;row=11&amp;page=30</t>
  </si>
  <si>
    <t>https://journaliststudio.google.com/pinpoint-extract/preview?collection=b4db47ccc48595a5&amp;job=7bbb0f67809b104e&amp;docid=252734efe751c385_b4db47ccc48595a5&amp;schid=8081&amp;row=12&amp;page=30</t>
  </si>
  <si>
    <t>https://journaliststudio.google.com/pinpoint-extract/preview?collection=b4db47ccc48595a5&amp;job=7bbb0f67809b104e&amp;docid=252734efe751c385_b4db47ccc48595a5&amp;schid=8081&amp;row=13&amp;page=30</t>
  </si>
  <si>
    <t>Directorate of Public Prosecutions</t>
  </si>
  <si>
    <t>https://journaliststudio.google.com/pinpoint-extract/preview?collection=b4db47ccc48595a5&amp;job=7bbb0f67809b104e&amp;docid=252734efe751c385_b4db47ccc48595a5&amp;schid=8081&amp;row=14&amp;page=30</t>
  </si>
  <si>
    <t>Commission for Implementation of the Constitution</t>
  </si>
  <si>
    <t>https://journaliststudio.google.com/pinpoint-extract/preview?collection=b4db47ccc48595a5&amp;job=7bbb0f67809b104e&amp;docid=252734efe751c385_b4db47ccc48595a5&amp;schid=8081&amp;row=15&amp;page=30</t>
  </si>
  <si>
    <t>Registrar of Political Parties</t>
  </si>
  <si>
    <t>https://journaliststudio.google.com/pinpoint-extract/preview?collection=b4db47ccc48595a5&amp;job=7bbb0f67809b104e&amp;docid=252734efe751c385_b4db47ccc48595a5&amp;schid=8081&amp;row=16&amp;page=30</t>
  </si>
  <si>
    <t>https://journaliststudio.google.com/pinpoint-extract/preview?collection=b4db47ccc48595a5&amp;job=7bbb0f67809b104e&amp;docid=252734efe751c385_b4db47ccc48595a5&amp;schid=8081&amp;row=17&amp;page=30</t>
  </si>
  <si>
    <t>https://journaliststudio.google.com/pinpoint-extract/preview?collection=b4db47ccc48595a5&amp;job=97fb37ff89f504eb&amp;docid=252734efe751c385_b4db47ccc48595a5&amp;schid=8093&amp;row=0&amp;page=31</t>
  </si>
  <si>
    <t>https://journaliststudio.google.com/pinpoint-extract/preview?collection=b4db47ccc48595a5&amp;job=97fb37ff89f504eb&amp;docid=252734efe751c385_b4db47ccc48595a5&amp;schid=8093&amp;row=1&amp;page=31</t>
  </si>
  <si>
    <t>https://journaliststudio.google.com/pinpoint-extract/preview?collection=b4db47ccc48595a5&amp;job=97fb37ff89f504eb&amp;docid=252734efe751c385_b4db47ccc48595a5&amp;schid=8093&amp;row=2&amp;page=31</t>
  </si>
  <si>
    <t>https://journaliststudio.google.com/pinpoint-extract/preview?collection=b4db47ccc48595a5&amp;job=97fb37ff89f504eb&amp;docid=252734efe751c385_b4db47ccc48595a5&amp;schid=8093&amp;row=3&amp;page=31</t>
  </si>
  <si>
    <t>https://journaliststudio.google.com/pinpoint-extract/preview?collection=b4db47ccc48595a5&amp;job=97fb37ff89f504eb&amp;docid=252734efe751c385_b4db47ccc48595a5&amp;schid=8093&amp;row=4&amp;page=31</t>
  </si>
  <si>
    <t>https://journaliststudio.google.com/pinpoint-extract/preview?collection=b4db47ccc48595a5&amp;job=97fb37ff89f504eb&amp;docid=252734efe751c385_b4db47ccc48595a5&amp;schid=8093&amp;row=5&amp;page=31</t>
  </si>
  <si>
    <t>https://journaliststudio.google.com/pinpoint-extract/preview?collection=b4db47ccc48595a5&amp;job=97fb37ff89f504eb&amp;docid=252734efe751c385_b4db47ccc48595a5&amp;schid=8093&amp;row=6&amp;page=31</t>
  </si>
  <si>
    <t>https://journaliststudio.google.com/pinpoint-extract/preview?collection=b4db47ccc48595a5&amp;job=97fb37ff89f504eb&amp;docid=252734efe751c385_b4db47ccc48595a5&amp;schid=8093&amp;row=7&amp;page=31</t>
  </si>
  <si>
    <t>https://journaliststudio.google.com/pinpoint-extract/preview?collection=b4db47ccc48595a5&amp;job=97fb37ff89f504eb&amp;docid=252734efe751c385_b4db47ccc48595a5&amp;schid=8093&amp;row=8&amp;page=31</t>
  </si>
  <si>
    <t>https://journaliststudio.google.com/pinpoint-extract/preview?collection=b4db47ccc48595a5&amp;job=97fb37ff89f504eb&amp;docid=252734efe751c385_b4db47ccc48595a5&amp;schid=8093&amp;row=9&amp;page=31</t>
  </si>
  <si>
    <t>https://journaliststudio.google.com/pinpoint-extract/preview?collection=b4db47ccc48595a5&amp;job=97fb37ff89f504eb&amp;docid=252734efe751c385_b4db47ccc48595a5&amp;schid=8093&amp;row=10&amp;page=31</t>
  </si>
  <si>
    <t>https://journaliststudio.google.com/pinpoint-extract/preview?collection=b4db47ccc48595a5&amp;job=97fb37ff89f504eb&amp;docid=252734efe751c385_b4db47ccc48595a5&amp;schid=8093&amp;row=11&amp;page=31</t>
  </si>
  <si>
    <t>https://journaliststudio.google.com/pinpoint-extract/preview?collection=b4db47ccc48595a5&amp;job=97fb37ff89f504eb&amp;docid=252734efe751c385_b4db47ccc48595a5&amp;schid=8093&amp;row=12&amp;page=31</t>
  </si>
  <si>
    <t>https://journaliststudio.google.com/pinpoint-extract/preview?collection=b4db47ccc48595a5&amp;job=97fb37ff89f504eb&amp;docid=252734efe751c385_b4db47ccc48595a5&amp;schid=8093&amp;row=13&amp;page=31</t>
  </si>
  <si>
    <t>https://journaliststudio.google.com/pinpoint-extract/preview?collection=b4db47ccc48595a5&amp;job=97fb37ff89f504eb&amp;docid=252734efe751c385_b4db47ccc48595a5&amp;schid=8093&amp;row=14&amp;page=31</t>
  </si>
  <si>
    <t>https://journaliststudio.google.com/pinpoint-extract/preview?collection=b4db47ccc48595a5&amp;job=97fb37ff89f504eb&amp;docid=252734efe751c385_b4db47ccc48595a5&amp;schid=8093&amp;row=15&amp;page=31</t>
  </si>
  <si>
    <t>https://journaliststudio.google.com/pinpoint-extract/preview?collection=b4db47ccc48595a5&amp;job=97fb37ff89f504eb&amp;docid=252734efe751c385_b4db47ccc48595a5&amp;schid=8093&amp;row=16&amp;page=31</t>
  </si>
  <si>
    <t>2014/2015</t>
  </si>
  <si>
    <t>https://journaliststudio.google.com/pinpoint-extract/preview?collection=b4db47ccc48595a5&amp;job=effa8401566aaec6&amp;docid=46e4f917ea989928_b4db47ccc48595a5&amp;schid=8012&amp;row=0&amp;page=42</t>
  </si>
  <si>
    <t>https://journaliststudio.google.com/pinpoint-extract/preview?collection=b4db47ccc48595a5&amp;job=effa8401566aaec6&amp;docid=46e4f917ea989928_b4db47ccc48595a5&amp;schid=8012&amp;row=1&amp;page=42</t>
  </si>
  <si>
    <t>https://journaliststudio.google.com/pinpoint-extract/preview?collection=b4db47ccc48595a5&amp;job=effa8401566aaec6&amp;docid=46e4f917ea989928_b4db47ccc48595a5&amp;schid=8012&amp;row=2&amp;page=42</t>
  </si>
  <si>
    <t>https://journaliststudio.google.com/pinpoint-extract/preview?collection=b4db47ccc48595a5&amp;job=effa8401566aaec6&amp;docid=46e4f917ea989928_b4db47ccc48595a5&amp;schid=8012&amp;row=3&amp;page=42</t>
  </si>
  <si>
    <t>https://journaliststudio.google.com/pinpoint-extract/preview?collection=b4db47ccc48595a5&amp;job=effa8401566aaec6&amp;docid=46e4f917ea989928_b4db47ccc48595a5&amp;schid=8012&amp;row=4&amp;page=42</t>
  </si>
  <si>
    <t>Ministry of Lands Housing, and Urban Development</t>
  </si>
  <si>
    <t>https://journaliststudio.google.com/pinpoint-extract/preview?collection=b4db47ccc48595a5&amp;job=effa8401566aaec6&amp;docid=46e4f917ea989928_b4db47ccc48595a5&amp;schid=8012&amp;row=5&amp;page=42</t>
  </si>
  <si>
    <t>https://journaliststudio.google.com/pinpoint-extract/preview?collection=b4db47ccc48595a5&amp;job=effa8401566aaec6&amp;docid=46e4f917ea989928_b4db47ccc48595a5&amp;schid=8012&amp;row=6&amp;page=42</t>
  </si>
  <si>
    <t>https://journaliststudio.google.com/pinpoint-extract/preview?collection=b4db47ccc48595a5&amp;job=effa8401566aaec6&amp;docid=46e4f917ea989928_b4db47ccc48595a5&amp;schid=8012&amp;row=7&amp;page=42</t>
  </si>
  <si>
    <t>https://journaliststudio.google.com/pinpoint-extract/preview?collection=b4db47ccc48595a5&amp;job=effa8401566aaec6&amp;docid=46e4f917ea989928_b4db47ccc48595a5&amp;schid=8012&amp;row=8&amp;page=42</t>
  </si>
  <si>
    <t>https://journaliststudio.google.com/pinpoint-extract/preview?collection=b4db47ccc48595a5&amp;job=effa8401566aaec6&amp;docid=46e4f917ea989928_b4db47ccc48595a5&amp;schid=8012&amp;row=9&amp;page=42</t>
  </si>
  <si>
    <t>https://journaliststudio.google.com/pinpoint-extract/preview?collection=b4db47ccc48595a5&amp;job=effa8401566aaec6&amp;docid=46e4f917ea989928_b4db47ccc48595a5&amp;schid=8012&amp;row=10&amp;page=42</t>
  </si>
  <si>
    <t>https://journaliststudio.google.com/pinpoint-extract/preview?collection=b4db47ccc48595a5&amp;job=effa8401566aaec6&amp;docid=46e4f917ea989928_b4db47ccc48595a5&amp;schid=8012&amp;row=11&amp;page=42</t>
  </si>
  <si>
    <t>https://journaliststudio.google.com/pinpoint-extract/preview?collection=b4db47ccc48595a5&amp;job=effa8401566aaec6&amp;docid=46e4f917ea989928_b4db47ccc48595a5&amp;schid=8012&amp;row=12&amp;page=42</t>
  </si>
  <si>
    <t>https://journaliststudio.google.com/pinpoint-extract/preview?collection=b4db47ccc48595a5&amp;job=effa8401566aaec6&amp;docid=46e4f917ea989928_b4db47ccc48595a5&amp;schid=8012&amp;row=13&amp;page=42</t>
  </si>
  <si>
    <t>https://journaliststudio.google.com/pinpoint-extract/preview?collection=b4db47ccc48595a5&amp;job=effa8401566aaec6&amp;docid=46e4f917ea989928_b4db47ccc48595a5&amp;schid=8012&amp;row=14&amp;page=42</t>
  </si>
  <si>
    <t>Directorate of Public Prosecution</t>
  </si>
  <si>
    <t>https://journaliststudio.google.com/pinpoint-extract/preview?collection=b4db47ccc48595a5&amp;job=effa8401566aaec6&amp;docid=46e4f917ea989928_b4db47ccc48595a5&amp;schid=8012&amp;row=15&amp;page=42</t>
  </si>
  <si>
    <t>https://journaliststudio.google.com/pinpoint-extract/preview?collection=b4db47ccc48595a5&amp;job=effa8401566aaec6&amp;docid=46e4f917ea989928_b4db47ccc48595a5&amp;schid=8012&amp;row=16&amp;page=42</t>
  </si>
  <si>
    <t>https://journaliststudio.google.com/pinpoint-extract/preview?collection=b4db47ccc48595a5&amp;job=effa8401566aaec6&amp;docid=46e4f917ea989928_b4db47ccc48595a5&amp;schid=8012&amp;row=17&amp;page=42</t>
  </si>
  <si>
    <t>https://journaliststudio.google.com/pinpoint-extract/preview?collection=b4db47ccc48595a5&amp;job=8ce95af7bbe3ae32&amp;docid=46e4f917ea989928_b4db47ccc48595a5&amp;schid=8033&amp;row=0&amp;page=43</t>
  </si>
  <si>
    <t>https://journaliststudio.google.com/pinpoint-extract/preview?collection=b4db47ccc48595a5&amp;job=8ce95af7bbe3ae32&amp;docid=46e4f917ea989928_b4db47ccc48595a5&amp;schid=8033&amp;row=1&amp;page=43</t>
  </si>
  <si>
    <t>https://journaliststudio.google.com/pinpoint-extract/preview?collection=b4db47ccc48595a5&amp;job=8ce95af7bbe3ae32&amp;docid=46e4f917ea989928_b4db47ccc48595a5&amp;schid=8033&amp;row=2&amp;page=43</t>
  </si>
  <si>
    <t>https://journaliststudio.google.com/pinpoint-extract/preview?collection=b4db47ccc48595a5&amp;job=8ce95af7bbe3ae32&amp;docid=46e4f917ea989928_b4db47ccc48595a5&amp;schid=8033&amp;row=3&amp;page=43</t>
  </si>
  <si>
    <t>https://journaliststudio.google.com/pinpoint-extract/preview?collection=b4db47ccc48595a5&amp;job=8ce95af7bbe3ae32&amp;docid=46e4f917ea989928_b4db47ccc48595a5&amp;schid=8033&amp;row=4&amp;page=43</t>
  </si>
  <si>
    <t>https://journaliststudio.google.com/pinpoint-extract/preview?collection=b4db47ccc48595a5&amp;job=8ce95af7bbe3ae32&amp;docid=46e4f917ea989928_b4db47ccc48595a5&amp;schid=8033&amp;row=5&amp;page=43</t>
  </si>
  <si>
    <t>State Department for Science and Technology</t>
  </si>
  <si>
    <t>https://journaliststudio.google.com/pinpoint-extract/preview?collection=b4db47ccc48595a5&amp;job=8ce95af7bbe3ae32&amp;docid=46e4f917ea989928_b4db47ccc48595a5&amp;schid=8033&amp;row=6&amp;page=43</t>
  </si>
  <si>
    <t>https://journaliststudio.google.com/pinpoint-extract/preview?collection=b4db47ccc48595a5&amp;job=8ce95af7bbe3ae32&amp;docid=46e4f917ea989928_b4db47ccc48595a5&amp;schid=8033&amp;row=7&amp;page=43</t>
  </si>
  <si>
    <t>https://journaliststudio.google.com/pinpoint-extract/preview?collection=b4db47ccc48595a5&amp;job=8ce95af7bbe3ae32&amp;docid=46e4f917ea989928_b4db47ccc48595a5&amp;schid=8033&amp;row=8&amp;page=43</t>
  </si>
  <si>
    <t>https://journaliststudio.google.com/pinpoint-extract/preview?collection=b4db47ccc48595a5&amp;job=8ce95af7bbe3ae32&amp;docid=46e4f917ea989928_b4db47ccc48595a5&amp;schid=8033&amp;row=9&amp;page=43</t>
  </si>
  <si>
    <t>https://journaliststudio.google.com/pinpoint-extract/preview?collection=b4db47ccc48595a5&amp;job=8ce95af7bbe3ae32&amp;docid=46e4f917ea989928_b4db47ccc48595a5&amp;schid=8033&amp;row=10&amp;page=43</t>
  </si>
  <si>
    <t>https://journaliststudio.google.com/pinpoint-extract/preview?collection=b4db47ccc48595a5&amp;job=8ce95af7bbe3ae32&amp;docid=46e4f917ea989928_b4db47ccc48595a5&amp;schid=8033&amp;row=11&amp;page=43</t>
  </si>
  <si>
    <t>https://journaliststudio.google.com/pinpoint-extract/preview?collection=b4db47ccc48595a5&amp;job=8ce95af7bbe3ae32&amp;docid=46e4f917ea989928_b4db47ccc48595a5&amp;schid=8033&amp;row=12&amp;page=43</t>
  </si>
  <si>
    <t>https://journaliststudio.google.com/pinpoint-extract/preview?collection=b4db47ccc48595a5&amp;job=8ce95af7bbe3ae32&amp;docid=46e4f917ea989928_b4db47ccc48595a5&amp;schid=8033&amp;row=13&amp;page=43</t>
  </si>
  <si>
    <t>https://journaliststudio.google.com/pinpoint-extract/preview?collection=b4db47ccc48595a5&amp;job=8ce95af7bbe3ae32&amp;docid=46e4f917ea989928_b4db47ccc48595a5&amp;schid=8033&amp;row=14&amp;page=43</t>
  </si>
  <si>
    <t>https://journaliststudio.google.com/pinpoint-extract/preview?collection=b4db47ccc48595a5&amp;job=8ce95af7bbe3ae32&amp;docid=46e4f917ea989928_b4db47ccc48595a5&amp;schid=8033&amp;row=15&amp;page=43</t>
  </si>
  <si>
    <t>Kenya National Human Rights &amp; Equality Commission</t>
  </si>
  <si>
    <t>https://journaliststudio.google.com/pinpoint-extract/preview?collection=b4db47ccc48595a5&amp;job=8ce95af7bbe3ae32&amp;docid=46e4f917ea989928_b4db47ccc48595a5&amp;schid=8033&amp;row=16&amp;page=43</t>
  </si>
  <si>
    <t>https://journaliststudio.google.com/pinpoint-extract/preview?collection=b4db47ccc48595a5&amp;job=8ce95af7bbe3ae32&amp;docid=46e4f917ea989928_b4db47ccc48595a5&amp;schid=8033&amp;row=17&amp;page=43</t>
  </si>
  <si>
    <t>https://journaliststudio.google.com/pinpoint-extract/preview?collection=b4db47ccc48595a5&amp;job=b966e2a83e48c6be&amp;docid=46e4f917ea989928_b4db47ccc48595a5&amp;schid=8001&amp;row=0&amp;page=44</t>
  </si>
  <si>
    <t>https://journaliststudio.google.com/pinpoint-extract/preview?collection=b4db47ccc48595a5&amp;job=b966e2a83e48c6be&amp;docid=46e4f917ea989928_b4db47ccc48595a5&amp;schid=8001&amp;row=1&amp;page=44</t>
  </si>
  <si>
    <t>https://journaliststudio.google.com/pinpoint-extract/preview?collection=b4db47ccc48595a5&amp;job=b966e2a83e48c6be&amp;docid=46e4f917ea989928_b4db47ccc48595a5&amp;schid=8001&amp;row=2&amp;page=44</t>
  </si>
  <si>
    <t>https://journaliststudio.google.com/pinpoint-extract/preview?collection=b4db47ccc48595a5&amp;job=b966e2a83e48c6be&amp;docid=46e4f917ea989928_b4db47ccc48595a5&amp;schid=8001&amp;row=3&amp;page=44</t>
  </si>
  <si>
    <t>https://journaliststudio.google.com/pinpoint-extract/preview?collection=b4db47ccc48595a5&amp;job=b966e2a83e48c6be&amp;docid=46e4f917ea989928_b4db47ccc48595a5&amp;schid=8001&amp;row=4&amp;page=44</t>
  </si>
  <si>
    <t>https://journaliststudio.google.com/pinpoint-extract/preview?collection=b4db47ccc48595a5&amp;job=b966e2a83e48c6be&amp;docid=46e4f917ea989928_b4db47ccc48595a5&amp;schid=8001&amp;row=5&amp;page=44</t>
  </si>
  <si>
    <t>https://journaliststudio.google.com/pinpoint-extract/preview?collection=b4db47ccc48595a5&amp;job=b966e2a83e48c6be&amp;docid=46e4f917ea989928_b4db47ccc48595a5&amp;schid=8001&amp;row=6&amp;page=44</t>
  </si>
  <si>
    <t>https://journaliststudio.google.com/pinpoint-extract/preview?collection=b4db47ccc48595a5&amp;job=b966e2a83e48c6be&amp;docid=46e4f917ea989928_b4db47ccc48595a5&amp;schid=8001&amp;row=7&amp;page=44</t>
  </si>
  <si>
    <t>https://journaliststudio.google.com/pinpoint-extract/preview?collection=b4db47ccc48595a5&amp;job=b966e2a83e48c6be&amp;docid=46e4f917ea989928_b4db47ccc48595a5&amp;schid=8001&amp;row=8&amp;page=44</t>
  </si>
  <si>
    <t>https://journaliststudio.google.com/pinpoint-extract/preview?collection=b4db47ccc48595a5&amp;job=b966e2a83e48c6be&amp;docid=46e4f917ea989928_b4db47ccc48595a5&amp;schid=8001&amp;row=9&amp;page=44</t>
  </si>
  <si>
    <t>https://journaliststudio.google.com/pinpoint-extract/preview?collection=b4db47ccc48595a5&amp;job=b966e2a83e48c6be&amp;docid=46e4f917ea989928_b4db47ccc48595a5&amp;schid=8001&amp;row=10&amp;page=44</t>
  </si>
  <si>
    <t>https://journaliststudio.google.com/pinpoint-extract/preview?collection=b4db47ccc48595a5&amp;job=b966e2a83e48c6be&amp;docid=46e4f917ea989928_b4db47ccc48595a5&amp;schid=8001&amp;row=11&amp;page=44</t>
  </si>
  <si>
    <t>https://journaliststudio.google.com/pinpoint-extract/preview?collection=b4db47ccc48595a5&amp;job=b966e2a83e48c6be&amp;docid=46e4f917ea989928_b4db47ccc48595a5&amp;schid=8001&amp;row=12&amp;page=44</t>
  </si>
  <si>
    <t>https://journaliststudio.google.com/pinpoint-extract/preview?collection=b4db47ccc48595a5&amp;job=b966e2a83e48c6be&amp;docid=46e4f917ea989928_b4db47ccc48595a5&amp;schid=8001&amp;row=13&amp;page=44</t>
  </si>
  <si>
    <t>2013/2014</t>
  </si>
  <si>
    <t>https://journaliststudio.google.com/pinpoint-extract/preview?collection=b4db47ccc48595a5&amp;job=7e40ac8cfc4579aa&amp;docid=8884d0508c167a2_b4db47ccc48595a5&amp;schid=8001&amp;row=0&amp;page=30</t>
  </si>
  <si>
    <t>Ministry of Interior and Coordination of National Government</t>
  </si>
  <si>
    <t>https://journaliststudio.google.com/pinpoint-extract/preview?collection=b4db47ccc48595a5&amp;job=7e40ac8cfc4579aa&amp;docid=8884d0508c167a2_b4db47ccc48595a5&amp;schid=8001&amp;row=1&amp;page=30</t>
  </si>
  <si>
    <t>Ministry of Devolution and Planning</t>
  </si>
  <si>
    <t>https://journaliststudio.google.com/pinpoint-extract/preview?collection=b4db47ccc48595a5&amp;job=7e40ac8cfc4579aa&amp;docid=8884d0508c167a2_b4db47ccc48595a5&amp;schid=8001&amp;row=2&amp;page=30</t>
  </si>
  <si>
    <t>https://journaliststudio.google.com/pinpoint-extract/preview?collection=b4db47ccc48595a5&amp;job=7e40ac8cfc4579aa&amp;docid=8884d0508c167a2_b4db47ccc48595a5&amp;schid=8001&amp;row=3&amp;page=30</t>
  </si>
  <si>
    <t>Ministry of Education, Science and Technology</t>
  </si>
  <si>
    <t>https://journaliststudio.google.com/pinpoint-extract/preview?collection=b4db47ccc48595a5&amp;job=7e40ac8cfc4579aa&amp;docid=8884d0508c167a2_b4db47ccc48595a5&amp;schid=8001&amp;row=4&amp;page=30</t>
  </si>
  <si>
    <t>https://journaliststudio.google.com/pinpoint-extract/preview?collection=b4db47ccc48595a5&amp;job=7e40ac8cfc4579aa&amp;docid=8884d0508c167a2_b4db47ccc48595a5&amp;schid=8001&amp;row=5&amp;page=30</t>
  </si>
  <si>
    <t>https://journaliststudio.google.com/pinpoint-extract/preview?collection=b4db47ccc48595a5&amp;job=7e40ac8cfc4579aa&amp;docid=8884d0508c167a2_b4db47ccc48595a5&amp;schid=8001&amp;row=6&amp;page=30</t>
  </si>
  <si>
    <t>Ministry of Transport and Infrastructure</t>
  </si>
  <si>
    <t>https://journaliststudio.google.com/pinpoint-extract/preview?collection=b4db47ccc48595a5&amp;job=7e40ac8cfc4579aa&amp;docid=8884d0508c167a2_b4db47ccc48595a5&amp;schid=8001&amp;row=7&amp;page=30</t>
  </si>
  <si>
    <t>Ministry of Environment, Water and Natural Resources</t>
  </si>
  <si>
    <t>https://journaliststudio.google.com/pinpoint-extract/preview?collection=b4db47ccc48595a5&amp;job=7e40ac8cfc4579aa&amp;docid=8884d0508c167a2_b4db47ccc48595a5&amp;schid=8001&amp;row=8&amp;page=30</t>
  </si>
  <si>
    <t>Ministry of Lands, Housing and Urban Development</t>
  </si>
  <si>
    <t>https://journaliststudio.google.com/pinpoint-extract/preview?collection=b4db47ccc48595a5&amp;job=7e40ac8cfc4579aa&amp;docid=8884d0508c167a2_b4db47ccc48595a5&amp;schid=8001&amp;row=9&amp;page=30</t>
  </si>
  <si>
    <t>Ministry of Information &amp; Communication Technology</t>
  </si>
  <si>
    <t>https://journaliststudio.google.com/pinpoint-extract/preview?collection=b4db47ccc48595a5&amp;job=7e40ac8cfc4579aa&amp;docid=8884d0508c167a2_b4db47ccc48595a5&amp;schid=8001&amp;row=10&amp;page=30</t>
  </si>
  <si>
    <t>Ministry of Sports, Culture and Arts</t>
  </si>
  <si>
    <t>https://journaliststudio.google.com/pinpoint-extract/preview?collection=b4db47ccc48595a5&amp;job=7e40ac8cfc4579aa&amp;docid=8884d0508c167a2_b4db47ccc48595a5&amp;schid=8001&amp;row=11&amp;page=30</t>
  </si>
  <si>
    <t>Ministry of Labour, Social Security and Services</t>
  </si>
  <si>
    <t>https://journaliststudio.google.com/pinpoint-extract/preview?collection=b4db47ccc48595a5&amp;job=7e40ac8cfc4579aa&amp;docid=8884d0508c167a2_b4db47ccc48595a5&amp;schid=8001&amp;row=12&amp;page=30</t>
  </si>
  <si>
    <t>https://journaliststudio.google.com/pinpoint-extract/preview?collection=b4db47ccc48595a5&amp;job=7e40ac8cfc4579aa&amp;docid=8884d0508c167a2_b4db47ccc48595a5&amp;schid=8001&amp;row=13&amp;page=30</t>
  </si>
  <si>
    <t>Ministry of Agriculture, Livestock and Fisheries</t>
  </si>
  <si>
    <t>https://journaliststudio.google.com/pinpoint-extract/preview?collection=b4db47ccc48595a5&amp;job=7e40ac8cfc4579aa&amp;docid=8884d0508c167a2_b4db47ccc48595a5&amp;schid=8001&amp;row=14&amp;page=30</t>
  </si>
  <si>
    <t>Ministry of Industrialisation and Enterprise Development</t>
  </si>
  <si>
    <t>https://journaliststudio.google.com/pinpoint-extract/preview?collection=b4db47ccc48595a5&amp;job=7e40ac8cfc4579aa&amp;docid=8884d0508c167a2_b4db47ccc48595a5&amp;schid=8001&amp;row=15&amp;page=30</t>
  </si>
  <si>
    <t>Ministry of East African Affairs, Commerce and Tourism</t>
  </si>
  <si>
    <t>https://journaliststudio.google.com/pinpoint-extract/preview?collection=b4db47ccc48595a5&amp;job=7e40ac8cfc4579aa&amp;docid=8884d0508c167a2_b4db47ccc48595a5&amp;schid=8001&amp;row=16&amp;page=30</t>
  </si>
  <si>
    <t>https://journaliststudio.google.com/pinpoint-extract/preview?collection=b4db47ccc48595a5&amp;job=7e40ac8cfc4579aa&amp;docid=8884d0508c167a2_b4db47ccc48595a5&amp;schid=8001&amp;row=17&amp;page=30</t>
  </si>
  <si>
    <t>https://journaliststudio.google.com/pinpoint-extract/preview?collection=b4db47ccc48595a5&amp;job=7e40ac8cfc4579aa&amp;docid=8884d0508c167a2_b4db47ccc48595a5&amp;schid=8001&amp;row=18&amp;page=30</t>
  </si>
  <si>
    <t>https://journaliststudio.google.com/pinpoint-extract/preview?collection=b4db47ccc48595a5&amp;job=7e40ac8cfc4579aa&amp;docid=8884d0508c167a2_b4db47ccc48595a5&amp;schid=8001&amp;row=19&amp;page=30</t>
  </si>
  <si>
    <t>https://journaliststudio.google.com/pinpoint-extract/preview?collection=b4db47ccc48595a5&amp;job=7e40ac8cfc4579aa&amp;docid=8884d0508c167a2_b4db47ccc48595a5&amp;schid=8001&amp;row=20&amp;page=30</t>
  </si>
  <si>
    <t>https://journaliststudio.google.com/pinpoint-extract/preview?collection=b4db47ccc48595a5&amp;job=7e40ac8cfc4579aa&amp;docid=8884d0508c167a2_b4db47ccc48595a5&amp;schid=8001&amp;row=21&amp;page=31</t>
  </si>
  <si>
    <t>https://journaliststudio.google.com/pinpoint-extract/preview?collection=b4db47ccc48595a5&amp;job=7e40ac8cfc4579aa&amp;docid=8884d0508c167a2_b4db47ccc48595a5&amp;schid=8001&amp;row=22&amp;page=31</t>
  </si>
  <si>
    <t>https://journaliststudio.google.com/pinpoint-extract/preview?collection=b4db47ccc48595a5&amp;job=7e40ac8cfc4579aa&amp;docid=8884d0508c167a2_b4db47ccc48595a5&amp;schid=8001&amp;row=23&amp;page=31</t>
  </si>
  <si>
    <t>https://journaliststudio.google.com/pinpoint-extract/preview?collection=b4db47ccc48595a5&amp;job=7e40ac8cfc4579aa&amp;docid=8884d0508c167a2_b4db47ccc48595a5&amp;schid=8001&amp;row=24&amp;page=31</t>
  </si>
  <si>
    <t>https://journaliststudio.google.com/pinpoint-extract/preview?collection=b4db47ccc48595a5&amp;job=7e40ac8cfc4579aa&amp;docid=8884d0508c167a2_b4db47ccc48595a5&amp;schid=8001&amp;row=25&amp;page=31</t>
  </si>
  <si>
    <t>https://journaliststudio.google.com/pinpoint-extract/preview?collection=b4db47ccc48595a5&amp;job=7e40ac8cfc4579aa&amp;docid=8884d0508c167a2_b4db47ccc48595a5&amp;schid=8001&amp;row=26&amp;page=31</t>
  </si>
  <si>
    <t>https://journaliststudio.google.com/pinpoint-extract/preview?collection=b4db47ccc48595a5&amp;job=7e40ac8cfc4579aa&amp;docid=8884d0508c167a2_b4db47ccc48595a5&amp;schid=8001&amp;row=27&amp;page=31</t>
  </si>
  <si>
    <t>https://journaliststudio.google.com/pinpoint-extract/preview?collection=b4db47ccc48595a5&amp;job=7e40ac8cfc4579aa&amp;docid=8884d0508c167a2_b4db47ccc48595a5&amp;schid=8001&amp;row=28&amp;page=31</t>
  </si>
  <si>
    <t>https://journaliststudio.google.com/pinpoint-extract/preview?collection=b4db47ccc48595a5&amp;job=7e40ac8cfc4579aa&amp;docid=8884d0508c167a2_b4db47ccc48595a5&amp;schid=8001&amp;row=29&amp;page=31</t>
  </si>
  <si>
    <t>https://journaliststudio.google.com/pinpoint-extract/preview?collection=b4db47ccc48595a5&amp;job=7e40ac8cfc4579aa&amp;docid=8884d0508c167a2_b4db47ccc48595a5&amp;schid=8001&amp;row=30&amp;page=31</t>
  </si>
  <si>
    <t>https://journaliststudio.google.com/pinpoint-extract/preview?collection=b4db47ccc48595a5&amp;job=7e40ac8cfc4579aa&amp;docid=8884d0508c167a2_b4db47ccc48595a5&amp;schid=8001&amp;row=31&amp;page=31</t>
  </si>
  <si>
    <t>https://journaliststudio.google.com/pinpoint-extract/preview?collection=b4db47ccc48595a5&amp;job=7e40ac8cfc4579aa&amp;docid=8884d0508c167a2_b4db47ccc48595a5&amp;schid=8001&amp;row=32&amp;page=31</t>
  </si>
  <si>
    <t>https://journaliststudio.google.com/pinpoint-extract/preview?collection=b4db47ccc48595a5&amp;job=7e40ac8cfc4579aa&amp;docid=8884d0508c167a2_b4db47ccc48595a5&amp;schid=8001&amp;row=33&amp;page=31</t>
  </si>
  <si>
    <t>https://journaliststudio.google.com/pinpoint-extract/preview?collection=b4db47ccc48595a5&amp;job=7e40ac8cfc4579aa&amp;docid=8884d0508c167a2_b4db47ccc48595a5&amp;schid=8001&amp;row=34&amp;page=31</t>
  </si>
  <si>
    <t>https://journaliststudio.google.com/pinpoint-extract/preview?collection=b4db47ccc48595a5&amp;job=7e40ac8cfc4579aa&amp;docid=8884d0508c167a2_b4db47ccc48595a5&amp;schid=8001&amp;row=35&amp;page=31</t>
  </si>
  <si>
    <t>https://journaliststudio.google.com/pinpoint-extract/preview?collection=b4db47ccc48595a5&amp;job=7e40ac8cfc4579aa&amp;docid=8884d0508c167a2_b4db47ccc48595a5&amp;schid=8001&amp;row=36&amp;page=31</t>
  </si>
  <si>
    <t>https://journaliststudio.google.com/pinpoint-extract/preview?collection=b4db47ccc48595a5&amp;job=7e40ac8cfc4579aa&amp;docid=8884d0508c167a2_b4db47ccc48595a5&amp;schid=8001&amp;row=37&amp;page=31</t>
  </si>
  <si>
    <t>https://journaliststudio.google.com/pinpoint-extract/preview?collection=b4db47ccc48595a5&amp;job=7e40ac8cfc4579aa&amp;docid=8884d0508c167a2_b4db47ccc48595a5&amp;schid=8001&amp;row=38&amp;page=31</t>
  </si>
  <si>
    <t>https://journaliststudio.google.com/pinpoint-extract/preview?collection=b4db47ccc48595a5&amp;job=7e40ac8cfc4579aa&amp;docid=8884d0508c167a2_b4db47ccc48595a5&amp;schid=8001&amp;row=39&amp;page=31</t>
  </si>
  <si>
    <t>https://journaliststudio.google.com/pinpoint-extract/preview?collection=b4db47ccc48595a5&amp;job=7e40ac8cfc4579aa&amp;docid=8884d0508c167a2_b4db47ccc48595a5&amp;schid=8001&amp;row=40&amp;page=31</t>
  </si>
  <si>
    <t>https://journaliststudio.google.com/pinpoint-extract/preview?collection=b4db47ccc48595a5&amp;job=7e40ac8cfc4579aa&amp;docid=8884d0508c167a2_b4db47ccc48595a5&amp;schid=8001&amp;row=41&amp;page=31</t>
  </si>
  <si>
    <t>MINISTRY/
 STATE
 DEPARTMENT /
 AGENCY</t>
  </si>
  <si>
    <t>mda revised</t>
  </si>
  <si>
    <t>year</t>
  </si>
  <si>
    <t>Revised Gross
 Estimates II
 (Kshs.)</t>
  </si>
  <si>
    <t>Revised A-i-A
 II (Kshs.)</t>
  </si>
  <si>
    <t>Revised Net
 Estimates II (Kshs.)</t>
  </si>
  <si>
    <t>Exchequer
 Issues (Kshs.)</t>
  </si>
  <si>
    <t>Expenditure
 (Kshs.)</t>
  </si>
  <si>
    <t>The Executive  Office of the  President</t>
  </si>
  <si>
    <t>Office of the
 Deputy President</t>
  </si>
  <si>
    <t>Office of the  Deputy President</t>
  </si>
  <si>
    <t>State Department  for Correctional  Services</t>
  </si>
  <si>
    <t>State Department  for Immigration  and Citizen  Services</t>
  </si>
  <si>
    <t>National Police  Service</t>
  </si>
  <si>
    <t>State Department
 for Internal
 Security and
 National
 Administration</t>
  </si>
  <si>
    <t>State Department  for Internal  Security and  National  Administration</t>
  </si>
  <si>
    <t>State Department
 for Devolution</t>
  </si>
  <si>
    <t>State Department  for Devolution</t>
  </si>
  <si>
    <t>State Department  for the ASALs  and Regional  Development</t>
  </si>
  <si>
    <t>Ministry of  Defence</t>
  </si>
  <si>
    <t>State Department
 for Foreign Affairs</t>
  </si>
  <si>
    <t>State Department  for Foreign Affairs</t>
  </si>
  <si>
    <t>State Department
 for Vocational and
 Technical Training</t>
  </si>
  <si>
    <t>State Department  for Vocational and  Technical Training</t>
  </si>
  <si>
    <t>State Department
 for Higher
 Education and
 Research</t>
  </si>
  <si>
    <t>State Department  for Higher  Education and  Research</t>
  </si>
  <si>
    <t>State Department  for Basic  Education</t>
  </si>
  <si>
    <t>The National  Treasury</t>
  </si>
  <si>
    <t>State Department
 for Economic
 Planning</t>
  </si>
  <si>
    <t>State Department  for Economic  Planning</t>
  </si>
  <si>
    <t>State Department  for Medical  Services</t>
  </si>
  <si>
    <t>State Department  for Public Health  and Professional  Standards</t>
  </si>
  <si>
    <t>State Department  for Roads</t>
  </si>
  <si>
    <t>State Department  of Transport</t>
  </si>
  <si>
    <t>State Department  for Shipping and  Maritime Affairs</t>
  </si>
  <si>
    <t>State Department
 for Housing
 and Urban
 Development</t>
  </si>
  <si>
    <t>State Department  for Housing  and Urban  Development</t>
  </si>
  <si>
    <t>State Department  for Public Works</t>
  </si>
  <si>
    <t>State Department  for Irrigation</t>
  </si>
  <si>
    <t>State Department  of Water and  Sanitation</t>
  </si>
  <si>
    <t>State Department  for Lands and  Physical Planning</t>
  </si>
  <si>
    <t>State Department
 for Information
 Communications
 and Technology
 and Digital
 Economy</t>
  </si>
  <si>
    <t>State Department  for Information  Communications  and Technology  and Digital  Economy</t>
  </si>
  <si>
    <t>State Department
 for Broadcasting and
 Telecommunications</t>
  </si>
  <si>
    <t>State Department  for Broadcasting and  Telecommunications</t>
  </si>
  <si>
    <t>State Department  for Sports</t>
  </si>
  <si>
    <t>State Department  for Culture and  Heritage</t>
  </si>
  <si>
    <t>State Department
 for Youth Affairs</t>
  </si>
  <si>
    <t>State Department  for Youth Affairs</t>
  </si>
  <si>
    <t>State Department  for Energy</t>
  </si>
  <si>
    <t>State Department  for Livestock  Development</t>
  </si>
  <si>
    <t>State Department  for the Blue  Economy and  Fisheries</t>
  </si>
  <si>
    <t>State Department
 for Crop
 Development</t>
  </si>
  <si>
    <t>State Department  for Crop  Development</t>
  </si>
  <si>
    <t>State Department  for Cooperatives</t>
  </si>
  <si>
    <t>State Department  for Trade</t>
  </si>
  <si>
    <t>State Department  for Industry</t>
  </si>
  <si>
    <t>State Department  for Micro, Small  and Medium  Enterprises  Development</t>
  </si>
  <si>
    <t>State Department  for Investment  Promotion</t>
  </si>
  <si>
    <t>State Department
 for Social
 Protection and
 Senior Citizen
 Affairs</t>
  </si>
  <si>
    <t>State Department  for Social  Protection and  Senior Citizen  Affairs</t>
  </si>
  <si>
    <t>State Department  for Mining</t>
  </si>
  <si>
    <t>State Department  for Petroleum</t>
  </si>
  <si>
    <t>State Department  for Tourism</t>
  </si>
  <si>
    <t>State Department  for Wildlife</t>
  </si>
  <si>
    <t>State Department
 for Gender and
 Affirmative Action</t>
  </si>
  <si>
    <t>State Department  for Gender and  Affirmative Action</t>
  </si>
  <si>
    <t>State Department  for Public Service</t>
  </si>
  <si>
    <t>The State Law  Office</t>
  </si>
  <si>
    <t>Ethics and  Anti-Corruption  Commission</t>
  </si>
  <si>
    <t>Office of the  Director of Public  Prosecutions</t>
  </si>
  <si>
    <t>State Department  for Environment  and Climate  Change</t>
  </si>
  <si>
    <t>State Department  for Forestry</t>
  </si>
  <si>
    <t>National Land  Commission</t>
  </si>
  <si>
    <t>Independent  Electoral and  Boundaries  Commission</t>
  </si>
  <si>
    <t>Parliamentary  Joint Services</t>
  </si>
  <si>
    <t>Public Service  Commission</t>
  </si>
  <si>
    <t>Teachers Service  Commission</t>
  </si>
  <si>
    <t>National Gender
 and Equality
 Commission</t>
  </si>
  <si>
    <t>National Gender  and Equality  Commission</t>
  </si>
  <si>
    <t>Original Gross Estimates (Kshs)</t>
  </si>
  <si>
    <t>Revised Gross Estimates I (Kshs)</t>
  </si>
  <si>
    <t>Revised Gross Estinates sup II(Kshs)</t>
  </si>
  <si>
    <t>Revised Net Estimates Supp II (Kshs)</t>
  </si>
  <si>
    <t>Exchequer Issues (Kshs)</t>
  </si>
  <si>
    <t>Expenditure (Kshs)</t>
  </si>
  <si>
    <t>Ministry of Devolution</t>
  </si>
  <si>
    <t>State Department for Development of ASALs</t>
  </si>
  <si>
    <t>State Department for Economic Planning</t>
  </si>
  <si>
    <t>State Department for Public Health</t>
  </si>
  <si>
    <t>Department for Shipping Maritime</t>
  </si>
  <si>
    <t>State Department for Water &amp; Sanitation and Irrigation</t>
  </si>
  <si>
    <t>Aquaculture and the Blue Economy</t>
  </si>
  <si>
    <t>State Department for Crop Development &amp; Agricultural Research</t>
  </si>
  <si>
    <t>State Department for Trade and Enterprise Development</t>
  </si>
  <si>
    <t>State Department for Micro Small and Medium Enterprises Development</t>
  </si>
  <si>
    <t>Ministry of Petroleuma nd Mining</t>
  </si>
  <si>
    <t>MINISTRY/STATE DEPARTMENT</t>
  </si>
  <si>
    <t>Original Gross Estimates</t>
  </si>
  <si>
    <t>Revised Gross Estimates I</t>
  </si>
  <si>
    <t>Revised Gross Estimates II</t>
  </si>
  <si>
    <t>Original Net Estimates</t>
  </si>
  <si>
    <t>Revised Net Estimates I</t>
  </si>
  <si>
    <t>Revised Net Estimates II</t>
  </si>
  <si>
    <t>Exchequer</t>
  </si>
  <si>
    <t>https://journaliststudio.google.com/pinpoint-extract/preview?collection=524daaefa335d538&amp;job=82bec05f3301547e&amp;docid=3a84e2afec62e521_524daaefa335d538&amp;schid=8001&amp;row=0&amp;page=107</t>
  </si>
  <si>
    <t>https://journaliststudio.google.com/pinpoint-extract/preview?collection=524daaefa335d538&amp;job=82bec05f3301547e&amp;docid=3a84e2afec62e521_524daaefa335d538&amp;schid=8001&amp;row=1&amp;page=107</t>
  </si>
  <si>
    <t>https://journaliststudio.google.com/pinpoint-extract/preview?collection=524daaefa335d538&amp;job=82bec05f3301547e&amp;docid=3a84e2afec62e521_524daaefa335d538&amp;schid=8001&amp;row=2&amp;page=107</t>
  </si>
  <si>
    <t>https://journaliststudio.google.com/pinpoint-extract/preview?collection=524daaefa335d538&amp;job=82bec05f3301547e&amp;docid=3a84e2afec62e521_524daaefa335d538&amp;schid=8001&amp;row=3&amp;page=107</t>
  </si>
  <si>
    <t>https://journaliststudio.google.com/pinpoint-extract/preview?collection=524daaefa335d538&amp;job=82bec05f3301547e&amp;docid=3a84e2afec62e521_524daaefa335d538&amp;schid=8001&amp;row=4&amp;page=107</t>
  </si>
  <si>
    <t>https://journaliststudio.google.com/pinpoint-extract/preview?collection=524daaefa335d538&amp;job=82bec05f3301547e&amp;docid=3a84e2afec62e521_524daaefa335d538&amp;schid=8001&amp;row=5&amp;page=107</t>
  </si>
  <si>
    <t>https://journaliststudio.google.com/pinpoint-extract/preview?collection=524daaefa335d538&amp;job=82bec05f3301547e&amp;docid=3a84e2afec62e521_524daaefa335d538&amp;schid=8001&amp;row=6&amp;page=107</t>
  </si>
  <si>
    <t>https://journaliststudio.google.com/pinpoint-extract/preview?collection=524daaefa335d538&amp;job=82bec05f3301547e&amp;docid=3a84e2afec62e521_524daaefa335d538&amp;schid=8001&amp;row=7&amp;page=107</t>
  </si>
  <si>
    <t>https://journaliststudio.google.com/pinpoint-extract/preview?collection=524daaefa335d538&amp;job=82bec05f3301547e&amp;docid=3a84e2afec62e521_524daaefa335d538&amp;schid=8001&amp;row=8&amp;page=107</t>
  </si>
  <si>
    <t>https://journaliststudio.google.com/pinpoint-extract/preview?collection=524daaefa335d538&amp;job=82bec05f3301547e&amp;docid=3a84e2afec62e521_524daaefa335d538&amp;schid=8001&amp;row=9&amp;page=107</t>
  </si>
  <si>
    <t>https://journaliststudio.google.com/pinpoint-extract/preview?collection=524daaefa335d538&amp;job=82bec05f3301547e&amp;docid=3a84e2afec62e521_524daaefa335d538&amp;schid=8001&amp;row=10&amp;page=107</t>
  </si>
  <si>
    <t>https://journaliststudio.google.com/pinpoint-extract/preview?collection=524daaefa335d538&amp;job=82bec05f3301547e&amp;docid=3a84e2afec62e521_524daaefa335d538&amp;schid=8001&amp;row=11&amp;page=107</t>
  </si>
  <si>
    <t>https://journaliststudio.google.com/pinpoint-extract/preview?collection=524daaefa335d538&amp;job=82bec05f3301547e&amp;docid=3a84e2afec62e521_524daaefa335d538&amp;schid=8001&amp;row=12&amp;page=107</t>
  </si>
  <si>
    <t>https://journaliststudio.google.com/pinpoint-extract/preview?collection=524daaefa335d538&amp;job=82bec05f3301547e&amp;docid=3a84e2afec62e521_524daaefa335d538&amp;schid=8001&amp;row=13&amp;page=107</t>
  </si>
  <si>
    <t>https://journaliststudio.google.com/pinpoint-extract/preview?collection=524daaefa335d538&amp;job=82bec05f3301547e&amp;docid=3a84e2afec62e521_524daaefa335d538&amp;schid=8001&amp;row=14&amp;page=107</t>
  </si>
  <si>
    <t>https://journaliststudio.google.com/pinpoint-extract/preview?collection=524daaefa335d538&amp;job=82bec05f3301547e&amp;docid=3a84e2afec62e521_524daaefa335d538&amp;schid=8001&amp;row=15&amp;page=107</t>
  </si>
  <si>
    <t>https://journaliststudio.google.com/pinpoint-extract/preview?collection=524daaefa335d538&amp;job=82bec05f3301547e&amp;docid=3a84e2afec62e521_524daaefa335d538&amp;schid=8001&amp;row=16&amp;page=107</t>
  </si>
  <si>
    <t>https://journaliststudio.google.com/pinpoint-extract/preview?collection=524daaefa335d538&amp;job=82bec05f3301547e&amp;docid=3a84e2afec62e521_524daaefa335d538&amp;schid=8001&amp;row=17&amp;page=107</t>
  </si>
  <si>
    <t>https://journaliststudio.google.com/pinpoint-extract/preview?collection=524daaefa335d538&amp;job=82bec05f3301547e&amp;docid=3a84e2afec62e521_524daaefa335d538&amp;schid=8001&amp;row=18&amp;page=107</t>
  </si>
  <si>
    <t>Ministry of Water Sanitation and Irrigation</t>
  </si>
  <si>
    <t>https://journaliststudio.google.com/pinpoint-extract/preview?collection=524daaefa335d538&amp;job=82bec05f3301547e&amp;docid=3a84e2afec62e521_524daaefa335d538&amp;schid=8001&amp;row=19&amp;page=107</t>
  </si>
  <si>
    <t>https://journaliststudio.google.com/pinpoint-extract/preview?collection=524daaefa335d538&amp;job=82bec05f3301547e&amp;docid=3a84e2afec62e521_524daaefa335d538&amp;schid=8001&amp;row=20&amp;page=107</t>
  </si>
  <si>
    <t>State Department for Information Communications and Technology &amp; Innovation</t>
  </si>
  <si>
    <t>https://journaliststudio.google.com/pinpoint-extract/preview?collection=524daaefa335d538&amp;job=82bec05f3301547e&amp;docid=3a84e2afec62e521_524daaefa335d538&amp;schid=8001&amp;row=21&amp;page=107</t>
  </si>
  <si>
    <t>https://journaliststudio.google.com/pinpoint-extract/preview?collection=524daaefa335d538&amp;job=7c9ee60b62a58c50&amp;docid=3a84e2afec62e521_524daaefa335d538&amp;schid=8009&amp;row=0&amp;page=108</t>
  </si>
  <si>
    <t>https://journaliststudio.google.com/pinpoint-extract/preview?collection=524daaefa335d538&amp;job=7c9ee60b62a58c50&amp;docid=3a84e2afec62e521_524daaefa335d538&amp;schid=8009&amp;row=1&amp;page=108</t>
  </si>
  <si>
    <t>https://journaliststudio.google.com/pinpoint-extract/preview?collection=524daaefa335d538&amp;job=7c9ee60b62a58c50&amp;docid=3a84e2afec62e521_524daaefa335d538&amp;schid=8009&amp;row=2&amp;page=108</t>
  </si>
  <si>
    <t>https://journaliststudio.google.com/pinpoint-extract/preview?collection=524daaefa335d538&amp;job=7c9ee60b62a58c50&amp;docid=3a84e2afec62e521_524daaefa335d538&amp;schid=8009&amp;row=3&amp;page=108</t>
  </si>
  <si>
    <t>https://journaliststudio.google.com/pinpoint-extract/preview?collection=524daaefa335d538&amp;job=7c9ee60b62a58c50&amp;docid=3a84e2afec62e521_524daaefa335d538&amp;schid=8009&amp;row=4&amp;page=108</t>
  </si>
  <si>
    <t>State Department for Fisheries Aquaculture and the Blue Economy</t>
  </si>
  <si>
    <t>https://journaliststudio.google.com/pinpoint-extract/preview?collection=524daaefa335d538&amp;job=7c9ee60b62a58c50&amp;docid=3a84e2afec62e521_524daaefa335d538&amp;schid=8009&amp;row=5&amp;page=108</t>
  </si>
  <si>
    <t>https://journaliststudio.google.com/pinpoint-extract/preview?collection=524daaefa335d538&amp;job=7c9ee60b62a58c50&amp;docid=3a84e2afec62e521_524daaefa335d538&amp;schid=8009&amp;row=6&amp;page=108</t>
  </si>
  <si>
    <t>432,7 10,151</t>
  </si>
  <si>
    <t>https://journaliststudio.google.com/pinpoint-extract/preview?collection=524daaefa335d538&amp;job=7c9ee60b62a58c50&amp;docid=3a84e2afec62e521_524daaefa335d538&amp;schid=8009&amp;row=7&amp;page=108</t>
  </si>
  <si>
    <t>1,739,0 17,429</t>
  </si>
  <si>
    <t>https://journaliststudio.google.com/pinpoint-extract/preview?collection=524daaefa335d538&amp;job=7c9ee60b62a58c50&amp;docid=3a84e2afec62e521_524daaefa335d538&amp;schid=8009&amp;row=8&amp;page=108</t>
  </si>
  <si>
    <t>https://journaliststudio.google.com/pinpoint-extract/preview?collection=524daaefa335d538&amp;job=7c9ee60b62a58c50&amp;docid=3a84e2afec62e521_524daaefa335d538&amp;schid=8009&amp;row=9&amp;page=108</t>
  </si>
  <si>
    <t>https://journaliststudio.google.com/pinpoint-extract/preview?collection=524daaefa335d538&amp;job=7c9ee60b62a58c50&amp;docid=3a84e2afec62e521_524daaefa335d538&amp;schid=8009&amp;row=10&amp;page=108</t>
  </si>
  <si>
    <t>State Department for Social Protection Pensions &amp; Senior Citizens Affairs</t>
  </si>
  <si>
    <t>https://journaliststudio.google.com/pinpoint-extract/preview?collection=524daaefa335d538&amp;job=7c9ee60b62a58c50&amp;docid=3a84e2afec62e521_524daaefa335d538&amp;schid=8009&amp;row=11&amp;page=108</t>
  </si>
  <si>
    <t>https://journaliststudio.google.com/pinpoint-extract/preview?collection=524daaefa335d538&amp;job=7c9ee60b62a58c50&amp;docid=3a84e2afec62e521_524daaefa335d538&amp;schid=8009&amp;row=12&amp;page=108</t>
  </si>
  <si>
    <t>https://journaliststudio.google.com/pinpoint-extract/preview?collection=524daaefa335d538&amp;job=7c9ee60b62a58c50&amp;docid=3a84e2afec62e521_524daaefa335d538&amp;schid=8009&amp;row=13&amp;page=108</t>
  </si>
  <si>
    <t>https://journaliststudio.google.com/pinpoint-extract/preview?collection=524daaefa335d538&amp;job=7c9ee60b62a58c50&amp;docid=3a84e2afec62e521_524daaefa335d538&amp;schid=8009&amp;row=14&amp;page=108</t>
  </si>
  <si>
    <t>https://journaliststudio.google.com/pinpoint-extract/preview?collection=524daaefa335d538&amp;job=7c9ee60b62a58c50&amp;docid=3a84e2afec62e521_524daaefa335d538&amp;schid=8009&amp;row=15&amp;page=108</t>
  </si>
  <si>
    <t>https://journaliststudio.google.com/pinpoint-extract/preview?collection=524daaefa335d538&amp;job=7c9ee60b62a58c50&amp;docid=3a84e2afec62e521_524daaefa335d538&amp;schid=8009&amp;row=16&amp;page=108</t>
  </si>
  <si>
    <t>https://journaliststudio.google.com/pinpoint-extract/preview?collection=524daaefa335d538&amp;job=7c9ee60b62a58c50&amp;docid=3a84e2afec62e521_524daaefa335d538&amp;schid=8009&amp;row=17&amp;page=108</t>
  </si>
  <si>
    <t>https://journaliststudio.google.com/pinpoint-extract/preview?collection=524daaefa335d538&amp;job=7c9ee60b62a58c50&amp;docid=3a84e2afec62e521_524daaefa335d538&amp;schid=8009&amp;row=18&amp;page=108</t>
  </si>
  <si>
    <t>https://journaliststudio.google.com/pinpoint-extract/preview?collection=524daaefa335d538&amp;job=7c9ee60b62a58c50&amp;docid=3a84e2afec62e521_524daaefa335d538&amp;schid=8009&amp;row=19&amp;page=108</t>
  </si>
  <si>
    <t>https://journaliststudio.google.com/pinpoint-extract/preview?collection=524daaefa335d538&amp;job=7c9ee60b62a58c50&amp;docid=3a84e2afec62e521_524daaefa335d538&amp;schid=8009&amp;row=20&amp;page=108</t>
  </si>
  <si>
    <t>https://journaliststudio.google.com/pinpoint-extract/preview?collection=524daaefa335d538&amp;job=7c9ee60b62a58c50&amp;docid=3a84e2afec62e521_524daaefa335d538&amp;schid=8009&amp;row=21&amp;page=108</t>
  </si>
  <si>
    <t>https://journaliststudio.google.com/pinpoint-extract/preview?collection=524daaefa335d538&amp;job=7c9ee60b62a58c50&amp;docid=3a84e2afec62e521_524daaefa335d538&amp;schid=8009&amp;row=22&amp;page=108</t>
  </si>
  <si>
    <t>https://journaliststudio.google.com/pinpoint-extract/preview?collection=524daaefa335d538&amp;job=8e63a69ee74905&amp;docid=3a84e2afec62e521_524daaefa335d538&amp;schid=8017&amp;row=0&amp;page=109</t>
  </si>
  <si>
    <t>https://journaliststudio.google.com/pinpoint-extract/preview?collection=524daaefa335d538&amp;job=8e63a69ee74905&amp;docid=3a84e2afec62e521_524daaefa335d538&amp;schid=8017&amp;row=1&amp;page=109</t>
  </si>
  <si>
    <t>https://journaliststudio.google.com/pinpoint-extract/preview?collection=524daaefa335d538&amp;job=8e63a69ee74905&amp;docid=3a84e2afec62e521_524daaefa335d538&amp;schid=8017&amp;row=2&amp;page=109</t>
  </si>
  <si>
    <t>https://journaliststudio.google.com/pinpoint-extract/preview?collection=524daaefa335d538&amp;job=8e63a69ee74905&amp;docid=3a84e2afec62e521_524daaefa335d538&amp;schid=8017&amp;row=3&amp;page=109</t>
  </si>
  <si>
    <t>https://journaliststudio.google.com/pinpoint-extract/preview?collection=524daaefa335d538&amp;job=8e63a69ee74905&amp;docid=3a84e2afec62e521_524daaefa335d538&amp;schid=8017&amp;row=4&amp;page=109</t>
  </si>
  <si>
    <t>https://journaliststudio.google.com/pinpoint-extract/preview?collection=524daaefa335d538&amp;job=8e63a69ee74905&amp;docid=3a84e2afec62e521_524daaefa335d538&amp;schid=8017&amp;row=5&amp;page=109</t>
  </si>
  <si>
    <t>https://journaliststudio.google.com/pinpoint-extract/preview?collection=524daaefa335d538&amp;job=8e63a69ee74905&amp;docid=3a84e2afec62e521_524daaefa335d538&amp;schid=8017&amp;row=6&amp;page=109</t>
  </si>
  <si>
    <t>https://journaliststudio.google.com/pinpoint-extract/preview?collection=524daaefa335d538&amp;job=8e63a69ee74905&amp;docid=3a84e2afec62e521_524daaefa335d538&amp;schid=8017&amp;row=7&amp;page=109</t>
  </si>
  <si>
    <t>2020/21</t>
  </si>
  <si>
    <t>https://journaliststudio.google.com/pinpoint-extract/preview?collection=524daaefa335d538&amp;job=9e83ccfd51856513&amp;docid=1244364dcff36f7f_524daaefa335d538&amp;schid=8001&amp;row=0&amp;page=96</t>
  </si>
  <si>
    <t>3.9278076,242</t>
  </si>
  <si>
    <t>https://journaliststudio.google.com/pinpoint-extract/preview?collection=524daaefa335d538&amp;job=9e83ccfd51856513&amp;docid=1244364dcff36f7f_524daaefa335d538&amp;schid=8001&amp;row=1&amp;page=96</t>
  </si>
  <si>
    <t>257.579.844</t>
  </si>
  <si>
    <t>https://journaliststudio.google.com/pinpoint-extract/preview?collection=524daaefa335d538&amp;job=9e83ccfd51856513&amp;docid=1244364dcff36f7f_524daaefa335d538&amp;schid=8001&amp;row=2&amp;page=96</t>
  </si>
  <si>
    <t>3.171.774952</t>
  </si>
  <si>
    <t>2.248,959,760</t>
  </si>
  <si>
    <t>https://journaliststudio.google.com/pinpoint-extract/preview?collection=524daaefa335d538&amp;job=9e83ccfd51856513&amp;docid=1244364dcff36f7f_524daaefa335d538&amp;schid=8001&amp;row=3&amp;page=96</t>
  </si>
  <si>
    <t>https://journaliststudio.google.com/pinpoint-extract/preview?collection=524daaefa335d538&amp;job=9e83ccfd51856513&amp;docid=1244364dcff36f7f_524daaefa335d538&amp;schid=8001&amp;row=4&amp;page=96</t>
  </si>
  <si>
    <t>https://journaliststudio.google.com/pinpoint-extract/preview?collection=524daaefa335d538&amp;job=9e83ccfd51856513&amp;docid=1244364dcff36f7f_524daaefa335d538&amp;schid=8001&amp;row=5&amp;page=96</t>
  </si>
  <si>
    <t>https://journaliststudio.google.com/pinpoint-extract/preview?collection=524daaefa335d538&amp;job=9e83ccfd51856513&amp;docid=1244364dcff36f7f_524daaefa335d538&amp;schid=8001&amp;row=6&amp;page=96</t>
  </si>
  <si>
    <t>https://journaliststudio.google.com/pinpoint-extract/preview?collection=524daaefa335d538&amp;job=9e83ccfd51856513&amp;docid=1244364dcff36f7f_524daaefa335d538&amp;schid=8001&amp;row=7&amp;page=96</t>
  </si>
  <si>
    <t>https://journaliststudio.google.com/pinpoint-extract/preview?collection=524daaefa335d538&amp;job=9e83ccfd51856513&amp;docid=1244364dcff36f7f_524daaefa335d538&amp;schid=8001&amp;row=8&amp;page=96</t>
  </si>
  <si>
    <t>https://journaliststudio.google.com/pinpoint-extract/preview?collection=524daaefa335d538&amp;job=9e83ccfd51856513&amp;docid=1244364dcff36f7f_524daaefa335d538&amp;schid=8001&amp;row=9&amp;page=96</t>
  </si>
  <si>
    <t>https://journaliststudio.google.com/pinpoint-extract/preview?collection=524daaefa335d538&amp;job=9e83ccfd51856513&amp;docid=1244364dcff36f7f_524daaefa335d538&amp;schid=8001&amp;row=10&amp;page=96</t>
  </si>
  <si>
    <t>https://journaliststudio.google.com/pinpoint-extract/preview?collection=524daaefa335d538&amp;job=9e83ccfd51856513&amp;docid=1244364dcff36f7f_524daaefa335d538&amp;schid=8001&amp;row=11&amp;page=96</t>
  </si>
  <si>
    <t>52.112,257,635</t>
  </si>
  <si>
    <t>27.194.277,056</t>
  </si>
  <si>
    <t>https://journaliststudio.google.com/pinpoint-extract/preview?collection=524daaefa335d538&amp;job=9e83ccfd51856513&amp;docid=1244364dcff36f7f_524daaefa335d538&amp;schid=8001&amp;row=12&amp;page=96</t>
  </si>
  <si>
    <t>https://journaliststudio.google.com/pinpoint-extract/preview?collection=524daaefa335d538&amp;job=9e83ccfd51856513&amp;docid=1244364dcff36f7f_524daaefa335d538&amp;schid=8001&amp;row=13&amp;page=96</t>
  </si>
  <si>
    <t>https://journaliststudio.google.com/pinpoint-extract/preview?collection=524daaefa335d538&amp;job=9e83ccfd51856513&amp;docid=1244364dcff36f7f_524daaefa335d538&amp;schid=8001&amp;row=14&amp;page=96</t>
  </si>
  <si>
    <t>https://journaliststudio.google.com/pinpoint-extract/preview?collection=524daaefa335d538&amp;job=9e83ccfd51856513&amp;docid=1244364dcff36f7f_524daaefa335d538&amp;schid=8001&amp;row=15&amp;page=96</t>
  </si>
  <si>
    <t>24744.555.338</t>
  </si>
  <si>
    <t>27.244.555.338</t>
  </si>
  <si>
    <t>https://journaliststudio.google.com/pinpoint-extract/preview?collection=524daaefa335d538&amp;job=9e83ccfd51856513&amp;docid=1244364dcff36f7f_524daaefa335d538&amp;schid=8001&amp;row=16&amp;page=96</t>
  </si>
  <si>
    <t>https://journaliststudio.google.com/pinpoint-extract/preview?collection=524daaefa335d538&amp;job=9e83ccfd51856513&amp;docid=1244364dcff36f7f_524daaefa335d538&amp;schid=8001&amp;row=17&amp;page=96</t>
  </si>
  <si>
    <t>https://journaliststudio.google.com/pinpoint-extract/preview?collection=524daaefa335d538&amp;job=9e83ccfd51856513&amp;docid=1244364dcff36f7f_524daaefa335d538&amp;schid=8001&amp;row=18&amp;page=96</t>
  </si>
  <si>
    <t>https://journaliststudio.google.com/pinpoint-extract/preview?collection=524daaefa335d538&amp;job=9e83ccfd51856513&amp;docid=1244364dcff36f7f_524daaefa335d538&amp;schid=8001&amp;row=19&amp;page=96</t>
  </si>
  <si>
    <t>3.295.172.353</t>
  </si>
  <si>
    <t>https://journaliststudio.google.com/pinpoint-extract/preview?collection=524daaefa335d538&amp;job=9e83ccfd51856513&amp;docid=1244364dcff36f7f_524daaefa335d538&amp;schid=8001&amp;row=20&amp;page=96</t>
  </si>
  <si>
    <t>https://journaliststudio.google.com/pinpoint-extract/preview?collection=524daaefa335d538&amp;job=aff84f4d7f79b4bb&amp;docid=1244364dcff36f7f_524daaefa335d538&amp;schid=8009&amp;row=0&amp;page=97</t>
  </si>
  <si>
    <t>https://journaliststudio.google.com/pinpoint-extract/preview?collection=524daaefa335d538&amp;job=aff84f4d7f79b4bb&amp;docid=1244364dcff36f7f_524daaefa335d538&amp;schid=8009&amp;row=1&amp;page=97</t>
  </si>
  <si>
    <t>https://journaliststudio.google.com/pinpoint-extract/preview?collection=524daaefa335d538&amp;job=aff84f4d7f79b4bb&amp;docid=1244364dcff36f7f_524daaefa335d538&amp;schid=8009&amp;row=2&amp;page=97</t>
  </si>
  <si>
    <t>32.365,560</t>
  </si>
  <si>
    <t>https://journaliststudio.google.com/pinpoint-extract/preview?collection=524daaefa335d538&amp;job=aff84f4d7f79b4bb&amp;docid=1244364dcff36f7f_524daaefa335d538&amp;schid=8009&amp;row=3&amp;page=97</t>
  </si>
  <si>
    <t>72.821.885,124</t>
  </si>
  <si>
    <t>32.237,010,000</t>
  </si>
  <si>
    <t>29.517,522,949</t>
  </si>
  <si>
    <t>https://journaliststudio.google.com/pinpoint-extract/preview?collection=524daaefa335d538&amp;job=aff84f4d7f79b4bb&amp;docid=1244364dcff36f7f_524daaefa335d538&amp;schid=8009&amp;row=4&amp;page=97</t>
  </si>
  <si>
    <t>https://journaliststudio.google.com/pinpoint-extract/preview?collection=524daaefa335d538&amp;job=aff84f4d7f79b4bb&amp;docid=1244364dcff36f7f_524daaefa335d538&amp;schid=8009&amp;row=5&amp;page=97</t>
  </si>
  <si>
    <t>2.995,780,000</t>
  </si>
  <si>
    <t>1.999,648,735</t>
  </si>
  <si>
    <t>https://journaliststudio.google.com/pinpoint-extract/preview?collection=524daaefa335d538&amp;job=aff84f4d7f79b4bb&amp;docid=1244364dcff36f7f_524daaefa335d538&amp;schid=8009&amp;row=6&amp;page=97</t>
  </si>
  <si>
    <t>12.609,819,173</t>
  </si>
  <si>
    <t>11.,270,669,293</t>
  </si>
  <si>
    <t>https://journaliststudio.google.com/pinpoint-extract/preview?collection=524daaefa335d538&amp;job=aff84f4d7f79b4bb&amp;docid=1244364dcff36f7f_524daaefa335d538&amp;schid=8009&amp;row=7&amp;page=97</t>
  </si>
  <si>
    <t>https://journaliststudio.google.com/pinpoint-extract/preview?collection=524daaefa335d538&amp;job=aff84f4d7f79b4bb&amp;docid=1244364dcff36f7f_524daaefa335d538&amp;schid=8009&amp;row=8&amp;page=97</t>
  </si>
  <si>
    <t>https://journaliststudio.google.com/pinpoint-extract/preview?collection=524daaefa335d538&amp;job=aff84f4d7f79b4bb&amp;docid=1244364dcff36f7f_524daaefa335d538&amp;schid=8009&amp;row=9&amp;page=97</t>
  </si>
  <si>
    <t>https://journaliststudio.google.com/pinpoint-extract/preview?collection=524daaefa335d538&amp;job=aff84f4d7f79b4bb&amp;docid=1244364dcff36f7f_524daaefa335d538&amp;schid=8009&amp;row=10&amp;page=97</t>
  </si>
  <si>
    <t>https://journaliststudio.google.com/pinpoint-extract/preview?collection=524daaefa335d538&amp;job=aff84f4d7f79b4bb&amp;docid=1244364dcff36f7f_524daaefa335d538&amp;schid=8009&amp;row=11&amp;page=97</t>
  </si>
  <si>
    <t>State Department for Social Protection, Pensions &amp; Senior Citizens Affairs</t>
  </si>
  <si>
    <t>2.548,230,000</t>
  </si>
  <si>
    <t>https://journaliststudio.google.com/pinpoint-extract/preview?collection=524daaefa335d538&amp;job=aff84f4d7f79b4bb&amp;docid=1244364dcff36f7f_524daaefa335d538&amp;schid=8009&amp;row=12&amp;page=97</t>
  </si>
  <si>
    <t>https://journaliststudio.google.com/pinpoint-extract/preview?collection=524daaefa335d538&amp;job=aff84f4d7f79b4bb&amp;docid=1244364dcff36f7f_524daaefa335d538&amp;schid=8009&amp;row=13&amp;page=97</t>
  </si>
  <si>
    <t>https://journaliststudio.google.com/pinpoint-extract/preview?collection=524daaefa335d538&amp;job=aff84f4d7f79b4bb&amp;docid=1244364dcff36f7f_524daaefa335d538&amp;schid=8009&amp;row=14&amp;page=97</t>
  </si>
  <si>
    <t>https://journaliststudio.google.com/pinpoint-extract/preview?collection=524daaefa335d538&amp;job=aff84f4d7f79b4bb&amp;docid=1244364dcff36f7f_524daaefa335d538&amp;schid=8009&amp;row=15&amp;page=97</t>
  </si>
  <si>
    <t>https://journaliststudio.google.com/pinpoint-extract/preview?collection=524daaefa335d538&amp;job=aff84f4d7f79b4bb&amp;docid=1244364dcff36f7f_524daaefa335d538&amp;schid=8009&amp;row=16&amp;page=97</t>
  </si>
  <si>
    <t>2.374,000,000</t>
  </si>
  <si>
    <t>https://journaliststudio.google.com/pinpoint-extract/preview?collection=524daaefa335d538&amp;job=aff84f4d7f79b4bb&amp;docid=1244364dcff36f7f_524daaefa335d538&amp;schid=8009&amp;row=17&amp;page=97</t>
  </si>
  <si>
    <t>https://journaliststudio.google.com/pinpoint-extract/preview?collection=524daaefa335d538&amp;job=7045c3f8d2ceccc6&amp;docid=1244364dcff36f7f_524daaefa335d538&amp;schid=8017&amp;row=0&amp;page=98</t>
  </si>
  <si>
    <t>https://journaliststudio.google.com/pinpoint-extract/preview?collection=524daaefa335d538&amp;job=7045c3f8d2ceccc6&amp;docid=1244364dcff36f7f_524daaefa335d538&amp;schid=8017&amp;row=1&amp;page=98</t>
  </si>
  <si>
    <t>https://journaliststudio.google.com/pinpoint-extract/preview?collection=524daaefa335d538&amp;job=7045c3f8d2ceccc6&amp;docid=1244364dcff36f7f_524daaefa335d538&amp;schid=8017&amp;row=2&amp;page=98</t>
  </si>
  <si>
    <t>https://journaliststudio.google.com/pinpoint-extract/preview?collection=524daaefa335d538&amp;job=7045c3f8d2ceccc6&amp;docid=1244364dcff36f7f_524daaefa335d538&amp;schid=8017&amp;row=3&amp;page=98</t>
  </si>
  <si>
    <t>https://journaliststudio.google.com/pinpoint-extract/preview?collection=524daaefa335d538&amp;job=7045c3f8d2ceccc6&amp;docid=1244364dcff36f7f_524daaefa335d538&amp;schid=8017&amp;row=4&amp;page=98</t>
  </si>
  <si>
    <t>https://journaliststudio.google.com/pinpoint-extract/preview?collection=524daaefa335d538&amp;job=7045c3f8d2ceccc6&amp;docid=1244364dcff36f7f_524daaefa335d538&amp;schid=8017&amp;row=5&amp;page=98</t>
  </si>
  <si>
    <t>https://journaliststudio.google.com/pinpoint-extract/preview?collection=524daaefa335d538&amp;job=7045c3f8d2ceccc6&amp;docid=1244364dcff36f7f_524daaefa335d538&amp;schid=8017&amp;row=6&amp;page=98</t>
  </si>
  <si>
    <t>https://journaliststudio.google.com/pinpoint-extract/preview?collection=524daaefa335d538&amp;job=7045c3f8d2ceccc6&amp;docid=1244364dcff36f7f_524daaefa335d538&amp;schid=8017&amp;row=7&amp;page=98</t>
  </si>
  <si>
    <t>https://journaliststudio.google.com/pinpoint-extract/preview?collection=524daaefa335d538&amp;job=7045c3f8d2ceccc6&amp;docid=1244364dcff36f7f_524daaefa335d538&amp;schid=8017&amp;row=8&amp;page=98</t>
  </si>
  <si>
    <t>https://journaliststudio.google.com/pinpoint-extract/preview?collection=524daaefa335d538&amp;job=7045c3f8d2ceccc6&amp;docid=1244364dcff36f7f_524daaefa335d538&amp;schid=8017&amp;row=9&amp;page=98</t>
  </si>
  <si>
    <t>https://journaliststudio.google.com/pinpoint-extract/preview?collection=524daaefa335d538&amp;job=7045c3f8d2ceccc6&amp;docid=1244364dcff36f7f_524daaefa335d538&amp;schid=8017&amp;row=10&amp;page=98</t>
  </si>
  <si>
    <t>https://journaliststudio.google.com/pinpoint-extract/preview?collection=524daaefa335d538&amp;job=7045c3f8d2ceccc6&amp;docid=1244364dcff36f7f_524daaefa335d538&amp;schid=8017&amp;row=11&amp;page=98</t>
  </si>
  <si>
    <t>https://journaliststudio.google.com/pinpoint-extract/preview?collection=524daaefa335d538&amp;job=7045c3f8d2ceccc6&amp;docid=1244364dcff36f7f_524daaefa335d538&amp;schid=8017&amp;row=12&amp;page=98</t>
  </si>
  <si>
    <t>https://journaliststudio.google.com/pinpoint-extract/preview?collection=524daaefa335d538&amp;job=7045c3f8d2ceccc6&amp;docid=1244364dcff36f7f_524daaefa335d538&amp;schid=8017&amp;row=13&amp;page=98</t>
  </si>
  <si>
    <t>Revised Gross Estimates III</t>
  </si>
  <si>
    <t>Net Estimates</t>
  </si>
  <si>
    <t>Exchequer Issues</t>
  </si>
  <si>
    <t>Expenditure</t>
  </si>
  <si>
    <t>https://journaliststudio.google.com/pinpoint-extract/preview?collection=524daaefa335d538&amp;job=2b468061a0dc41f8&amp;docid=1f0f8b47c49b27c2_524daaefa335d538&amp;schid=8001&amp;row=0&amp;page=91</t>
  </si>
  <si>
    <t>https://journaliststudio.google.com/pinpoint-extract/preview?collection=524daaefa335d538&amp;job=2b468061a0dc41f8&amp;docid=1f0f8b47c49b27c2_524daaefa335d538&amp;schid=8001&amp;row=1&amp;page=91</t>
  </si>
  <si>
    <t>https://journaliststudio.google.com/pinpoint-extract/preview?collection=524daaefa335d538&amp;job=2b468061a0dc41f8&amp;docid=1f0f8b47c49b27c2_524daaefa335d538&amp;schid=8001&amp;row=2&amp;page=91</t>
  </si>
  <si>
    <t>https://journaliststudio.google.com/pinpoint-extract/preview?collection=524daaefa335d538&amp;job=2b468061a0dc41f8&amp;docid=1f0f8b47c49b27c2_524daaefa335d538&amp;schid=8001&amp;row=3&amp;page=91</t>
  </si>
  <si>
    <t>https://journaliststudio.google.com/pinpoint-extract/preview?collection=524daaefa335d538&amp;job=2b468061a0dc41f8&amp;docid=1f0f8b47c49b27c2_524daaefa335d538&amp;schid=8001&amp;row=4&amp;page=91</t>
  </si>
  <si>
    <t>https://journaliststudio.google.com/pinpoint-extract/preview?collection=524daaefa335d538&amp;job=2b468061a0dc41f8&amp;docid=1f0f8b47c49b27c2_524daaefa335d538&amp;schid=8001&amp;row=5&amp;page=91</t>
  </si>
  <si>
    <t>https://journaliststudio.google.com/pinpoint-extract/preview?collection=524daaefa335d538&amp;job=2b468061a0dc41f8&amp;docid=1f0f8b47c49b27c2_524daaefa335d538&amp;schid=8001&amp;row=6&amp;page=91</t>
  </si>
  <si>
    <t>https://journaliststudio.google.com/pinpoint-extract/preview?collection=524daaefa335d538&amp;job=2b468061a0dc41f8&amp;docid=1f0f8b47c49b27c2_524daaefa335d538&amp;schid=8001&amp;row=7&amp;page=91</t>
  </si>
  <si>
    <t>https://journaliststudio.google.com/pinpoint-extract/preview?collection=524daaefa335d538&amp;job=2b468061a0dc41f8&amp;docid=1f0f8b47c49b27c2_524daaefa335d538&amp;schid=8001&amp;row=8&amp;page=91</t>
  </si>
  <si>
    <t>https://journaliststudio.google.com/pinpoint-extract/preview?collection=524daaefa335d538&amp;job=2b468061a0dc41f8&amp;docid=1f0f8b47c49b27c2_524daaefa335d538&amp;schid=8001&amp;row=9&amp;page=91</t>
  </si>
  <si>
    <t>https://journaliststudio.google.com/pinpoint-extract/preview?collection=524daaefa335d538&amp;job=2b468061a0dc41f8&amp;docid=1f0f8b47c49b27c2_524daaefa335d538&amp;schid=8001&amp;row=10&amp;page=91</t>
  </si>
  <si>
    <t>https://journaliststudio.google.com/pinpoint-extract/preview?collection=524daaefa335d538&amp;job=2b468061a0dc41f8&amp;docid=1f0f8b47c49b27c2_524daaefa335d538&amp;schid=8001&amp;row=11&amp;page=91</t>
  </si>
  <si>
    <t>https://journaliststudio.google.com/pinpoint-extract/preview?collection=524daaefa335d538&amp;job=2b468061a0dc41f8&amp;docid=1f0f8b47c49b27c2_524daaefa335d538&amp;schid=8001&amp;row=12&amp;page=91</t>
  </si>
  <si>
    <t>https://journaliststudio.google.com/pinpoint-extract/preview?collection=524daaefa335d538&amp;job=2b468061a0dc41f8&amp;docid=1f0f8b47c49b27c2_524daaefa335d538&amp;schid=8001&amp;row=13&amp;page=91</t>
  </si>
  <si>
    <t>https://journaliststudio.google.com/pinpoint-extract/preview?collection=524daaefa335d538&amp;job=2b468061a0dc41f8&amp;docid=1f0f8b47c49b27c2_524daaefa335d538&amp;schid=8001&amp;row=14&amp;page=91</t>
  </si>
  <si>
    <t>https://journaliststudio.google.com/pinpoint-extract/preview?collection=524daaefa335d538&amp;job=2b468061a0dc41f8&amp;docid=1f0f8b47c49b27c2_524daaefa335d538&amp;schid=8001&amp;row=15&amp;page=91</t>
  </si>
  <si>
    <t>https://journaliststudio.google.com/pinpoint-extract/preview?collection=524daaefa335d538&amp;job=2b468061a0dc41f8&amp;docid=1f0f8b47c49b27c2_524daaefa335d538&amp;schid=8001&amp;row=16&amp;page=91</t>
  </si>
  <si>
    <t>https://journaliststudio.google.com/pinpoint-extract/preview?collection=524daaefa335d538&amp;job=2b468061a0dc41f8&amp;docid=1f0f8b47c49b27c2_524daaefa335d538&amp;schid=8001&amp;row=17&amp;page=91</t>
  </si>
  <si>
    <t>https://journaliststudio.google.com/pinpoint-extract/preview?collection=524daaefa335d538&amp;job=2b468061a0dc41f8&amp;docid=1f0f8b47c49b27c2_524daaefa335d538&amp;schid=8001&amp;row=18&amp;page=91</t>
  </si>
  <si>
    <t>https://journaliststudio.google.com/pinpoint-extract/preview?collection=524daaefa335d538&amp;job=2b468061a0dc41f8&amp;docid=1f0f8b47c49b27c2_524daaefa335d538&amp;schid=8001&amp;row=19&amp;page=91</t>
  </si>
  <si>
    <t>https://journaliststudio.google.com/pinpoint-extract/preview?collection=524daaefa335d538&amp;job=2b468061a0dc41f8&amp;docid=1f0f8b47c49b27c2_524daaefa335d538&amp;schid=8001&amp;row=20&amp;page=91</t>
  </si>
  <si>
    <t>https://journaliststudio.google.com/pinpoint-extract/preview?collection=524daaefa335d538&amp;job=2b468061a0dc41f8&amp;docid=1f0f8b47c49b27c2_524daaefa335d538&amp;schid=8001&amp;row=21&amp;page=91</t>
  </si>
  <si>
    <t>https://journaliststudio.google.com/pinpoint-extract/preview?collection=524daaefa335d538&amp;job=2b468061a0dc41f8&amp;docid=1f0f8b47c49b27c2_524daaefa335d538&amp;schid=8001&amp;row=22&amp;page=91</t>
  </si>
  <si>
    <t>https://journaliststudio.google.com/pinpoint-extract/preview?collection=524daaefa335d538&amp;job=2b468061a0dc41f8&amp;docid=1f0f8b47c49b27c2_524daaefa335d538&amp;schid=8001&amp;row=23&amp;page=91</t>
  </si>
  <si>
    <t>https://journaliststudio.google.com/pinpoint-extract/preview?collection=524daaefa335d538&amp;job=2b468061a0dc41f8&amp;docid=1f0f8b47c49b27c2_524daaefa335d538&amp;schid=8001&amp;row=24&amp;page=91</t>
  </si>
  <si>
    <t>https://journaliststudio.google.com/pinpoint-extract/preview?collection=524daaefa335d538&amp;job=5f636d3e738a0ef3&amp;docid=1f0f8b47c49b27c2_524daaefa335d538&amp;schid=8009&amp;row=0&amp;page=92</t>
  </si>
  <si>
    <t>https://journaliststudio.google.com/pinpoint-extract/preview?collection=524daaefa335d538&amp;job=5f636d3e738a0ef3&amp;docid=1f0f8b47c49b27c2_524daaefa335d538&amp;schid=8009&amp;row=1&amp;page=92</t>
  </si>
  <si>
    <t>https://journaliststudio.google.com/pinpoint-extract/preview?collection=524daaefa335d538&amp;job=5f636d3e738a0ef3&amp;docid=1f0f8b47c49b27c2_524daaefa335d538&amp;schid=8009&amp;row=2&amp;page=92</t>
  </si>
  <si>
    <t>https://journaliststudio.google.com/pinpoint-extract/preview?collection=524daaefa335d538&amp;job=5f636d3e738a0ef3&amp;docid=1f0f8b47c49b27c2_524daaefa335d538&amp;schid=8009&amp;row=3&amp;page=92</t>
  </si>
  <si>
    <t>https://journaliststudio.google.com/pinpoint-extract/preview?collection=524daaefa335d538&amp;job=5f636d3e738a0ef3&amp;docid=1f0f8b47c49b27c2_524daaefa335d538&amp;schid=8009&amp;row=4&amp;page=92</t>
  </si>
  <si>
    <t>https://journaliststudio.google.com/pinpoint-extract/preview?collection=524daaefa335d538&amp;job=5f636d3e738a0ef3&amp;docid=1f0f8b47c49b27c2_524daaefa335d538&amp;schid=8009&amp;row=5&amp;page=92</t>
  </si>
  <si>
    <t>https://journaliststudio.google.com/pinpoint-extract/preview?collection=524daaefa335d538&amp;job=5f636d3e738a0ef3&amp;docid=1f0f8b47c49b27c2_524daaefa335d538&amp;schid=8009&amp;row=6&amp;page=92</t>
  </si>
  <si>
    <t>https://journaliststudio.google.com/pinpoint-extract/preview?collection=524daaefa335d538&amp;job=5f636d3e738a0ef3&amp;docid=1f0f8b47c49b27c2_524daaefa335d538&amp;schid=8009&amp;row=7&amp;page=92</t>
  </si>
  <si>
    <t>https://journaliststudio.google.com/pinpoint-extract/preview?collection=524daaefa335d538&amp;job=5f636d3e738a0ef3&amp;docid=1f0f8b47c49b27c2_524daaefa335d538&amp;schid=8009&amp;row=8&amp;page=92</t>
  </si>
  <si>
    <t>https://journaliststudio.google.com/pinpoint-extract/preview?collection=524daaefa335d538&amp;job=5f636d3e738a0ef3&amp;docid=1f0f8b47c49b27c2_524daaefa335d538&amp;schid=8009&amp;row=9&amp;page=92</t>
  </si>
  <si>
    <t>https://journaliststudio.google.com/pinpoint-extract/preview?collection=524daaefa335d538&amp;job=5f636d3e738a0ef3&amp;docid=1f0f8b47c49b27c2_524daaefa335d538&amp;schid=8009&amp;row=10&amp;page=92</t>
  </si>
  <si>
    <t>https://journaliststudio.google.com/pinpoint-extract/preview?collection=524daaefa335d538&amp;job=5f636d3e738a0ef3&amp;docid=1f0f8b47c49b27c2_524daaefa335d538&amp;schid=8009&amp;row=11&amp;page=92</t>
  </si>
  <si>
    <t>https://journaliststudio.google.com/pinpoint-extract/preview?collection=524daaefa335d538&amp;job=5f636d3e738a0ef3&amp;docid=1f0f8b47c49b27c2_524daaefa335d538&amp;schid=8009&amp;row=12&amp;page=92</t>
  </si>
  <si>
    <t>https://journaliststudio.google.com/pinpoint-extract/preview?collection=524daaefa335d538&amp;job=5f636d3e738a0ef3&amp;docid=1f0f8b47c49b27c2_524daaefa335d538&amp;schid=8009&amp;row=13&amp;page=92</t>
  </si>
  <si>
    <t>https://journaliststudio.google.com/pinpoint-extract/preview?collection=524daaefa335d538&amp;job=5f636d3e738a0ef3&amp;docid=1f0f8b47c49b27c2_524daaefa335d538&amp;schid=8009&amp;row=14&amp;page=92</t>
  </si>
  <si>
    <t>https://journaliststudio.google.com/pinpoint-extract/preview?collection=524daaefa335d538&amp;job=5f636d3e738a0ef3&amp;docid=1f0f8b47c49b27c2_524daaefa335d538&amp;schid=8009&amp;row=15&amp;page=92</t>
  </si>
  <si>
    <t>https://journaliststudio.google.com/pinpoint-extract/preview?collection=524daaefa335d538&amp;job=5f636d3e738a0ef3&amp;docid=1f0f8b47c49b27c2_524daaefa335d538&amp;schid=8009&amp;row=16&amp;page=92</t>
  </si>
  <si>
    <t>https://journaliststudio.google.com/pinpoint-extract/preview?collection=524daaefa335d538&amp;job=5f636d3e738a0ef3&amp;docid=1f0f8b47c49b27c2_524daaefa335d538&amp;schid=8009&amp;row=17&amp;page=92</t>
  </si>
  <si>
    <t>https://journaliststudio.google.com/pinpoint-extract/preview?collection=524daaefa335d538&amp;job=5f636d3e738a0ef3&amp;docid=1f0f8b47c49b27c2_524daaefa335d538&amp;schid=8009&amp;row=18&amp;page=92</t>
  </si>
  <si>
    <t>https://journaliststudio.google.com/pinpoint-extract/preview?collection=524daaefa335d538&amp;job=5f636d3e738a0ef3&amp;docid=1f0f8b47c49b27c2_524daaefa335d538&amp;schid=8009&amp;row=19&amp;page=92</t>
  </si>
  <si>
    <t>https://journaliststudio.google.com/pinpoint-extract/preview?collection=524daaefa335d538&amp;job=5f636d3e738a0ef3&amp;docid=1f0f8b47c49b27c2_524daaefa335d538&amp;schid=8009&amp;row=20&amp;page=92</t>
  </si>
  <si>
    <t>https://journaliststudio.google.com/pinpoint-extract/preview?collection=524daaefa335d538&amp;job=5f636d3e738a0ef3&amp;docid=1f0f8b47c49b27c2_524daaefa335d538&amp;schid=8009&amp;row=21&amp;page=92</t>
  </si>
  <si>
    <t>https://journaliststudio.google.com/pinpoint-extract/preview?collection=524daaefa335d538&amp;job=5f636d3e738a0ef3&amp;docid=1f0f8b47c49b27c2_524daaefa335d538&amp;schid=8009&amp;row=22&amp;page=92</t>
  </si>
  <si>
    <t>https://journaliststudio.google.com/pinpoint-extract/preview?collection=524daaefa335d538&amp;job=5f636d3e738a0ef3&amp;docid=1f0f8b47c49b27c2_524daaefa335d538&amp;schid=8009&amp;row=23&amp;page=92</t>
  </si>
  <si>
    <t>https://journaliststudio.google.com/pinpoint-extract/preview?collection=524daaefa335d538&amp;job=5f636d3e738a0ef3&amp;docid=1f0f8b47c49b27c2_524daaefa335d538&amp;schid=8009&amp;row=24&amp;page=92</t>
  </si>
  <si>
    <t>https://journaliststudio.google.com/pinpoint-extract/preview?collection=524daaefa335d538&amp;job=5f636d3e738a0ef3&amp;docid=1f0f8b47c49b27c2_524daaefa335d538&amp;schid=8009&amp;row=25&amp;page=92</t>
  </si>
  <si>
    <t>https://journaliststudio.google.com/pinpoint-extract/preview?collection=524daaefa335d538&amp;job=5f636d3e738a0ef3&amp;docid=1f0f8b47c49b27c2_524daaefa335d538&amp;schid=8009&amp;row=26&amp;page=92</t>
  </si>
  <si>
    <t>https://journaliststudio.google.com/pinpoint-extract/preview?collection=524daaefa335d538&amp;job=fb089ee82906230c&amp;docid=1f0f8b47c49b27c2_524daaefa335d538&amp;schid=8015&amp;row=0&amp;page=93</t>
  </si>
  <si>
    <t>https://journaliststudio.google.com/pinpoint-extract/preview?collection=524daaefa335d538&amp;job=fb089ee82906230c&amp;docid=1f0f8b47c49b27c2_524daaefa335d538&amp;schid=8015&amp;row=1&amp;page=93</t>
  </si>
  <si>
    <t>https://journaliststudio.google.com/pinpoint-extract/preview?collection=524daaefa335d538&amp;job=fb089ee82906230c&amp;docid=1f0f8b47c49b27c2_524daaefa335d538&amp;schid=8015&amp;row=2&amp;page=93</t>
  </si>
  <si>
    <t>https://journaliststudio.google.com/pinpoint-extract/preview?collection=524daaefa335d538&amp;job=fb089ee82906230c&amp;docid=1f0f8b47c49b27c2_524daaefa335d538&amp;schid=8015&amp;row=3&amp;page=93</t>
  </si>
  <si>
    <t>https://journaliststudio.google.com/pinpoint-extract/preview?collection=524daaefa335d538&amp;job=fb089ee82906230c&amp;docid=1f0f8b47c49b27c2_524daaefa335d538&amp;schid=8015&amp;row=4&amp;page=93</t>
  </si>
  <si>
    <t>https://journaliststudio.google.com/pinpoint-extract/preview?collection=524daaefa335d538&amp;job=fb089ee82906230c&amp;docid=1f0f8b47c49b27c2_524daaefa335d538&amp;schid=8015&amp;row=5&amp;page=93</t>
  </si>
  <si>
    <t>Revised Net Estimates  (Kshs)</t>
  </si>
  <si>
    <t>Revised Net Estimate 1</t>
  </si>
  <si>
    <t>Revised Net Estimate 2</t>
  </si>
  <si>
    <t>https://journaliststudio.google.com/pinpoint-extract/preview?collection=59c534ba70c0b75b&amp;job=4c523ebcf60a55b&amp;docid=d5c6addb973fc20e_59c534ba70c0b75b&amp;schid=8001&amp;row=0&amp;page=87</t>
  </si>
  <si>
    <t>https://journaliststudio.google.com/pinpoint-extract/preview?collection=59c534ba70c0b75b&amp;job=4c523ebcf60a55b&amp;docid=d5c6addb973fc20e_59c534ba70c0b75b&amp;schid=8001&amp;row=1&amp;page=87</t>
  </si>
  <si>
    <t>https://journaliststudio.google.com/pinpoint-extract/preview?collection=59c534ba70c0b75b&amp;job=4c523ebcf60a55b&amp;docid=d5c6addb973fc20e_59c534ba70c0b75b&amp;schid=8001&amp;row=2&amp;page=87</t>
  </si>
  <si>
    <t>https://journaliststudio.google.com/pinpoint-extract/preview?collection=59c534ba70c0b75b&amp;job=4c523ebcf60a55b&amp;docid=d5c6addb973fc20e_59c534ba70c0b75b&amp;schid=8001&amp;row=3&amp;page=87</t>
  </si>
  <si>
    <t>https://journaliststudio.google.com/pinpoint-extract/preview?collection=59c534ba70c0b75b&amp;job=4c523ebcf60a55b&amp;docid=d5c6addb973fc20e_59c534ba70c0b75b&amp;schid=8001&amp;row=4&amp;page=87</t>
  </si>
  <si>
    <t>https://journaliststudio.google.com/pinpoint-extract/preview?collection=59c534ba70c0b75b&amp;job=4c523ebcf60a55b&amp;docid=d5c6addb973fc20e_59c534ba70c0b75b&amp;schid=8001&amp;row=5&amp;page=87</t>
  </si>
  <si>
    <t>https://journaliststudio.google.com/pinpoint-extract/preview?collection=59c534ba70c0b75b&amp;job=4c523ebcf60a55b&amp;docid=d5c6addb973fc20e_59c534ba70c0b75b&amp;schid=8001&amp;row=6&amp;page=87</t>
  </si>
  <si>
    <t>https://journaliststudio.google.com/pinpoint-extract/preview?collection=59c534ba70c0b75b&amp;job=4c523ebcf60a55b&amp;docid=d5c6addb973fc20e_59c534ba70c0b75b&amp;schid=8001&amp;row=7&amp;page=87</t>
  </si>
  <si>
    <t>https://journaliststudio.google.com/pinpoint-extract/preview?collection=59c534ba70c0b75b&amp;job=4c523ebcf60a55b&amp;docid=d5c6addb973fc20e_59c534ba70c0b75b&amp;schid=8001&amp;row=8&amp;page=87</t>
  </si>
  <si>
    <t>https://journaliststudio.google.com/pinpoint-extract/preview?collection=59c534ba70c0b75b&amp;job=4c523ebcf60a55b&amp;docid=d5c6addb973fc20e_59c534ba70c0b75b&amp;schid=8001&amp;row=9&amp;page=87</t>
  </si>
  <si>
    <t>https://journaliststudio.google.com/pinpoint-extract/preview?collection=59c534ba70c0b75b&amp;job=4c523ebcf60a55b&amp;docid=d5c6addb973fc20e_59c534ba70c0b75b&amp;schid=8001&amp;row=10&amp;page=87</t>
  </si>
  <si>
    <t>https://journaliststudio.google.com/pinpoint-extract/preview?collection=59c534ba70c0b75b&amp;job=4c523ebcf60a55b&amp;docid=d5c6addb973fc20e_59c534ba70c0b75b&amp;schid=8001&amp;row=11&amp;page=87</t>
  </si>
  <si>
    <t>https://journaliststudio.google.com/pinpoint-extract/preview?collection=59c534ba70c0b75b&amp;job=4c523ebcf60a55b&amp;docid=d5c6addb973fc20e_59c534ba70c0b75b&amp;schid=8001&amp;row=12&amp;page=87</t>
  </si>
  <si>
    <t>https://journaliststudio.google.com/pinpoint-extract/preview?collection=59c534ba70c0b75b&amp;job=4c523ebcf60a55b&amp;docid=d5c6addb973fc20e_59c534ba70c0b75b&amp;schid=8001&amp;row=13&amp;page=87</t>
  </si>
  <si>
    <t>https://journaliststudio.google.com/pinpoint-extract/preview?collection=59c534ba70c0b75b&amp;job=4c523ebcf60a55b&amp;docid=d5c6addb973fc20e_59c534ba70c0b75b&amp;schid=8001&amp;row=14&amp;page=87</t>
  </si>
  <si>
    <t>https://journaliststudio.google.com/pinpoint-extract/preview?collection=59c534ba70c0b75b&amp;job=4c523ebcf60a55b&amp;docid=d5c6addb973fc20e_59c534ba70c0b75b&amp;schid=8001&amp;row=15&amp;page=87</t>
  </si>
  <si>
    <t>https://journaliststudio.google.com/pinpoint-extract/preview?collection=59c534ba70c0b75b&amp;job=4c523ebcf60a55b&amp;docid=d5c6addb973fc20e_59c534ba70c0b75b&amp;schid=8001&amp;row=16&amp;page=87</t>
  </si>
  <si>
    <t>https://journaliststudio.google.com/pinpoint-extract/preview?collection=59c534ba70c0b75b&amp;job=4c523ebcf60a55b&amp;docid=d5c6addb973fc20e_59c534ba70c0b75b&amp;schid=8001&amp;row=17&amp;page=87</t>
  </si>
  <si>
    <t>https://journaliststudio.google.com/pinpoint-extract/preview?collection=59c534ba70c0b75b&amp;job=4c523ebcf60a55b&amp;docid=d5c6addb973fc20e_59c534ba70c0b75b&amp;schid=8001&amp;row=18&amp;page=87</t>
  </si>
  <si>
    <t>https://journaliststudio.google.com/pinpoint-extract/preview?collection=59c534ba70c0b75b&amp;job=4c523ebcf60a55b&amp;docid=d5c6addb973fc20e_59c534ba70c0b75b&amp;schid=8001&amp;row=19&amp;page=87</t>
  </si>
  <si>
    <t>https://journaliststudio.google.com/pinpoint-extract/preview?collection=59c534ba70c0b75b&amp;job=4c523ebcf60a55b&amp;docid=d5c6addb973fc20e_59c534ba70c0b75b&amp;schid=8001&amp;row=20&amp;page=87</t>
  </si>
  <si>
    <t>https://journaliststudio.google.com/pinpoint-extract/preview?collection=59c534ba70c0b75b&amp;job=4c523ebcf60a55b&amp;docid=d5c6addb973fc20e_59c534ba70c0b75b&amp;schid=8001&amp;row=21&amp;page=87</t>
  </si>
  <si>
    <t>https://journaliststudio.google.com/pinpoint-extract/preview?collection=59c534ba70c0b75b&amp;job=c02b390973229d85&amp;docid=d5c6addb973fc20e_59c534ba70c0b75b&amp;schid=8011&amp;row=0&amp;page=88</t>
  </si>
  <si>
    <t>https://journaliststudio.google.com/pinpoint-extract/preview?collection=59c534ba70c0b75b&amp;job=c02b390973229d85&amp;docid=d5c6addb973fc20e_59c534ba70c0b75b&amp;schid=8011&amp;row=1&amp;page=88</t>
  </si>
  <si>
    <t>https://journaliststudio.google.com/pinpoint-extract/preview?collection=59c534ba70c0b75b&amp;job=c02b390973229d85&amp;docid=d5c6addb973fc20e_59c534ba70c0b75b&amp;schid=8011&amp;row=2&amp;page=88</t>
  </si>
  <si>
    <t>https://journaliststudio.google.com/pinpoint-extract/preview?collection=59c534ba70c0b75b&amp;job=c02b390973229d85&amp;docid=d5c6addb973fc20e_59c534ba70c0b75b&amp;schid=8011&amp;row=3&amp;page=88</t>
  </si>
  <si>
    <t>https://journaliststudio.google.com/pinpoint-extract/preview?collection=59c534ba70c0b75b&amp;job=c02b390973229d85&amp;docid=d5c6addb973fc20e_59c534ba70c0b75b&amp;schid=8011&amp;row=4&amp;page=88</t>
  </si>
  <si>
    <t>https://journaliststudio.google.com/pinpoint-extract/preview?collection=59c534ba70c0b75b&amp;job=c02b390973229d85&amp;docid=d5c6addb973fc20e_59c534ba70c0b75b&amp;schid=8011&amp;row=5&amp;page=88</t>
  </si>
  <si>
    <t>https://journaliststudio.google.com/pinpoint-extract/preview?collection=59c534ba70c0b75b&amp;job=c02b390973229d85&amp;docid=d5c6addb973fc20e_59c534ba70c0b75b&amp;schid=8011&amp;row=6&amp;page=88</t>
  </si>
  <si>
    <t>https://journaliststudio.google.com/pinpoint-extract/preview?collection=59c534ba70c0b75b&amp;job=c02b390973229d85&amp;docid=d5c6addb973fc20e_59c534ba70c0b75b&amp;schid=8011&amp;row=7&amp;page=88</t>
  </si>
  <si>
    <t>https://journaliststudio.google.com/pinpoint-extract/preview?collection=59c534ba70c0b75b&amp;job=c02b390973229d85&amp;docid=d5c6addb973fc20e_59c534ba70c0b75b&amp;schid=8011&amp;row=8&amp;page=88</t>
  </si>
  <si>
    <t>https://journaliststudio.google.com/pinpoint-extract/preview?collection=59c534ba70c0b75b&amp;job=c02b390973229d85&amp;docid=d5c6addb973fc20e_59c534ba70c0b75b&amp;schid=8011&amp;row=9&amp;page=88</t>
  </si>
  <si>
    <t>https://journaliststudio.google.com/pinpoint-extract/preview?collection=59c534ba70c0b75b&amp;job=c02b390973229d85&amp;docid=d5c6addb973fc20e_59c534ba70c0b75b&amp;schid=8011&amp;row=10&amp;page=88</t>
  </si>
  <si>
    <t>https://journaliststudio.google.com/pinpoint-extract/preview?collection=59c534ba70c0b75b&amp;job=c02b390973229d85&amp;docid=d5c6addb973fc20e_59c534ba70c0b75b&amp;schid=8011&amp;row=11&amp;page=88</t>
  </si>
  <si>
    <t>https://journaliststudio.google.com/pinpoint-extract/preview?collection=59c534ba70c0b75b&amp;job=c02b390973229d85&amp;docid=d5c6addb973fc20e_59c534ba70c0b75b&amp;schid=8011&amp;row=12&amp;page=88</t>
  </si>
  <si>
    <t>https://journaliststudio.google.com/pinpoint-extract/preview?collection=59c534ba70c0b75b&amp;job=c02b390973229d85&amp;docid=d5c6addb973fc20e_59c534ba70c0b75b&amp;schid=8011&amp;row=13&amp;page=88</t>
  </si>
  <si>
    <t>https://journaliststudio.google.com/pinpoint-extract/preview?collection=59c534ba70c0b75b&amp;job=c02b390973229d85&amp;docid=d5c6addb973fc20e_59c534ba70c0b75b&amp;schid=8011&amp;row=14&amp;page=88</t>
  </si>
  <si>
    <t>https://journaliststudio.google.com/pinpoint-extract/preview?collection=59c534ba70c0b75b&amp;job=c02b390973229d85&amp;docid=d5c6addb973fc20e_59c534ba70c0b75b&amp;schid=8011&amp;row=15&amp;page=88</t>
  </si>
  <si>
    <t>https://journaliststudio.google.com/pinpoint-extract/preview?collection=59c534ba70c0b75b&amp;job=c02b390973229d85&amp;docid=d5c6addb973fc20e_59c534ba70c0b75b&amp;schid=8011&amp;row=16&amp;page=88</t>
  </si>
  <si>
    <t>https://journaliststudio.google.com/pinpoint-extract/preview?collection=59c534ba70c0b75b&amp;job=c02b390973229d85&amp;docid=d5c6addb973fc20e_59c534ba70c0b75b&amp;schid=8011&amp;row=17&amp;page=88</t>
  </si>
  <si>
    <t>https://journaliststudio.google.com/pinpoint-extract/preview?collection=59c534ba70c0b75b&amp;job=c02b390973229d85&amp;docid=d5c6addb973fc20e_59c534ba70c0b75b&amp;schid=8011&amp;row=18&amp;page=88</t>
  </si>
  <si>
    <t>https://journaliststudio.google.com/pinpoint-extract/preview?collection=59c534ba70c0b75b&amp;job=c02b390973229d85&amp;docid=d5c6addb973fc20e_59c534ba70c0b75b&amp;schid=8011&amp;row=19&amp;page=88</t>
  </si>
  <si>
    <t>State Department for Public Service and Youth</t>
  </si>
  <si>
    <t>https://journaliststudio.google.com/pinpoint-extract/preview?collection=59c534ba70c0b75b&amp;job=c02b390973229d85&amp;docid=d5c6addb973fc20e_59c534ba70c0b75b&amp;schid=8011&amp;row=20&amp;page=88</t>
  </si>
  <si>
    <t>https://journaliststudio.google.com/pinpoint-extract/preview?collection=59c534ba70c0b75b&amp;job=c02b390973229d85&amp;docid=d5c6addb973fc20e_59c534ba70c0b75b&amp;schid=8011&amp;row=21&amp;page=88</t>
  </si>
  <si>
    <t>https://journaliststudio.google.com/pinpoint-extract/preview?collection=59c534ba70c0b75b&amp;job=c02b390973229d85&amp;docid=d5c6addb973fc20e_59c534ba70c0b75b&amp;schid=8011&amp;row=22&amp;page=88</t>
  </si>
  <si>
    <t>https://journaliststudio.google.com/pinpoint-extract/preview?collection=59c534ba70c0b75b&amp;job=c02b390973229d85&amp;docid=d5c6addb973fc20e_59c534ba70c0b75b&amp;schid=8011&amp;row=23&amp;page=88</t>
  </si>
  <si>
    <t>https://journaliststudio.google.com/pinpoint-extract/preview?collection=59c534ba70c0b75b&amp;job=cc936df0b964dd7e&amp;docid=d5c6addb973fc20e_59c534ba70c0b75b&amp;schid=8020&amp;row=0&amp;page=89</t>
  </si>
  <si>
    <t>https://journaliststudio.google.com/pinpoint-extract/preview?collection=59c534ba70c0b75b&amp;job=cc936df0b964dd7e&amp;docid=d5c6addb973fc20e_59c534ba70c0b75b&amp;schid=8020&amp;row=1&amp;page=89</t>
  </si>
  <si>
    <t>https://journaliststudio.google.com/pinpoint-extract/preview?collection=59c534ba70c0b75b&amp;job=cc936df0b964dd7e&amp;docid=d5c6addb973fc20e_59c534ba70c0b75b&amp;schid=8020&amp;row=2&amp;page=89</t>
  </si>
  <si>
    <t>https://journaliststudio.google.com/pinpoint-extract/preview?collection=59c534ba70c0b75b&amp;job=cc936df0b964dd7e&amp;docid=d5c6addb973fc20e_59c534ba70c0b75b&amp;schid=8020&amp;row=3&amp;page=89</t>
  </si>
  <si>
    <t>https://journaliststudio.google.com/pinpoint-extract/preview?collection=59c534ba70c0b75b&amp;job=cc936df0b964dd7e&amp;docid=d5c6addb973fc20e_59c534ba70c0b75b&amp;schid=8020&amp;row=4&amp;page=89</t>
  </si>
  <si>
    <t>https://journaliststudio.google.com/pinpoint-extract/preview?collection=59c534ba70c0b75b&amp;job=cc936df0b964dd7e&amp;docid=d5c6addb973fc20e_59c534ba70c0b75b&amp;schid=8020&amp;row=5&amp;page=89</t>
  </si>
  <si>
    <t>https://journaliststudio.google.com/pinpoint-extract/preview?collection=59c534ba70c0b75b&amp;job=cc936df0b964dd7e&amp;docid=d5c6addb973fc20e_59c534ba70c0b75b&amp;schid=8020&amp;row=6&amp;page=89</t>
  </si>
  <si>
    <t>https://journaliststudio.google.com/pinpoint-extract/preview?collection=59c534ba70c0b75b&amp;job=cc936df0b964dd7e&amp;docid=d5c6addb973fc20e_59c534ba70c0b75b&amp;schid=8020&amp;row=7&amp;page=89</t>
  </si>
  <si>
    <t>https://journaliststudio.google.com/pinpoint-extract/preview?collection=59c534ba70c0b75b&amp;job=cc936df0b964dd7e&amp;docid=d5c6addb973fc20e_59c534ba70c0b75b&amp;schid=8020&amp;row=8&amp;page=89</t>
  </si>
  <si>
    <t>https://journaliststudio.google.com/pinpoint-extract/preview?collection=59c534ba70c0b75b&amp;job=cc936df0b964dd7e&amp;docid=d5c6addb973fc20e_59c534ba70c0b75b&amp;schid=8020&amp;row=9&amp;page=89</t>
  </si>
  <si>
    <t>https://journaliststudio.google.com/pinpoint-extract/preview?collection=59c534ba70c0b75b&amp;job=cc936df0b964dd7e&amp;docid=d5c6addb973fc20e_59c534ba70c0b75b&amp;schid=8020&amp;row=10&amp;page=89</t>
  </si>
  <si>
    <t>https://journaliststudio.google.com/pinpoint-extract/preview?collection=59c534ba70c0b75b&amp;job=cc936df0b964dd7e&amp;docid=d5c6addb973fc20e_59c534ba70c0b75b&amp;schid=8020&amp;row=11&amp;page=89</t>
  </si>
  <si>
    <t>Gross Estimates I (Kshs)</t>
  </si>
  <si>
    <t>Gross Estimates II (Kshs)</t>
  </si>
  <si>
    <t>Net estimates</t>
  </si>
  <si>
    <t>Net estimates I</t>
  </si>
  <si>
    <t>Net estimates II</t>
  </si>
  <si>
    <r>
      <rPr>
        <sz val="11"/>
        <color rgb="FF202124"/>
        <rFont val="Roboto, sans-serif"/>
      </rPr>
      <t>Exchequer Issues</t>
    </r>
  </si>
  <si>
    <r>
      <rPr>
        <sz val="11"/>
        <color rgb="FF202124"/>
        <rFont val="Roboto, sans-serif"/>
      </rPr>
      <t>Expenditure</t>
    </r>
  </si>
  <si>
    <t>https://journaliststudio.google.com/pinpoint-extract/preview?collection=94f5d562231d4dd6&amp;job=fff7789bceade090&amp;docid=bb843fadc6314b6e_94f5d562231d4dd6&amp;schid=8001&amp;row=0&amp;page=78</t>
  </si>
  <si>
    <t>14,647,792,739 |</t>
  </si>
  <si>
    <t>https://journaliststudio.google.com/pinpoint-extract/preview?collection=94f5d562231d4dd6&amp;job=fff7789bceade090&amp;docid=bb843fadc6314b6e_94f5d562231d4dd6&amp;schid=8001&amp;row=1&amp;page=78</t>
  </si>
  <si>
    <t>https://journaliststudio.google.com/pinpoint-extract/preview?collection=94f5d562231d4dd6&amp;job=fff7789bceade090&amp;docid=bb843fadc6314b6e_94f5d562231d4dd6&amp;schid=8001&amp;row=2&amp;page=78</t>
  </si>
  <si>
    <t>https://journaliststudio.google.com/pinpoint-extract/preview?collection=94f5d562231d4dd6&amp;job=fff7789bceade090&amp;docid=bb843fadc6314b6e_94f5d562231d4dd6&amp;schid=8001&amp;row=3&amp;page=78</t>
  </si>
  <si>
    <t>https://journaliststudio.google.com/pinpoint-extract/preview?collection=94f5d562231d4dd6&amp;job=fff7789bceade090&amp;docid=bb843fadc6314b6e_94f5d562231d4dd6&amp;schid=8001&amp;row=4&amp;page=78</t>
  </si>
  <si>
    <t>https://journaliststudio.google.com/pinpoint-extract/preview?collection=94f5d562231d4dd6&amp;job=fff7789bceade090&amp;docid=bb843fadc6314b6e_94f5d562231d4dd6&amp;schid=8001&amp;row=5&amp;page=78</t>
  </si>
  <si>
    <t>https://journaliststudio.google.com/pinpoint-extract/preview?collection=94f5d562231d4dd6&amp;job=fff7789bceade090&amp;docid=bb843fadc6314b6e_94f5d562231d4dd6&amp;schid=8001&amp;row=6&amp;page=78</t>
  </si>
  <si>
    <t>https://journaliststudio.google.com/pinpoint-extract/preview?collection=94f5d562231d4dd6&amp;job=fff7789bceade090&amp;docid=bb843fadc6314b6e_94f5d562231d4dd6&amp;schid=8001&amp;row=7&amp;page=78</t>
  </si>
  <si>
    <t>https://journaliststudio.google.com/pinpoint-extract/preview?collection=94f5d562231d4dd6&amp;job=fff7789bceade090&amp;docid=bb843fadc6314b6e_94f5d562231d4dd6&amp;schid=8001&amp;row=8&amp;page=78</t>
  </si>
  <si>
    <t>https://journaliststudio.google.com/pinpoint-extract/preview?collection=94f5d562231d4dd6&amp;job=fff7789bceade090&amp;docid=bb843fadc6314b6e_94f5d562231d4dd6&amp;schid=8001&amp;row=9&amp;page=78</t>
  </si>
  <si>
    <t>https://journaliststudio.google.com/pinpoint-extract/preview?collection=94f5d562231d4dd6&amp;job=fff7789bceade090&amp;docid=bb843fadc6314b6e_94f5d562231d4dd6&amp;schid=8001&amp;row=10&amp;page=78</t>
  </si>
  <si>
    <t>https://journaliststudio.google.com/pinpoint-extract/preview?collection=94f5d562231d4dd6&amp;job=fff7789bceade090&amp;docid=bb843fadc6314b6e_94f5d562231d4dd6&amp;schid=8001&amp;row=11&amp;page=78</t>
  </si>
  <si>
    <t>https://journaliststudio.google.com/pinpoint-extract/preview?collection=94f5d562231d4dd6&amp;job=fff7789bceade090&amp;docid=bb843fadc6314b6e_94f5d562231d4dd6&amp;schid=8001&amp;row=12&amp;page=78</t>
  </si>
  <si>
    <t>https://journaliststudio.google.com/pinpoint-extract/preview?collection=94f5d562231d4dd6&amp;job=fff7789bceade090&amp;docid=bb843fadc6314b6e_94f5d562231d4dd6&amp;schid=8001&amp;row=13&amp;page=78</t>
  </si>
  <si>
    <t>https://journaliststudio.google.com/pinpoint-extract/preview?collection=94f5d562231d4dd6&amp;job=fff7789bceade090&amp;docid=bb843fadc6314b6e_94f5d562231d4dd6&amp;schid=8001&amp;row=14&amp;page=78</t>
  </si>
  <si>
    <t>https://journaliststudio.google.com/pinpoint-extract/preview?collection=94f5d562231d4dd6&amp;job=fff7789bceade090&amp;docid=bb843fadc6314b6e_94f5d562231d4dd6&amp;schid=8001&amp;row=15&amp;page=78</t>
  </si>
  <si>
    <t>State Department of Public Works</t>
  </si>
  <si>
    <t>https://journaliststudio.google.com/pinpoint-extract/preview?collection=94f5d562231d4dd6&amp;job=fff7789bceade090&amp;docid=bb843fadc6314b6e_94f5d562231d4dd6&amp;schid=8001&amp;row=16&amp;page=78</t>
  </si>
  <si>
    <t>https://journaliststudio.google.com/pinpoint-extract/preview?collection=94f5d562231d4dd6&amp;job=fff7789bceade090&amp;docid=bb843fadc6314b6e_94f5d562231d4dd6&amp;schid=8001&amp;row=17&amp;page=78</t>
  </si>
  <si>
    <t>https://journaliststudio.google.com/pinpoint-extract/preview?collection=94f5d562231d4dd6&amp;job=fff7789bceade090&amp;docid=bb843fadc6314b6e_94f5d562231d4dd6&amp;schid=8001&amp;row=18&amp;page=78</t>
  </si>
  <si>
    <t>https://journaliststudio.google.com/pinpoint-extract/preview?collection=94f5d562231d4dd6&amp;job=fff7789bceade090&amp;docid=bb843fadc6314b6e_94f5d562231d4dd6&amp;schid=8001&amp;row=19&amp;page=78</t>
  </si>
  <si>
    <t>https://journaliststudio.google.com/pinpoint-extract/preview?collection=94f5d562231d4dd6&amp;job=fff7789bceade090&amp;docid=bb843fadc6314b6e_94f5d562231d4dd6&amp;schid=8001&amp;row=20&amp;page=78</t>
  </si>
  <si>
    <t>https://journaliststudio.google.com/pinpoint-extract/preview?collection=94f5d562231d4dd6&amp;job=fff7789bceade090&amp;docid=bb843fadc6314b6e_94f5d562231d4dd6&amp;schid=8001&amp;row=21&amp;page=78</t>
  </si>
  <si>
    <t>State Department of Information, Communications &amp; Technology &amp; Innovation</t>
  </si>
  <si>
    <t>https://journaliststudio.google.com/pinpoint-extract/preview?collection=94f5d562231d4dd6&amp;job=2903464ad73dbe5e&amp;docid=bb843fadc6314b6e_94f5d562231d4dd6&amp;schid=8009&amp;row=0&amp;page=79</t>
  </si>
  <si>
    <t>State Department of Broadcasting and Telecommunications</t>
  </si>
  <si>
    <t>https://journaliststudio.google.com/pinpoint-extract/preview?collection=94f5d562231d4dd6&amp;job=2903464ad73dbe5e&amp;docid=bb843fadc6314b6e_94f5d562231d4dd6&amp;schid=8009&amp;row=1&amp;page=79</t>
  </si>
  <si>
    <t>https://journaliststudio.google.com/pinpoint-extract/preview?collection=94f5d562231d4dd6&amp;job=2903464ad73dbe5e&amp;docid=bb843fadc6314b6e_94f5d562231d4dd6&amp;schid=8009&amp;row=2&amp;page=79</t>
  </si>
  <si>
    <t>https://journaliststudio.google.com/pinpoint-extract/preview?collection=94f5d562231d4dd6&amp;job=2903464ad73dbe5e&amp;docid=bb843fadc6314b6e_94f5d562231d4dd6&amp;schid=8009&amp;row=3&amp;page=79</t>
  </si>
  <si>
    <t>https://journaliststudio.google.com/pinpoint-extract/preview?collection=94f5d562231d4dd6&amp;job=2903464ad73dbe5e&amp;docid=bb843fadc6314b6e_94f5d562231d4dd6&amp;schid=8009&amp;row=4&amp;page=79</t>
  </si>
  <si>
    <t>https://journaliststudio.google.com/pinpoint-extract/preview?collection=94f5d562231d4dd6&amp;job=2903464ad73dbe5e&amp;docid=bb843fadc6314b6e_94f5d562231d4dd6&amp;schid=8009&amp;row=5&amp;page=79</t>
  </si>
  <si>
    <t>https://journaliststudio.google.com/pinpoint-extract/preview?collection=94f5d562231d4dd6&amp;job=2903464ad73dbe5e&amp;docid=bb843fadc6314b6e_94f5d562231d4dd6&amp;schid=8009&amp;row=6&amp;page=79</t>
  </si>
  <si>
    <t>https://journaliststudio.google.com/pinpoint-extract/preview?collection=94f5d562231d4dd6&amp;job=2903464ad73dbe5e&amp;docid=bb843fadc6314b6e_94f5d562231d4dd6&amp;schid=8009&amp;row=7&amp;page=79</t>
  </si>
  <si>
    <t>State Department for Fisheries and Blue Economy</t>
  </si>
  <si>
    <t>https://journaliststudio.google.com/pinpoint-extract/preview?collection=94f5d562231d4dd6&amp;job=2903464ad73dbe5e&amp;docid=bb843fadc6314b6e_94f5d562231d4dd6&amp;schid=8009&amp;row=8&amp;page=79</t>
  </si>
  <si>
    <t>https://journaliststudio.google.com/pinpoint-extract/preview?collection=94f5d562231d4dd6&amp;job=2903464ad73dbe5e&amp;docid=bb843fadc6314b6e_94f5d562231d4dd6&amp;schid=8009&amp;row=9&amp;page=79</t>
  </si>
  <si>
    <t>https://journaliststudio.google.com/pinpoint-extract/preview?collection=94f5d562231d4dd6&amp;job=2903464ad73dbe5e&amp;docid=bb843fadc6314b6e_94f5d562231d4dd6&amp;schid=8009&amp;row=10&amp;page=79</t>
  </si>
  <si>
    <t>https://journaliststudio.google.com/pinpoint-extract/preview?collection=94f5d562231d4dd6&amp;job=2903464ad73dbe5e&amp;docid=bb843fadc6314b6e_94f5d562231d4dd6&amp;schid=8009&amp;row=11&amp;page=79</t>
  </si>
  <si>
    <t>https://journaliststudio.google.com/pinpoint-extract/preview?collection=94f5d562231d4dd6&amp;job=2903464ad73dbe5e&amp;docid=bb843fadc6314b6e_94f5d562231d4dd6&amp;schid=8009&amp;row=12&amp;page=79</t>
  </si>
  <si>
    <t>https://journaliststudio.google.com/pinpoint-extract/preview?collection=94f5d562231d4dd6&amp;job=2903464ad73dbe5e&amp;docid=bb843fadc6314b6e_94f5d562231d4dd6&amp;schid=8009&amp;row=13&amp;page=79</t>
  </si>
  <si>
    <t>https://journaliststudio.google.com/pinpoint-extract/preview?collection=94f5d562231d4dd6&amp;job=2903464ad73dbe5e&amp;docid=bb843fadc6314b6e_94f5d562231d4dd6&amp;schid=8009&amp;row=14&amp;page=79</t>
  </si>
  <si>
    <t>https://journaliststudio.google.com/pinpoint-extract/preview?collection=94f5d562231d4dd6&amp;job=2903464ad73dbe5e&amp;docid=bb843fadc6314b6e_94f5d562231d4dd6&amp;schid=8009&amp;row=15&amp;page=79</t>
  </si>
  <si>
    <t>https://journaliststudio.google.com/pinpoint-extract/preview?collection=94f5d562231d4dd6&amp;job=2903464ad73dbe5e&amp;docid=bb843fadc6314b6e_94f5d562231d4dd6&amp;schid=8009&amp;row=16&amp;page=79</t>
  </si>
  <si>
    <t>https://journaliststudio.google.com/pinpoint-extract/preview?collection=94f5d562231d4dd6&amp;job=2903464ad73dbe5e&amp;docid=bb843fadc6314b6e_94f5d562231d4dd6&amp;schid=8009&amp;row=17&amp;page=79</t>
  </si>
  <si>
    <t>https://journaliststudio.google.com/pinpoint-extract/preview?collection=94f5d562231d4dd6&amp;job=2903464ad73dbe5e&amp;docid=bb843fadc6314b6e_94f5d562231d4dd6&amp;schid=8009&amp;row=18&amp;page=79</t>
  </si>
  <si>
    <t>https://journaliststudio.google.com/pinpoint-extract/preview?collection=94f5d562231d4dd6&amp;job=2903464ad73dbe5e&amp;docid=bb843fadc6314b6e_94f5d562231d4dd6&amp;schid=8009&amp;row=19&amp;page=79</t>
  </si>
  <si>
    <t>https://journaliststudio.google.com/pinpoint-extract/preview?collection=94f5d562231d4dd6&amp;job=2903464ad73dbe5e&amp;docid=bb843fadc6314b6e_94f5d562231d4dd6&amp;schid=8009&amp;row=20&amp;page=79</t>
  </si>
  <si>
    <t>https://journaliststudio.google.com/pinpoint-extract/preview?collection=94f5d562231d4dd6&amp;job=2903464ad73dbe5e&amp;docid=bb843fadc6314b6e_94f5d562231d4dd6&amp;schid=8009&amp;row=21&amp;page=80</t>
  </si>
  <si>
    <t>https://journaliststudio.google.com/pinpoint-extract/preview?collection=94f5d562231d4dd6&amp;job=2903464ad73dbe5e&amp;docid=bb843fadc6314b6e_94f5d562231d4dd6&amp;schid=8009&amp;row=22&amp;page=80</t>
  </si>
  <si>
    <t>https://journaliststudio.google.com/pinpoint-extract/preview?collection=94f5d562231d4dd6&amp;job=2903464ad73dbe5e&amp;docid=bb843fadc6314b6e_94f5d562231d4dd6&amp;schid=8009&amp;row=23&amp;page=80</t>
  </si>
  <si>
    <t>https://journaliststudio.google.com/pinpoint-extract/preview?collection=94f5d562231d4dd6&amp;job=2903464ad73dbe5e&amp;docid=bb843fadc6314b6e_94f5d562231d4dd6&amp;schid=8009&amp;row=24&amp;page=80</t>
  </si>
  <si>
    <t>https://journaliststudio.google.com/pinpoint-extract/preview?collection=94f5d562231d4dd6&amp;job=2903464ad73dbe5e&amp;docid=bb843fadc6314b6e_94f5d562231d4dd6&amp;schid=8009&amp;row=25&amp;page=80</t>
  </si>
  <si>
    <t>https://journaliststudio.google.com/pinpoint-extract/preview?collection=94f5d562231d4dd6&amp;job=2903464ad73dbe5e&amp;docid=bb843fadc6314b6e_94f5d562231d4dd6&amp;schid=8009&amp;row=26&amp;page=80</t>
  </si>
  <si>
    <t>https://journaliststudio.google.com/pinpoint-extract/preview?collection=94f5d562231d4dd6&amp;job=2903464ad73dbe5e&amp;docid=bb843fadc6314b6e_94f5d562231d4dd6&amp;schid=8009&amp;row=27&amp;page=80</t>
  </si>
  <si>
    <t>https://journaliststudio.google.com/pinpoint-extract/preview?collection=94f5d562231d4dd6&amp;job=2903464ad73dbe5e&amp;docid=bb843fadc6314b6e_94f5d562231d4dd6&amp;schid=8009&amp;row=28&amp;page=80</t>
  </si>
  <si>
    <t>https://journaliststudio.google.com/pinpoint-extract/preview?collection=94f5d562231d4dd6&amp;job=2903464ad73dbe5e&amp;docid=bb843fadc6314b6e_94f5d562231d4dd6&amp;schid=8009&amp;row=29&amp;page=80</t>
  </si>
  <si>
    <t>https://journaliststudio.google.com/pinpoint-extract/preview?collection=94f5d562231d4dd6&amp;job=2903464ad73dbe5e&amp;docid=bb843fadc6314b6e_94f5d562231d4dd6&amp;schid=8009&amp;row=30&amp;page=80</t>
  </si>
  <si>
    <t>https://journaliststudio.google.com/pinpoint-extract/preview?collection=94f5d562231d4dd6&amp;job=2903464ad73dbe5e&amp;docid=bb843fadc6314b6e_94f5d562231d4dd6&amp;schid=8009&amp;row=31&amp;page=80</t>
  </si>
  <si>
    <t>Revised Gross Estimates II (Kshs)</t>
  </si>
  <si>
    <t>https://journaliststudio.google.com/pinpoint-extract/preview?collection=59c534ba70c0b75b&amp;job=a5341a044fbdd001&amp;docid=f9a22023735ef321_59c534ba70c0b75b&amp;schid=8001&amp;row=0&amp;page=79</t>
  </si>
  <si>
    <t>https://journaliststudio.google.com/pinpoint-extract/preview?collection=59c534ba70c0b75b&amp;job=a5341a044fbdd001&amp;docid=f9a22023735ef321_59c534ba70c0b75b&amp;schid=8001&amp;row=1&amp;page=79</t>
  </si>
  <si>
    <t>https://journaliststudio.google.com/pinpoint-extract/preview?collection=59c534ba70c0b75b&amp;job=a5341a044fbdd001&amp;docid=f9a22023735ef321_59c534ba70c0b75b&amp;schid=8001&amp;row=2&amp;page=79</t>
  </si>
  <si>
    <t>https://journaliststudio.google.com/pinpoint-extract/preview?collection=59c534ba70c0b75b&amp;job=a5341a044fbdd001&amp;docid=f9a22023735ef321_59c534ba70c0b75b&amp;schid=8001&amp;row=3&amp;page=79</t>
  </si>
  <si>
    <t>https://journaliststudio.google.com/pinpoint-extract/preview?collection=59c534ba70c0b75b&amp;job=a5341a044fbdd001&amp;docid=f9a22023735ef321_59c534ba70c0b75b&amp;schid=8001&amp;row=4&amp;page=79</t>
  </si>
  <si>
    <t>https://journaliststudio.google.com/pinpoint-extract/preview?collection=59c534ba70c0b75b&amp;job=a5341a044fbdd001&amp;docid=f9a22023735ef321_59c534ba70c0b75b&amp;schid=8001&amp;row=5&amp;page=79</t>
  </si>
  <si>
    <t>https://journaliststudio.google.com/pinpoint-extract/preview?collection=59c534ba70c0b75b&amp;job=a5341a044fbdd001&amp;docid=f9a22023735ef321_59c534ba70c0b75b&amp;schid=8001&amp;row=6&amp;page=79</t>
  </si>
  <si>
    <t>https://journaliststudio.google.com/pinpoint-extract/preview?collection=59c534ba70c0b75b&amp;job=a5341a044fbdd001&amp;docid=f9a22023735ef321_59c534ba70c0b75b&amp;schid=8001&amp;row=7&amp;page=79</t>
  </si>
  <si>
    <t>https://journaliststudio.google.com/pinpoint-extract/preview?collection=59c534ba70c0b75b&amp;job=a5341a044fbdd001&amp;docid=f9a22023735ef321_59c534ba70c0b75b&amp;schid=8001&amp;row=8&amp;page=79</t>
  </si>
  <si>
    <t>https://journaliststudio.google.com/pinpoint-extract/preview?collection=59c534ba70c0b75b&amp;job=a5341a044fbdd001&amp;docid=f9a22023735ef321_59c534ba70c0b75b&amp;schid=8001&amp;row=9&amp;page=79</t>
  </si>
  <si>
    <t>https://journaliststudio.google.com/pinpoint-extract/preview?collection=59c534ba70c0b75b&amp;job=a5341a044fbdd001&amp;docid=f9a22023735ef321_59c534ba70c0b75b&amp;schid=8001&amp;row=10&amp;page=79</t>
  </si>
  <si>
    <t>https://journaliststudio.google.com/pinpoint-extract/preview?collection=59c534ba70c0b75b&amp;job=a5341a044fbdd001&amp;docid=f9a22023735ef321_59c534ba70c0b75b&amp;schid=8001&amp;row=11&amp;page=79</t>
  </si>
  <si>
    <t>https://journaliststudio.google.com/pinpoint-extract/preview?collection=59c534ba70c0b75b&amp;job=a5341a044fbdd001&amp;docid=f9a22023735ef321_59c534ba70c0b75b&amp;schid=8001&amp;row=12&amp;page=79</t>
  </si>
  <si>
    <t>https://journaliststudio.google.com/pinpoint-extract/preview?collection=59c534ba70c0b75b&amp;job=a5341a044fbdd001&amp;docid=f9a22023735ef321_59c534ba70c0b75b&amp;schid=8001&amp;row=13&amp;page=79</t>
  </si>
  <si>
    <t>https://journaliststudio.google.com/pinpoint-extract/preview?collection=59c534ba70c0b75b&amp;job=fe598a2fe5f62708&amp;docid=f9a22023735ef321_59c534ba70c0b75b&amp;schid=8017&amp;row=14&amp;page=80</t>
  </si>
  <si>
    <t>https://journaliststudio.google.com/pinpoint-extract/preview?collection=59c534ba70c0b75b&amp;job=fe598a2fe5f62708&amp;docid=f9a22023735ef321_59c534ba70c0b75b&amp;schid=8017&amp;row=15&amp;page=80</t>
  </si>
  <si>
    <t>https://journaliststudio.google.com/pinpoint-extract/preview?collection=59c534ba70c0b75b&amp;job=fe598a2fe5f62708&amp;docid=f9a22023735ef321_59c534ba70c0b75b&amp;schid=8017&amp;row=16&amp;page=80</t>
  </si>
  <si>
    <t>https://journaliststudio.google.com/pinpoint-extract/preview?collection=59c534ba70c0b75b&amp;job=fe598a2fe5f62708&amp;docid=f9a22023735ef321_59c534ba70c0b75b&amp;schid=8017&amp;row=17&amp;page=80</t>
  </si>
  <si>
    <t>https://journaliststudio.google.com/pinpoint-extract/preview?collection=59c534ba70c0b75b&amp;job=fe598a2fe5f62708&amp;docid=f9a22023735ef321_59c534ba70c0b75b&amp;schid=8017&amp;row=18&amp;page=80</t>
  </si>
  <si>
    <t>https://journaliststudio.google.com/pinpoint-extract/preview?collection=59c534ba70c0b75b&amp;job=fe598a2fe5f62708&amp;docid=f9a22023735ef321_59c534ba70c0b75b&amp;schid=8017&amp;row=19&amp;page=80</t>
  </si>
  <si>
    <t>https://journaliststudio.google.com/pinpoint-extract/preview?collection=59c534ba70c0b75b&amp;job=fe598a2fe5f62708&amp;docid=f9a22023735ef321_59c534ba70c0b75b&amp;schid=8017&amp;row=20&amp;page=80</t>
  </si>
  <si>
    <t>https://journaliststudio.google.com/pinpoint-extract/preview?collection=59c534ba70c0b75b&amp;job=fe598a2fe5f62708&amp;docid=f9a22023735ef321_59c534ba70c0b75b&amp;schid=8017&amp;row=21&amp;page=80</t>
  </si>
  <si>
    <t>https://journaliststudio.google.com/pinpoint-extract/preview?collection=59c534ba70c0b75b&amp;job=fe598a2fe5f62708&amp;docid=f9a22023735ef321_59c534ba70c0b75b&amp;schid=8017&amp;row=22&amp;page=80</t>
  </si>
  <si>
    <t>https://journaliststudio.google.com/pinpoint-extract/preview?collection=59c534ba70c0b75b&amp;job=fe598a2fe5f62708&amp;docid=f9a22023735ef321_59c534ba70c0b75b&amp;schid=8017&amp;row=23&amp;page=80</t>
  </si>
  <si>
    <t>https://journaliststudio.google.com/pinpoint-extract/preview?collection=59c534ba70c0b75b&amp;job=fe598a2fe5f62708&amp;docid=f9a22023735ef321_59c534ba70c0b75b&amp;schid=8017&amp;row=24&amp;page=80</t>
  </si>
  <si>
    <t>https://journaliststudio.google.com/pinpoint-extract/preview?collection=59c534ba70c0b75b&amp;job=fe598a2fe5f62708&amp;docid=f9a22023735ef321_59c534ba70c0b75b&amp;schid=8017&amp;row=25&amp;page=80</t>
  </si>
  <si>
    <t>https://journaliststudio.google.com/pinpoint-extract/preview?collection=59c534ba70c0b75b&amp;job=d1722aff98bd1426&amp;docid=f9a22023735ef321_59c534ba70c0b75b&amp;schid=8025&amp;row=0&amp;page=81</t>
  </si>
  <si>
    <t>https://journaliststudio.google.com/pinpoint-extract/preview?collection=59c534ba70c0b75b&amp;job=d1722aff98bd1426&amp;docid=f9a22023735ef321_59c534ba70c0b75b&amp;schid=8025&amp;row=1&amp;page=81</t>
  </si>
  <si>
    <t>https://journaliststudio.google.com/pinpoint-extract/preview?collection=59c534ba70c0b75b&amp;job=d1722aff98bd1426&amp;docid=f9a22023735ef321_59c534ba70c0b75b&amp;schid=8025&amp;row=2&amp;page=81</t>
  </si>
  <si>
    <t>https://journaliststudio.google.com/pinpoint-extract/preview?collection=59c534ba70c0b75b&amp;job=d1722aff98bd1426&amp;docid=f9a22023735ef321_59c534ba70c0b75b&amp;schid=8025&amp;row=3&amp;page=81</t>
  </si>
  <si>
    <t>https://journaliststudio.google.com/pinpoint-extract/preview?collection=59c534ba70c0b75b&amp;job=d1722aff98bd1426&amp;docid=f9a22023735ef321_59c534ba70c0b75b&amp;schid=8025&amp;row=4&amp;page=81</t>
  </si>
  <si>
    <t>https://journaliststudio.google.com/pinpoint-extract/preview?collection=59c534ba70c0b75b&amp;job=d1722aff98bd1426&amp;docid=f9a22023735ef321_59c534ba70c0b75b&amp;schid=8025&amp;row=5&amp;page=81</t>
  </si>
  <si>
    <t>https://journaliststudio.google.com/pinpoint-extract/preview?collection=59c534ba70c0b75b&amp;job=d1722aff98bd1426&amp;docid=f9a22023735ef321_59c534ba70c0b75b&amp;schid=8025&amp;row=6&amp;page=81</t>
  </si>
  <si>
    <t>https://journaliststudio.google.com/pinpoint-extract/preview?collection=59c534ba70c0b75b&amp;job=d1722aff98bd1426&amp;docid=f9a22023735ef321_59c534ba70c0b75b&amp;schid=8025&amp;row=7&amp;page=81</t>
  </si>
  <si>
    <t>https://journaliststudio.google.com/pinpoint-extract/preview?collection=59c534ba70c0b75b&amp;job=d1722aff98bd1426&amp;docid=f9a22023735ef321_59c534ba70c0b75b&amp;schid=8025&amp;row=8&amp;page=81</t>
  </si>
  <si>
    <t>https://journaliststudio.google.com/pinpoint-extract/preview?collection=59c534ba70c0b75b&amp;job=d1722aff98bd1426&amp;docid=f9a22023735ef321_59c534ba70c0b75b&amp;schid=8025&amp;row=9&amp;page=81</t>
  </si>
  <si>
    <t>https://journaliststudio.google.com/pinpoint-extract/preview?collection=59c534ba70c0b75b&amp;job=d1722aff98bd1426&amp;docid=f9a22023735ef321_59c534ba70c0b75b&amp;schid=8025&amp;row=10&amp;page=81</t>
  </si>
  <si>
    <t>https://journaliststudio.google.com/pinpoint-extract/preview?collection=59c534ba70c0b75b&amp;job=d1722aff98bd1426&amp;docid=f9a22023735ef321_59c534ba70c0b75b&amp;schid=8025&amp;row=11&amp;page=81</t>
  </si>
  <si>
    <t>https://journaliststudio.google.com/pinpoint-extract/preview?collection=59c534ba70c0b75b&amp;job=d1722aff98bd1426&amp;docid=f9a22023735ef321_59c534ba70c0b75b&amp;schid=8025&amp;row=12&amp;page=81</t>
  </si>
  <si>
    <t>https://journaliststudio.google.com/pinpoint-extract/preview?collection=59c534ba70c0b75b&amp;job=d1722aff98bd1426&amp;docid=f9a22023735ef321_59c534ba70c0b75b&amp;schid=8025&amp;row=13&amp;page=81</t>
  </si>
  <si>
    <t>https://journaliststudio.google.com/pinpoint-extract/preview?collection=59c534ba70c0b75b&amp;job=d9e8db0be651c98d&amp;docid=f9a22023735ef321_59c534ba70c0b75b&amp;schid=8033&amp;row=0&amp;page=82</t>
  </si>
  <si>
    <t>https://journaliststudio.google.com/pinpoint-extract/preview?collection=59c534ba70c0b75b&amp;job=d9e8db0be651c98d&amp;docid=f9a22023735ef321_59c534ba70c0b75b&amp;schid=8033&amp;row=1&amp;page=82</t>
  </si>
  <si>
    <t>https://journaliststudio.google.com/pinpoint-extract/preview?collection=59c534ba70c0b75b&amp;job=d9e8db0be651c98d&amp;docid=f9a22023735ef321_59c534ba70c0b75b&amp;schid=8033&amp;row=2&amp;page=82</t>
  </si>
  <si>
    <t>https://journaliststudio.google.com/pinpoint-extract/preview?collection=59c534ba70c0b75b&amp;job=d9e8db0be651c98d&amp;docid=f9a22023735ef321_59c534ba70c0b75b&amp;schid=8033&amp;row=3&amp;page=82</t>
  </si>
  <si>
    <t>https://journaliststudio.google.com/pinpoint-extract/preview?collection=59c534ba70c0b75b&amp;job=d9e8db0be651c98d&amp;docid=f9a22023735ef321_59c534ba70c0b75b&amp;schid=8033&amp;row=4&amp;page=82</t>
  </si>
  <si>
    <t>https://journaliststudio.google.com/pinpoint-extract/preview?collection=59c534ba70c0b75b&amp;job=d9e8db0be651c98d&amp;docid=f9a22023735ef321_59c534ba70c0b75b&amp;schid=8033&amp;row=5&amp;page=82</t>
  </si>
  <si>
    <t>https://journaliststudio.google.com/pinpoint-extract/preview?collection=59c534ba70c0b75b&amp;job=d9e8db0be651c98d&amp;docid=f9a22023735ef321_59c534ba70c0b75b&amp;schid=8033&amp;row=6&amp;page=82</t>
  </si>
  <si>
    <t>https://journaliststudio.google.com/pinpoint-extract/preview?collection=59c534ba70c0b75b&amp;job=d9e8db0be651c98d&amp;docid=f9a22023735ef321_59c534ba70c0b75b&amp;schid=8033&amp;row=7&amp;page=82</t>
  </si>
  <si>
    <t>https://journaliststudio.google.com/pinpoint-extract/preview?collection=59c534ba70c0b75b&amp;job=d9e8db0be651c98d&amp;docid=f9a22023735ef321_59c534ba70c0b75b&amp;schid=8033&amp;row=8&amp;page=82</t>
  </si>
  <si>
    <t>https://journaliststudio.google.com/pinpoint-extract/preview?collection=59c534ba70c0b75b&amp;job=d9e8db0be651c98d&amp;docid=f9a22023735ef321_59c534ba70c0b75b&amp;schid=8033&amp;row=9&amp;page=82</t>
  </si>
  <si>
    <t>https://journaliststudio.google.com/pinpoint-extract/preview?collection=59c534ba70c0b75b&amp;job=d9e8db0be651c98d&amp;docid=f9a22023735ef321_59c534ba70c0b75b&amp;schid=8033&amp;row=10&amp;page=82</t>
  </si>
  <si>
    <t>https://journaliststudio.google.com/pinpoint-extract/preview?collection=59c534ba70c0b75b&amp;job=d9e8db0be651c98d&amp;docid=f9a22023735ef321_59c534ba70c0b75b&amp;schid=8033&amp;row=11&amp;page=82</t>
  </si>
  <si>
    <t>Revised Gross Estimates</t>
  </si>
  <si>
    <t>Revised Net Estimates</t>
  </si>
  <si>
    <t>Link</t>
  </si>
  <si>
    <t>https://journaliststudio.google.com/pinpoint-extract/preview?collection=b4db47ccc48595a5&amp;job=7a46166c988abe25&amp;docid=252734efe751c385_b4db47ccc48595a5&amp;schid=8019&amp;row=3&amp;page=80</t>
  </si>
  <si>
    <t>https://journaliststudio.google.com/pinpoint-extract/preview?collection=b4db47ccc48595a5&amp;job=7a46166c988abe25&amp;docid=252734efe751c385_b4db47ccc48595a5&amp;schid=8019&amp;row=4&amp;page=80</t>
  </si>
  <si>
    <t>https://journaliststudio.google.com/pinpoint-extract/preview?collection=b4db47ccc48595a5&amp;job=7a46166c988abe25&amp;docid=252734efe751c385_b4db47ccc48595a5&amp;schid=8019&amp;row=5&amp;page=80</t>
  </si>
  <si>
    <t>https://journaliststudio.google.com/pinpoint-extract/preview?collection=b4db47ccc48595a5&amp;job=7a46166c988abe25&amp;docid=252734efe751c385_b4db47ccc48595a5&amp;schid=8019&amp;row=6&amp;page=80</t>
  </si>
  <si>
    <t>https://journaliststudio.google.com/pinpoint-extract/preview?collection=b4db47ccc48595a5&amp;job=7a46166c988abe25&amp;docid=252734efe751c385_b4db47ccc48595a5&amp;schid=8019&amp;row=7&amp;page=80</t>
  </si>
  <si>
    <t>https://journaliststudio.google.com/pinpoint-extract/preview?collection=b4db47ccc48595a5&amp;job=7a46166c988abe25&amp;docid=252734efe751c385_b4db47ccc48595a5&amp;schid=8019&amp;row=8&amp;page=80</t>
  </si>
  <si>
    <t>https://journaliststudio.google.com/pinpoint-extract/preview?collection=b4db47ccc48595a5&amp;job=7a46166c988abe25&amp;docid=252734efe751c385_b4db47ccc48595a5&amp;schid=8019&amp;row=9&amp;page=80</t>
  </si>
  <si>
    <t>https://journaliststudio.google.com/pinpoint-extract/preview?collection=b4db47ccc48595a5&amp;job=7a46166c988abe25&amp;docid=252734efe751c385_b4db47ccc48595a5&amp;schid=8019&amp;row=10&amp;page=80</t>
  </si>
  <si>
    <t>https://journaliststudio.google.com/pinpoint-extract/preview?collection=b4db47ccc48595a5&amp;job=7a46166c988abe25&amp;docid=252734efe751c385_b4db47ccc48595a5&amp;schid=8019&amp;row=11&amp;page=80</t>
  </si>
  <si>
    <t>https://journaliststudio.google.com/pinpoint-extract/preview?collection=b4db47ccc48595a5&amp;job=7a46166c988abe25&amp;docid=252734efe751c385_b4db47ccc48595a5&amp;schid=8019&amp;row=12&amp;page=80</t>
  </si>
  <si>
    <t>https://journaliststudio.google.com/pinpoint-extract/preview?collection=b4db47ccc48595a5&amp;job=7a46166c988abe25&amp;docid=252734efe751c385_b4db47ccc48595a5&amp;schid=8019&amp;row=13&amp;page=80</t>
  </si>
  <si>
    <t>https://journaliststudio.google.com/pinpoint-extract/preview?collection=b4db47ccc48595a5&amp;job=7a46166c988abe25&amp;docid=252734efe751c385_b4db47ccc48595a5&amp;schid=8019&amp;row=14&amp;page=80</t>
  </si>
  <si>
    <t>https://journaliststudio.google.com/pinpoint-extract/preview?collection=b4db47ccc48595a5&amp;job=7a46166c988abe25&amp;docid=252734efe751c385_b4db47ccc48595a5&amp;schid=8019&amp;row=15&amp;page=80</t>
  </si>
  <si>
    <t>https://journaliststudio.google.com/pinpoint-extract/preview?collection=b4db47ccc48595a5&amp;job=7a46166c988abe25&amp;docid=252734efe751c385_b4db47ccc48595a5&amp;schid=8019&amp;row=18&amp;page=81</t>
  </si>
  <si>
    <t>https://journaliststudio.google.com/pinpoint-extract/preview?collection=b4db47ccc48595a5&amp;job=7a46166c988abe25&amp;docid=252734efe751c385_b4db47ccc48595a5&amp;schid=8019&amp;row=19&amp;page=81</t>
  </si>
  <si>
    <t>Ministry of Land, Housing, and Urban Development</t>
  </si>
  <si>
    <t>https://journaliststudio.google.com/pinpoint-extract/preview?collection=b4db47ccc48595a5&amp;job=7a46166c988abe25&amp;docid=252734efe751c385_b4db47ccc48595a5&amp;schid=8019&amp;row=20&amp;page=81</t>
  </si>
  <si>
    <t>https://journaliststudio.google.com/pinpoint-extract/preview?collection=b4db47ccc48595a5&amp;job=7a46166c988abe25&amp;docid=252734efe751c385_b4db47ccc48595a5&amp;schid=8019&amp;row=21&amp;page=81</t>
  </si>
  <si>
    <t>https://journaliststudio.google.com/pinpoint-extract/preview?collection=b4db47ccc48595a5&amp;job=7a46166c988abe25&amp;docid=252734efe751c385_b4db47ccc48595a5&amp;schid=8019&amp;row=22&amp;page=81</t>
  </si>
  <si>
    <t>https://journaliststudio.google.com/pinpoint-extract/preview?collection=b4db47ccc48595a5&amp;job=7a46166c988abe25&amp;docid=252734efe751c385_b4db47ccc48595a5&amp;schid=8019&amp;row=23&amp;page=81</t>
  </si>
  <si>
    <t>https://journaliststudio.google.com/pinpoint-extract/preview?collection=b4db47ccc48595a5&amp;job=7a46166c988abe25&amp;docid=252734efe751c385_b4db47ccc48595a5&amp;schid=8019&amp;row=24&amp;page=81</t>
  </si>
  <si>
    <t>https://journaliststudio.google.com/pinpoint-extract/preview?collection=b4db47ccc48595a5&amp;job=7a46166c988abe25&amp;docid=252734efe751c385_b4db47ccc48595a5&amp;schid=8019&amp;row=25&amp;page=81</t>
  </si>
  <si>
    <t>https://journaliststudio.google.com/pinpoint-extract/preview?collection=b4db47ccc48595a5&amp;job=7a46166c988abe25&amp;docid=252734efe751c385_b4db47ccc48595a5&amp;schid=8019&amp;row=26&amp;page=81</t>
  </si>
  <si>
    <t>https://journaliststudio.google.com/pinpoint-extract/preview?collection=b4db47ccc48595a5&amp;job=7a46166c988abe25&amp;docid=252734efe751c385_b4db47ccc48595a5&amp;schid=8019&amp;row=27&amp;page=81</t>
  </si>
  <si>
    <t>https://journaliststudio.google.com/pinpoint-extract/preview?collection=b4db47ccc48595a5&amp;job=7a46166c988abe25&amp;docid=252734efe751c385_b4db47ccc48595a5&amp;schid=8019&amp;row=28&amp;page=81</t>
  </si>
  <si>
    <t>https://journaliststudio.google.com/pinpoint-extract/preview?collection=b4db47ccc48595a5&amp;job=7a46166c988abe25&amp;docid=252734efe751c385_b4db47ccc48595a5&amp;schid=8019&amp;row=29&amp;page=81</t>
  </si>
  <si>
    <t>https://journaliststudio.google.com/pinpoint-extract/preview?collection=b4db47ccc48595a5&amp;job=7a46166c988abe25&amp;docid=252734efe751c385_b4db47ccc48595a5&amp;schid=8019&amp;row=30&amp;page=81</t>
  </si>
  <si>
    <t>https://journaliststudio.google.com/pinpoint-extract/preview?collection=b4db47ccc48595a5&amp;job=7a46166c988abe25&amp;docid=252734efe751c385_b4db47ccc48595a5&amp;schid=8019&amp;row=31&amp;page=81</t>
  </si>
  <si>
    <t>https://journaliststudio.google.com/pinpoint-extract/preview?collection=b4db47ccc48595a5&amp;job=6534cb6435b3b5b3&amp;docid=252734efe751c385_b4db47ccc48595a5&amp;schid=8025&amp;row=0&amp;page=82</t>
  </si>
  <si>
    <t>https://journaliststudio.google.com/pinpoint-extract/preview?collection=b4db47ccc48595a5&amp;job=7a46166c988abe25&amp;docid=252734efe751c385_b4db47ccc48595a5&amp;schid=8019&amp;row=35&amp;page=82</t>
  </si>
  <si>
    <t>https://journaliststudio.google.com/pinpoint-extract/preview?collection=b4db47ccc48595a5&amp;job=6534cb6435b3b5b3&amp;docid=252734efe751c385_b4db47ccc48595a5&amp;schid=8025&amp;row=1&amp;page=82</t>
  </si>
  <si>
    <t>https://journaliststudio.google.com/pinpoint-extract/preview?collection=b4db47ccc48595a5&amp;job=6534cb6435b3b5b3&amp;docid=252734efe751c385_b4db47ccc48595a5&amp;schid=8025&amp;row=2&amp;page=82</t>
  </si>
  <si>
    <t>https://journaliststudio.google.com/pinpoint-extract/preview?collection=b4db47ccc48595a5&amp;job=6534cb6435b3b5b3&amp;docid=252734efe751c385_b4db47ccc48595a5&amp;schid=8025&amp;row=3&amp;page=82</t>
  </si>
  <si>
    <t>https://journaliststudio.google.com/pinpoint-extract/preview?collection=b4db47ccc48595a5&amp;job=6534cb6435b3b5b3&amp;docid=252734efe751c385_b4db47ccc48595a5&amp;schid=8025&amp;row=4&amp;page=82</t>
  </si>
  <si>
    <t>https://journaliststudio.google.com/pinpoint-extract/preview?collection=b4db47ccc48595a5&amp;job=6534cb6435b3b5b3&amp;docid=252734efe751c385_b4db47ccc48595a5&amp;schid=8025&amp;row=5&amp;page=82</t>
  </si>
  <si>
    <t>https://journaliststudio.google.com/pinpoint-extract/preview?collection=b4db47ccc48595a5&amp;job=6534cb6435b3b5b3&amp;docid=252734efe751c385_b4db47ccc48595a5&amp;schid=8025&amp;row=6&amp;page=82</t>
  </si>
  <si>
    <t>https://journaliststudio.google.com/pinpoint-extract/preview?collection=b4db47ccc48595a5&amp;job=6534cb6435b3b5b3&amp;docid=252734efe751c385_b4db47ccc48595a5&amp;schid=8025&amp;row=7&amp;page=82</t>
  </si>
  <si>
    <t>https://journaliststudio.google.com/pinpoint-extract/preview?collection=b4db47ccc48595a5&amp;job=6534cb6435b3b5b3&amp;docid=252734efe751c385_b4db47ccc48595a5&amp;schid=8025&amp;row=8&amp;page=82</t>
  </si>
  <si>
    <t>https://journaliststudio.google.com/pinpoint-extract/preview?collection=b4db47ccc48595a5&amp;job=6534cb6435b3b5b3&amp;docid=252734efe751c385_b4db47ccc48595a5&amp;schid=8025&amp;row=9&amp;page=82</t>
  </si>
  <si>
    <t>https://journaliststudio.google.com/pinpoint-extract/preview?collection=b4db47ccc48595a5&amp;job=6534cb6435b3b5b3&amp;docid=252734efe751c385_b4db47ccc48595a5&amp;schid=8025&amp;row=10&amp;page=82</t>
  </si>
  <si>
    <t>https://journaliststudio.google.com/pinpoint-extract/preview?collection=b4db47ccc48595a5&amp;job=6534cb6435b3b5b3&amp;docid=252734efe751c385_b4db47ccc48595a5&amp;schid=8025&amp;row=11&amp;page=82</t>
  </si>
  <si>
    <t>https://journaliststudio.google.com/pinpoint-extract/preview?collection=b4db47ccc48595a5&amp;job=895e8f817fd773a3&amp;docid=46e4f917ea989928_b4db47ccc48595a5&amp;schid=8001&amp;row=0&amp;page=90</t>
  </si>
  <si>
    <t>https://journaliststudio.google.com/pinpoint-extract/preview?collection=b4db47ccc48595a5&amp;job=895e8f817fd773a3&amp;docid=46e4f917ea989928_b4db47ccc48595a5&amp;schid=8001&amp;row=1&amp;page=90</t>
  </si>
  <si>
    <t>https://journaliststudio.google.com/pinpoint-extract/preview?collection=b4db47ccc48595a5&amp;job=895e8f817fd773a3&amp;docid=46e4f917ea989928_b4db47ccc48595a5&amp;schid=8001&amp;row=2&amp;page=90</t>
  </si>
  <si>
    <t>https://journaliststudio.google.com/pinpoint-extract/preview?collection=b4db47ccc48595a5&amp;job=895e8f817fd773a3&amp;docid=46e4f917ea989928_b4db47ccc48595a5&amp;schid=8001&amp;row=3&amp;page=90</t>
  </si>
  <si>
    <t>https://journaliststudio.google.com/pinpoint-extract/preview?collection=b4db47ccc48595a5&amp;job=895e8f817fd773a3&amp;docid=46e4f917ea989928_b4db47ccc48595a5&amp;schid=8001&amp;row=4&amp;page=90</t>
  </si>
  <si>
    <t>https://journaliststudio.google.com/pinpoint-extract/preview?collection=b4db47ccc48595a5&amp;job=895e8f817fd773a3&amp;docid=46e4f917ea989928_b4db47ccc48595a5&amp;schid=8001&amp;row=5&amp;page=90</t>
  </si>
  <si>
    <t>https://journaliststudio.google.com/pinpoint-extract/preview?collection=b4db47ccc48595a5&amp;job=895e8f817fd773a3&amp;docid=46e4f917ea989928_b4db47ccc48595a5&amp;schid=8001&amp;row=6&amp;page=90</t>
  </si>
  <si>
    <t>https://journaliststudio.google.com/pinpoint-extract/preview?collection=b4db47ccc48595a5&amp;job=895e8f817fd773a3&amp;docid=46e4f917ea989928_b4db47ccc48595a5&amp;schid=8001&amp;row=7&amp;page=90</t>
  </si>
  <si>
    <t>https://journaliststudio.google.com/pinpoint-extract/preview?collection=b4db47ccc48595a5&amp;job=895e8f817fd773a3&amp;docid=46e4f917ea989928_b4db47ccc48595a5&amp;schid=8001&amp;row=8&amp;page=90</t>
  </si>
  <si>
    <t>https://journaliststudio.google.com/pinpoint-extract/preview?collection=b4db47ccc48595a5&amp;job=895e8f817fd773a3&amp;docid=46e4f917ea989928_b4db47ccc48595a5&amp;schid=8001&amp;row=9&amp;page=90</t>
  </si>
  <si>
    <t>https://journaliststudio.google.com/pinpoint-extract/preview?collection=b4db47ccc48595a5&amp;job=895e8f817fd773a3&amp;docid=46e4f917ea989928_b4db47ccc48595a5&amp;schid=8001&amp;row=10&amp;page=90</t>
  </si>
  <si>
    <t>https://journaliststudio.google.com/pinpoint-extract/preview?collection=b4db47ccc48595a5&amp;job=895e8f817fd773a3&amp;docid=46e4f917ea989928_b4db47ccc48595a5&amp;schid=8001&amp;row=11&amp;page=90</t>
  </si>
  <si>
    <t>https://journaliststudio.google.com/pinpoint-extract/preview?collection=b4db47ccc48595a5&amp;job=895e8f817fd773a3&amp;docid=46e4f917ea989928_b4db47ccc48595a5&amp;schid=8001&amp;row=12&amp;page=90</t>
  </si>
  <si>
    <t>https://journaliststudio.google.com/pinpoint-extract/preview?collection=b4db47ccc48595a5&amp;job=895e8f817fd773a3&amp;docid=46e4f917ea989928_b4db47ccc48595a5&amp;schid=8001&amp;row=13&amp;page=90</t>
  </si>
  <si>
    <t>https://journaliststudio.google.com/pinpoint-extract/preview?collection=b4db47ccc48595a5&amp;job=895e8f817fd773a3&amp;docid=46e4f917ea989928_b4db47ccc48595a5&amp;schid=8001&amp;row=14&amp;page=90</t>
  </si>
  <si>
    <t>https://journaliststudio.google.com/pinpoint-extract/preview?collection=b4db47ccc48595a5&amp;job=895e8f817fd773a3&amp;docid=46e4f917ea989928_b4db47ccc48595a5&amp;schid=8001&amp;row=15&amp;page=90</t>
  </si>
  <si>
    <t>https://journaliststudio.google.com/pinpoint-extract/preview?collection=b4db47ccc48595a5&amp;job=895e8f817fd773a3&amp;docid=46e4f917ea989928_b4db47ccc48595a5&amp;schid=8001&amp;row=16&amp;page=90</t>
  </si>
  <si>
    <t>https://journaliststudio.google.com/pinpoint-extract/preview?collection=b4db47ccc48595a5&amp;job=895e8f817fd773a3&amp;docid=46e4f917ea989928_b4db47ccc48595a5&amp;schid=8001&amp;row=19&amp;page=91</t>
  </si>
  <si>
    <t>https://journaliststudio.google.com/pinpoint-extract/preview?collection=b4db47ccc48595a5&amp;job=895e8f817fd773a3&amp;docid=46e4f917ea989928_b4db47ccc48595a5&amp;schid=8001&amp;row=20&amp;page=91</t>
  </si>
  <si>
    <t>https://journaliststudio.google.com/pinpoint-extract/preview?collection=b4db47ccc48595a5&amp;job=895e8f817fd773a3&amp;docid=46e4f917ea989928_b4db47ccc48595a5&amp;schid=8001&amp;row=21&amp;page=91</t>
  </si>
  <si>
    <t>https://journaliststudio.google.com/pinpoint-extract/preview?collection=b4db47ccc48595a5&amp;job=895e8f817fd773a3&amp;docid=46e4f917ea989928_b4db47ccc48595a5&amp;schid=8001&amp;row=22&amp;page=91</t>
  </si>
  <si>
    <t>https://journaliststudio.google.com/pinpoint-extract/preview?collection=b4db47ccc48595a5&amp;job=895e8f817fd773a3&amp;docid=46e4f917ea989928_b4db47ccc48595a5&amp;schid=8001&amp;row=23&amp;page=91</t>
  </si>
  <si>
    <t>https://journaliststudio.google.com/pinpoint-extract/preview?collection=b4db47ccc48595a5&amp;job=895e8f817fd773a3&amp;docid=46e4f917ea989928_b4db47ccc48595a5&amp;schid=8001&amp;row=24&amp;page=91</t>
  </si>
  <si>
    <t>https://journaliststudio.google.com/pinpoint-extract/preview?collection=b4db47ccc48595a5&amp;job=895e8f817fd773a3&amp;docid=46e4f917ea989928_b4db47ccc48595a5&amp;schid=8001&amp;row=25&amp;page=91</t>
  </si>
  <si>
    <t>https://journaliststudio.google.com/pinpoint-extract/preview?collection=b4db47ccc48595a5&amp;job=895e8f817fd773a3&amp;docid=46e4f917ea989928_b4db47ccc48595a5&amp;schid=8001&amp;row=26&amp;page=91</t>
  </si>
  <si>
    <t>https://journaliststudio.google.com/pinpoint-extract/preview?collection=b4db47ccc48595a5&amp;job=895e8f817fd773a3&amp;docid=46e4f917ea989928_b4db47ccc48595a5&amp;schid=8001&amp;row=27&amp;page=91</t>
  </si>
  <si>
    <t>https://journaliststudio.google.com/pinpoint-extract/preview?collection=b4db47ccc48595a5&amp;job=895e8f817fd773a3&amp;docid=46e4f917ea989928_b4db47ccc48595a5&amp;schid=8001&amp;row=28&amp;page=91</t>
  </si>
  <si>
    <t>https://journaliststudio.google.com/pinpoint-extract/preview?collection=b4db47ccc48595a5&amp;job=895e8f817fd773a3&amp;docid=46e4f917ea989928_b4db47ccc48595a5&amp;schid=8001&amp;row=29&amp;page=91</t>
  </si>
  <si>
    <t>https://journaliststudio.google.com/pinpoint-extract/preview?collection=b4db47ccc48595a5&amp;job=895e8f817fd773a3&amp;docid=46e4f917ea989928_b4db47ccc48595a5&amp;schid=8001&amp;row=30&amp;page=91</t>
  </si>
  <si>
    <t>https://journaliststudio.google.com/pinpoint-extract/preview?collection=b4db47ccc48595a5&amp;job=895e8f817fd773a3&amp;docid=46e4f917ea989928_b4db47ccc48595a5&amp;schid=8001&amp;row=31&amp;page=91</t>
  </si>
  <si>
    <t>https://journaliststudio.google.com/pinpoint-extract/preview?collection=b4db47ccc48595a5&amp;job=895e8f817fd773a3&amp;docid=46e4f917ea989928_b4db47ccc48595a5&amp;schid=8001&amp;row=32&amp;page=91</t>
  </si>
  <si>
    <t>https://journaliststudio.google.com/pinpoint-extract/preview?collection=b4db47ccc48595a5&amp;job=895e8f817fd773a3&amp;docid=46e4f917ea989928_b4db47ccc48595a5&amp;schid=8001&amp;row=33&amp;page=91</t>
  </si>
  <si>
    <t>https://journaliststudio.google.com/pinpoint-extract/preview?collection=b4db47ccc48595a5&amp;job=895e8f817fd773a3&amp;docid=46e4f917ea989928_b4db47ccc48595a5&amp;schid=8001&amp;row=34&amp;page=91</t>
  </si>
  <si>
    <t>https://journaliststudio.google.com/pinpoint-extract/preview?collection=b4db47ccc48595a5&amp;job=895e8f817fd773a3&amp;docid=46e4f917ea989928_b4db47ccc48595a5&amp;schid=8001&amp;row=35&amp;page=91</t>
  </si>
  <si>
    <t>https://journaliststudio.google.com/pinpoint-extract/preview?collection=b4db47ccc48595a5&amp;job=895e8f817fd773a3&amp;docid=46e4f917ea989928_b4db47ccc48595a5&amp;schid=8001&amp;row=36&amp;page=91</t>
  </si>
  <si>
    <t>https://journaliststudio.google.com/pinpoint-extract/preview?collection=b4db47ccc48595a5&amp;job=5df64667a0f8c9c&amp;docid=46e4f917ea989928_b4db47ccc48595a5&amp;schid=8014&amp;row=0&amp;page=92</t>
  </si>
  <si>
    <t>https://journaliststudio.google.com/pinpoint-extract/preview?collection=b4db47ccc48595a5&amp;job=5df64667a0f8c9c&amp;docid=46e4f917ea989928_b4db47ccc48595a5&amp;schid=8014&amp;row=1&amp;page=92</t>
  </si>
  <si>
    <t>https://journaliststudio.google.com/pinpoint-extract/preview?collection=b4db47ccc48595a5&amp;job=5df64667a0f8c9c&amp;docid=46e4f917ea989928_b4db47ccc48595a5&amp;schid=8014&amp;row=2&amp;page=92</t>
  </si>
  <si>
    <t>https://journaliststudio.google.com/pinpoint-extract/preview?collection=b4db47ccc48595a5&amp;job=5df64667a0f8c9c&amp;docid=46e4f917ea989928_b4db47ccc48595a5&amp;schid=8014&amp;row=3&amp;page=92</t>
  </si>
  <si>
    <t>https://journaliststudio.google.com/pinpoint-extract/preview?collection=b4db47ccc48595a5&amp;job=5df64667a0f8c9c&amp;docid=46e4f917ea989928_b4db47ccc48595a5&amp;schid=8014&amp;row=4&amp;page=92</t>
  </si>
  <si>
    <t>https://journaliststudio.google.com/pinpoint-extract/preview?collection=b4db47ccc48595a5&amp;job=5df64667a0f8c9c&amp;docid=46e4f917ea989928_b4db47ccc48595a5&amp;schid=8014&amp;row=5&amp;page=92</t>
  </si>
  <si>
    <t>https://journaliststudio.google.com/pinpoint-extract/preview?collection=b4db47ccc48595a5&amp;job=5df64667a0f8c9c&amp;docid=46e4f917ea989928_b4db47ccc48595a5&amp;schid=8014&amp;row=6&amp;page=92</t>
  </si>
  <si>
    <t>https://journaliststudio.google.com/pinpoint-extract/preview?collection=b4db47ccc48595a5&amp;job=5df64667a0f8c9c&amp;docid=46e4f917ea989928_b4db47ccc48595a5&amp;schid=8014&amp;row=7&amp;page=92</t>
  </si>
  <si>
    <t>https://journaliststudio.google.com/pinpoint-extract/preview?collection=b4db47ccc48595a5&amp;job=5df64667a0f8c9c&amp;docid=46e4f917ea989928_b4db47ccc48595a5&amp;schid=8014&amp;row=8&amp;page=92</t>
  </si>
  <si>
    <t>https://journaliststudio.google.com/pinpoint-extract/preview?collection=b4db47ccc48595a5&amp;job=5df64667a0f8c9c&amp;docid=46e4f917ea989928_b4db47ccc48595a5&amp;schid=8014&amp;row=9&amp;page=92</t>
  </si>
  <si>
    <t>https://journaliststudio.google.com/pinpoint-extract/preview?collection=b4db47ccc48595a5&amp;job=5df64667a0f8c9c&amp;docid=46e4f917ea989928_b4db47ccc48595a5&amp;schid=8014&amp;row=10&amp;page=92</t>
  </si>
  <si>
    <t>https://journaliststudio.google.com/pinpoint-extract/preview?collection=b4db47ccc48595a5&amp;job=5df64667a0f8c9c&amp;docid=46e4f917ea989928_b4db47ccc48595a5&amp;schid=8014&amp;row=11&amp;page=92</t>
  </si>
  <si>
    <t>https://journaliststudio.google.com/pinpoint-extract/preview?collection=b4db47ccc48595a5&amp;job=5df64667a0f8c9c&amp;docid=46e4f917ea989928_b4db47ccc48595a5&amp;schid=8014&amp;row=12&amp;page=92</t>
  </si>
  <si>
    <t>https://journaliststudio.google.com/pinpoint-extract/preview?collection=b4db47ccc48595a5&amp;job=5df64667a0f8c9c&amp;docid=46e4f917ea989928_b4db47ccc48595a5&amp;schid=8014&amp;row=13&amp;page=92</t>
  </si>
  <si>
    <t>https://journaliststudio.google.com/pinpoint-extract/preview?collection=b4db47ccc48595a5&amp;job=5df64667a0f8c9c&amp;docid=46e4f917ea989928_b4db47ccc48595a5&amp;schid=8014&amp;row=14&amp;page=92</t>
  </si>
  <si>
    <t>https://journaliststudio.google.com/pinpoint-extract/preview?collection=b4db47ccc48595a5&amp;job=5df64667a0f8c9c&amp;docid=46e4f917ea989928_b4db47ccc48595a5&amp;schid=8014&amp;row=15&amp;page=92</t>
  </si>
  <si>
    <r>
      <rPr>
        <b/>
        <sz val="11"/>
        <color rgb="FF202124"/>
        <rFont val="Roboto, sans-serif"/>
      </rPr>
      <t>Gross Estimates</t>
    </r>
  </si>
  <si>
    <r>
      <rPr>
        <b/>
        <sz val="11"/>
        <color rgb="FF202124"/>
        <rFont val="Roboto, sans-serif"/>
      </rPr>
      <t>Revised Gross Estimates</t>
    </r>
  </si>
  <si>
    <r>
      <rPr>
        <b/>
        <sz val="11"/>
        <color rgb="FF202124"/>
        <rFont val="Roboto, sans-serif"/>
      </rPr>
      <t>Net Estimates</t>
    </r>
  </si>
  <si>
    <r>
      <rPr>
        <b/>
        <sz val="11"/>
        <color rgb="FF202124"/>
        <rFont val="Roboto, sans-serif"/>
      </rPr>
      <t>Exchequer Issues</t>
    </r>
  </si>
  <si>
    <r>
      <rPr>
        <b/>
        <sz val="11"/>
        <color rgb="FF202124"/>
        <rFont val="Roboto, sans-serif"/>
      </rPr>
      <t>Expenditure</t>
    </r>
  </si>
  <si>
    <t>Links</t>
  </si>
  <si>
    <t>https://journaliststudio.google.com/pinpoint-extract/preview?collection=b4db47ccc48595a5&amp;job=18497e5e1665fd83&amp;docid=8884d0508c167a2_b4db47ccc48595a5&amp;schid=8001&amp;row=0&amp;page=62</t>
  </si>
  <si>
    <t>https://journaliststudio.google.com/pinpoint-extract/preview?collection=b4db47ccc48595a5&amp;job=18497e5e1665fd83&amp;docid=8884d0508c167a2_b4db47ccc48595a5&amp;schid=8001&amp;row=1&amp;page=62</t>
  </si>
  <si>
    <t>https://journaliststudio.google.com/pinpoint-extract/preview?collection=b4db47ccc48595a5&amp;job=18497e5e1665fd83&amp;docid=8884d0508c167a2_b4db47ccc48595a5&amp;schid=8001&amp;row=2&amp;page=62</t>
  </si>
  <si>
    <t>https://journaliststudio.google.com/pinpoint-extract/preview?collection=b4db47ccc48595a5&amp;job=18497e5e1665fd83&amp;docid=8884d0508c167a2_b4db47ccc48595a5&amp;schid=8001&amp;row=3&amp;page=62</t>
  </si>
  <si>
    <t>https://journaliststudio.google.com/pinpoint-extract/preview?collection=b4db47ccc48595a5&amp;job=18497e5e1665fd83&amp;docid=8884d0508c167a2_b4db47ccc48595a5&amp;schid=8001&amp;row=4&amp;page=62</t>
  </si>
  <si>
    <t>https://journaliststudio.google.com/pinpoint-extract/preview?collection=b4db47ccc48595a5&amp;job=18497e5e1665fd83&amp;docid=8884d0508c167a2_b4db47ccc48595a5&amp;schid=8001&amp;row=5&amp;page=62</t>
  </si>
  <si>
    <t>https://journaliststudio.google.com/pinpoint-extract/preview?collection=b4db47ccc48595a5&amp;job=18497e5e1665fd83&amp;docid=8884d0508c167a2_b4db47ccc48595a5&amp;schid=8001&amp;row=6&amp;page=62</t>
  </si>
  <si>
    <t>https://journaliststudio.google.com/pinpoint-extract/preview?collection=b4db47ccc48595a5&amp;job=18497e5e1665fd83&amp;docid=8884d0508c167a2_b4db47ccc48595a5&amp;schid=8001&amp;row=7&amp;page=62</t>
  </si>
  <si>
    <t>https://journaliststudio.google.com/pinpoint-extract/preview?collection=b4db47ccc48595a5&amp;job=18497e5e1665fd83&amp;docid=8884d0508c167a2_b4db47ccc48595a5&amp;schid=8001&amp;row=8&amp;page=62</t>
  </si>
  <si>
    <t>https://journaliststudio.google.com/pinpoint-extract/preview?collection=b4db47ccc48595a5&amp;job=18497e5e1665fd83&amp;docid=8884d0508c167a2_b4db47ccc48595a5&amp;schid=8001&amp;row=9&amp;page=62</t>
  </si>
  <si>
    <t>https://journaliststudio.google.com/pinpoint-extract/preview?collection=b4db47ccc48595a5&amp;job=18497e5e1665fd83&amp;docid=8884d0508c167a2_b4db47ccc48595a5&amp;schid=8001&amp;row=10&amp;page=62</t>
  </si>
  <si>
    <t>https://journaliststudio.google.com/pinpoint-extract/preview?collection=b4db47ccc48595a5&amp;job=18497e5e1665fd83&amp;docid=8884d0508c167a2_b4db47ccc48595a5&amp;schid=8001&amp;row=11&amp;page=62</t>
  </si>
  <si>
    <t>https://journaliststudio.google.com/pinpoint-extract/preview?collection=b4db47ccc48595a5&amp;job=18497e5e1665fd83&amp;docid=8884d0508c167a2_b4db47ccc48595a5&amp;schid=8001&amp;row=12&amp;page=63</t>
  </si>
  <si>
    <t>https://journaliststudio.google.com/pinpoint-extract/preview?collection=b4db47ccc48595a5&amp;job=18497e5e1665fd83&amp;docid=8884d0508c167a2_b4db47ccc48595a5&amp;schid=8001&amp;row=13&amp;page=63</t>
  </si>
  <si>
    <t>https://journaliststudio.google.com/pinpoint-extract/preview?collection=b4db47ccc48595a5&amp;job=18497e5e1665fd83&amp;docid=8884d0508c167a2_b4db47ccc48595a5&amp;schid=8001&amp;row=14&amp;page=63</t>
  </si>
  <si>
    <t>https://journaliststudio.google.com/pinpoint-extract/preview?collection=b4db47ccc48595a5&amp;job=18497e5e1665fd83&amp;docid=8884d0508c167a2_b4db47ccc48595a5&amp;schid=8001&amp;row=15&amp;page=63</t>
  </si>
  <si>
    <t>https://journaliststudio.google.com/pinpoint-extract/preview?collection=b4db47ccc48595a5&amp;job=18497e5e1665fd83&amp;docid=8884d0508c167a2_b4db47ccc48595a5&amp;schid=8001&amp;row=16&amp;page=63</t>
  </si>
  <si>
    <t>https://journaliststudio.google.com/pinpoint-extract/preview?collection=b4db47ccc48595a5&amp;job=18497e5e1665fd83&amp;docid=8884d0508c167a2_b4db47ccc48595a5&amp;schid=8001&amp;row=17&amp;page=63</t>
  </si>
  <si>
    <t>https://journaliststudio.google.com/pinpoint-extract/preview?collection=b4db47ccc48595a5&amp;job=18497e5e1665fd83&amp;docid=8884d0508c167a2_b4db47ccc48595a5&amp;schid=8001&amp;row=18&amp;page=63</t>
  </si>
  <si>
    <t>https://journaliststudio.google.com/pinpoint-extract/preview?collection=b4db47ccc48595a5&amp;job=18497e5e1665fd83&amp;docid=8884d0508c167a2_b4db47ccc48595a5&amp;schid=8001&amp;row=19&amp;page=63</t>
  </si>
  <si>
    <t>https://journaliststudio.google.com/pinpoint-extract/preview?collection=b4db47ccc48595a5&amp;job=18497e5e1665fd83&amp;docid=8884d0508c167a2_b4db47ccc48595a5&amp;schid=8001&amp;row=20&amp;page=63</t>
  </si>
  <si>
    <t>https://journaliststudio.google.com/pinpoint-extract/preview?collection=b4db47ccc48595a5&amp;job=18497e5e1665fd83&amp;docid=8884d0508c167a2_b4db47ccc48595a5&amp;schid=8001&amp;row=21&amp;page=63</t>
  </si>
  <si>
    <t>https://journaliststudio.google.com/pinpoint-extract/preview?collection=b4db47ccc48595a5&amp;job=18497e5e1665fd83&amp;docid=8884d0508c167a2_b4db47ccc48595a5&amp;schid=8001&amp;row=22&amp;page=63</t>
  </si>
  <si>
    <t>https://journaliststudio.google.com/pinpoint-extract/preview?collection=b4db47ccc48595a5&amp;job=18497e5e1665fd83&amp;docid=8884d0508c167a2_b4db47ccc48595a5&amp;schid=8001&amp;row=23&amp;page=63</t>
  </si>
  <si>
    <t>https://journaliststudio.google.com/pinpoint-extract/preview?collection=b4db47ccc48595a5&amp;job=18497e5e1665fd83&amp;docid=8884d0508c167a2_b4db47ccc48595a5&amp;schid=8001&amp;row=24&amp;page=63</t>
  </si>
  <si>
    <t>https://journaliststudio.google.com/pinpoint-extract/preview?collection=b4db47ccc48595a5&amp;job=18497e5e1665fd83&amp;docid=8884d0508c167a2_b4db47ccc48595a5&amp;schid=8001&amp;row=25&amp;page=63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</si>
</sst>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b/>
      <u/>
      <sz val="11"/>
      <color rgb="FF000000"/>
      <name val="Calibri"/>
    </font>
    <font>
      <u/>
      <sz val="11"/>
      <color rgb="FF0000FF"/>
      <name val="Calibri"/>
    </font>
    <font>
      <sz val="11"/>
      <color theme="5"/>
      <name val="Calibri"/>
    </font>
    <font>
      <b/>
      <sz val="11"/>
      <color theme="5"/>
      <name val="Calibri"/>
    </font>
    <font>
      <u/>
      <sz val="11"/>
      <color rgb="FF000000"/>
      <name val="Calibri"/>
    </font>
    <font>
      <b/>
      <u/>
      <sz val="11"/>
      <color rgb="FF000000"/>
      <name val="Calibri"/>
    </font>
    <font>
      <sz val="10"/>
      <color theme="5"/>
      <name val="Arial"/>
      <scheme val="minor"/>
    </font>
    <font>
      <b/>
      <sz val="11"/>
      <color rgb="FF202124"/>
      <name val="Roboto"/>
    </font>
    <font>
      <sz val="11"/>
      <color rgb="FF202124"/>
      <name val="Roboto, sans-serif"/>
    </font>
    <font>
      <b/>
      <sz val="11"/>
      <color rgb="FF202124"/>
      <name val="Roboto, sans-serif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4" fontId="1" fillId="2" borderId="0" xfId="0" applyNumberFormat="1" applyFont="1" applyFill="1"/>
    <xf numFmtId="4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 wrapText="1"/>
    </xf>
    <xf numFmtId="4" fontId="1" fillId="2" borderId="0" xfId="0" applyNumberFormat="1" applyFont="1" applyFill="1" applyAlignment="1">
      <alignment wrapText="1"/>
    </xf>
    <xf numFmtId="0" fontId="2" fillId="2" borderId="0" xfId="0" applyFont="1" applyFill="1"/>
    <xf numFmtId="4" fontId="1" fillId="2" borderId="0" xfId="0" applyNumberFormat="1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/>
    </xf>
    <xf numFmtId="4" fontId="3" fillId="0" borderId="0" xfId="0" applyNumberFormat="1" applyFont="1" applyAlignment="1">
      <alignment wrapText="1"/>
    </xf>
    <xf numFmtId="4" fontId="3" fillId="0" borderId="0" xfId="0" applyNumberFormat="1" applyFont="1"/>
    <xf numFmtId="4" fontId="1" fillId="0" borderId="0" xfId="0" applyNumberFormat="1" applyFont="1"/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2" fillId="0" borderId="0" xfId="0" applyNumberFormat="1" applyFont="1"/>
    <xf numFmtId="4" fontId="4" fillId="0" borderId="0" xfId="0" applyNumberFormat="1" applyFont="1"/>
    <xf numFmtId="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right"/>
    </xf>
    <xf numFmtId="4" fontId="5" fillId="0" borderId="0" xfId="0" applyNumberFormat="1" applyFont="1"/>
    <xf numFmtId="4" fontId="4" fillId="0" borderId="0" xfId="0" applyNumberFormat="1" applyFont="1" applyAlignment="1">
      <alignment wrapText="1"/>
    </xf>
    <xf numFmtId="4" fontId="6" fillId="0" borderId="0" xfId="0" applyNumberFormat="1" applyFont="1"/>
    <xf numFmtId="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center"/>
    </xf>
    <xf numFmtId="4" fontId="8" fillId="0" borderId="0" xfId="0" applyNumberFormat="1" applyFont="1"/>
    <xf numFmtId="0" fontId="2" fillId="0" borderId="0" xfId="0" applyFont="1"/>
    <xf numFmtId="4" fontId="3" fillId="3" borderId="0" xfId="0" applyNumberFormat="1" applyFont="1" applyFill="1" applyAlignment="1">
      <alignment horizontal="right"/>
    </xf>
    <xf numFmtId="4" fontId="9" fillId="0" borderId="0" xfId="0" applyNumberFormat="1" applyFont="1"/>
    <xf numFmtId="4" fontId="10" fillId="0" borderId="0" xfId="0" applyNumberFormat="1" applyFont="1"/>
    <xf numFmtId="4" fontId="11" fillId="0" borderId="0" xfId="0" applyNumberFormat="1" applyFont="1"/>
    <xf numFmtId="0" fontId="1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3" fillId="0" borderId="0" xfId="0" applyFont="1"/>
    <xf numFmtId="0" fontId="3" fillId="4" borderId="0" xfId="0" applyFont="1" applyFill="1" applyAlignment="1">
      <alignment horizontal="left"/>
    </xf>
    <xf numFmtId="3" fontId="3" fillId="4" borderId="0" xfId="0" applyNumberFormat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1" fillId="2" borderId="0" xfId="0" applyFont="1" applyFill="1"/>
    <xf numFmtId="0" fontId="14" fillId="0" borderId="0" xfId="0" applyFont="1"/>
    <xf numFmtId="0" fontId="12" fillId="0" borderId="0" xfId="0" applyFont="1"/>
    <xf numFmtId="0" fontId="15" fillId="0" borderId="0" xfId="0" applyFont="1"/>
    <xf numFmtId="4" fontId="12" fillId="0" borderId="0" xfId="0" applyNumberFormat="1" applyFont="1" applyAlignment="1">
      <alignment horizontal="right"/>
    </xf>
    <xf numFmtId="11" fontId="12" fillId="0" borderId="0" xfId="0" applyNumberFormat="1" applyFont="1" applyAlignment="1">
      <alignment horizontal="right"/>
    </xf>
    <xf numFmtId="3" fontId="3" fillId="0" borderId="0" xfId="0" applyNumberFormat="1" applyFont="1"/>
    <xf numFmtId="4" fontId="12" fillId="0" borderId="0" xfId="0" applyNumberFormat="1" applyFont="1"/>
    <xf numFmtId="0" fontId="1" fillId="0" borderId="0" xfId="0" applyFont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12" fillId="4" borderId="0" xfId="0" applyFont="1" applyFill="1"/>
    <xf numFmtId="3" fontId="13" fillId="4" borderId="0" xfId="0" applyNumberFormat="1" applyFont="1" applyFill="1" applyAlignment="1">
      <alignment horizontal="right"/>
    </xf>
    <xf numFmtId="3" fontId="16" fillId="4" borderId="0" xfId="0" applyNumberFormat="1" applyFont="1" applyFill="1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3" fontId="16" fillId="0" borderId="0" xfId="0" applyNumberFormat="1" applyFont="1"/>
    <xf numFmtId="0" fontId="17" fillId="2" borderId="0" xfId="0" applyFont="1" applyFill="1" applyAlignment="1">
      <alignment horizontal="left"/>
    </xf>
    <xf numFmtId="0" fontId="1" fillId="2" borderId="0" xfId="0" applyFont="1" applyFill="1" applyAlignment="1"/>
    <xf numFmtId="0" fontId="0" fillId="0" borderId="0" xfId="0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ournaliststudio.google.com/pinpoint-extract/preview?collection=524daaefa335d538&amp;job=a98fe27898c7f9dc&amp;docid=1244364dcff36f7f_524daaefa335d538&amp;schid=8001&amp;row=48&amp;page=42" TargetMode="External"/><Relationship Id="rId21" Type="http://schemas.openxmlformats.org/officeDocument/2006/relationships/hyperlink" Target="https://journaliststudio.google.com/pinpoint-extract/preview?collection=524daaefa335d538&amp;job=da2bc2801cc717c7&amp;docid=3a84e2afec62e521_524daaefa335d538&amp;schid=8001&amp;row=20&amp;page=46" TargetMode="External"/><Relationship Id="rId324" Type="http://schemas.openxmlformats.org/officeDocument/2006/relationships/hyperlink" Target="https://journaliststudio.google.com/pinpoint-extract/preview?collection=94f5d562231d4dd6&amp;job=73925388c8ca2ad8&amp;docid=bb843fadc6314b6e_94f5d562231d4dd6&amp;schid=8030&amp;row=18&amp;page=28" TargetMode="External"/><Relationship Id="rId531" Type="http://schemas.openxmlformats.org/officeDocument/2006/relationships/hyperlink" Target="https://journaliststudio.google.com/pinpoint-extract/preview?collection=b4db47ccc48595a5&amp;job=7e40ac8cfc4579aa&amp;docid=8884d0508c167a2_b4db47ccc48595a5&amp;schid=8001&amp;row=15&amp;page=30" TargetMode="External"/><Relationship Id="rId170" Type="http://schemas.openxmlformats.org/officeDocument/2006/relationships/hyperlink" Target="https://journaliststudio.google.com/pinpoint-extract/preview?collection=524daaefa335d538&amp;job=7dc4c4e6adb9e99a&amp;docid=1f0f8b47c49b27c2_524daaefa335d538&amp;schid=8001&amp;row=37&amp;page=39" TargetMode="External"/><Relationship Id="rId268" Type="http://schemas.openxmlformats.org/officeDocument/2006/relationships/hyperlink" Target="https://journaliststudio.google.com/pinpoint-extract/preview?collection=59c534ba70c0b75b&amp;job=4cd2f64341a72b0b&amp;docid=d5c6addb973fc20e_59c534ba70c0b75b&amp;schid=8001&amp;row=59&amp;page=40" TargetMode="External"/><Relationship Id="rId475" Type="http://schemas.openxmlformats.org/officeDocument/2006/relationships/hyperlink" Target="https://journaliststudio.google.com/pinpoint-extract/preview?collection=b4db47ccc48595a5&amp;job=effa8401566aaec6&amp;docid=46e4f917ea989928_b4db47ccc48595a5&amp;schid=8012&amp;row=9&amp;page=42" TargetMode="External"/><Relationship Id="rId32" Type="http://schemas.openxmlformats.org/officeDocument/2006/relationships/hyperlink" Target="https://journaliststudio.google.com/pinpoint-extract/preview?collection=524daaefa335d538&amp;job=da2bc2801cc717c7&amp;docid=3a84e2afec62e521_524daaefa335d538&amp;schid=8001&amp;row=31&amp;page=47" TargetMode="External"/><Relationship Id="rId128" Type="http://schemas.openxmlformats.org/officeDocument/2006/relationships/hyperlink" Target="https://journaliststudio.google.com/pinpoint-extract/preview?collection=524daaefa335d538&amp;job=a98fe27898c7f9dc&amp;docid=1244364dcff36f7f_524daaefa335d538&amp;schid=8001&amp;row=59&amp;page=43" TargetMode="External"/><Relationship Id="rId335" Type="http://schemas.openxmlformats.org/officeDocument/2006/relationships/hyperlink" Target="https://journaliststudio.google.com/pinpoint-extract/preview?collection=94f5d562231d4dd6&amp;job=73925388c8ca2ad8&amp;docid=bb843fadc6314b6e_94f5d562231d4dd6&amp;schid=8030&amp;row=29&amp;page=29" TargetMode="External"/><Relationship Id="rId542" Type="http://schemas.openxmlformats.org/officeDocument/2006/relationships/hyperlink" Target="https://journaliststudio.google.com/pinpoint-extract/preview?collection=b4db47ccc48595a5&amp;job=7e40ac8cfc4579aa&amp;docid=8884d0508c167a2_b4db47ccc48595a5&amp;schid=8001&amp;row=26&amp;page=31" TargetMode="External"/><Relationship Id="rId181" Type="http://schemas.openxmlformats.org/officeDocument/2006/relationships/hyperlink" Target="https://journaliststudio.google.com/pinpoint-extract/preview?collection=524daaefa335d538&amp;job=7dc4c4e6adb9e99a&amp;docid=1f0f8b47c49b27c2_524daaefa335d538&amp;schid=8001&amp;row=48&amp;page=39" TargetMode="External"/><Relationship Id="rId402" Type="http://schemas.openxmlformats.org/officeDocument/2006/relationships/hyperlink" Target="https://journaliststudio.google.com/pinpoint-extract/preview?collection=59c534ba70c0b75b&amp;job=4cd2f64341a72b0b&amp;docid=f9a22023735ef321_59c534ba70c0b75b&amp;schid=8001&amp;row=10&amp;page=29" TargetMode="External"/><Relationship Id="rId279" Type="http://schemas.openxmlformats.org/officeDocument/2006/relationships/hyperlink" Target="https://journaliststudio.google.com/pinpoint-extract/preview?collection=59c534ba70c0b75b&amp;job=4cd2f64341a72b0b&amp;docid=d5c6addb973fc20e_59c534ba70c0b75b&amp;schid=8001&amp;row=70&amp;page=41" TargetMode="External"/><Relationship Id="rId486" Type="http://schemas.openxmlformats.org/officeDocument/2006/relationships/hyperlink" Target="https://journaliststudio.google.com/pinpoint-extract/preview?collection=b4db47ccc48595a5&amp;job=8ce95af7bbe3ae32&amp;docid=46e4f917ea989928_b4db47ccc48595a5&amp;schid=8033&amp;row=2&amp;page=43" TargetMode="External"/><Relationship Id="rId43" Type="http://schemas.openxmlformats.org/officeDocument/2006/relationships/hyperlink" Target="https://journaliststudio.google.com/pinpoint-extract/preview?collection=524daaefa335d538&amp;job=da2bc2801cc717c7&amp;docid=3a84e2afec62e521_524daaefa335d538&amp;schid=8001&amp;row=42&amp;page=48" TargetMode="External"/><Relationship Id="rId139" Type="http://schemas.openxmlformats.org/officeDocument/2006/relationships/hyperlink" Target="https://journaliststudio.google.com/pinpoint-extract/preview?collection=524daaefa335d538&amp;job=7dc4c4e6adb9e99a&amp;docid=1f0f8b47c49b27c2_524daaefa335d538&amp;schid=8001&amp;row=4&amp;page=38" TargetMode="External"/><Relationship Id="rId346" Type="http://schemas.openxmlformats.org/officeDocument/2006/relationships/hyperlink" Target="https://journaliststudio.google.com/pinpoint-extract/preview?collection=94f5d562231d4dd6&amp;job=73925388c8ca2ad8&amp;docid=bb843fadc6314b6e_94f5d562231d4dd6&amp;schid=8030&amp;row=40&amp;page=29" TargetMode="External"/><Relationship Id="rId553" Type="http://schemas.openxmlformats.org/officeDocument/2006/relationships/hyperlink" Target="https://journaliststudio.google.com/pinpoint-extract/preview?collection=b4db47ccc48595a5&amp;job=7e40ac8cfc4579aa&amp;docid=8884d0508c167a2_b4db47ccc48595a5&amp;schid=8001&amp;row=37&amp;page=31" TargetMode="External"/><Relationship Id="rId192" Type="http://schemas.openxmlformats.org/officeDocument/2006/relationships/hyperlink" Target="https://journaliststudio.google.com/pinpoint-extract/preview?collection=524daaefa335d538&amp;job=7dc4c4e6adb9e99a&amp;docid=1f0f8b47c49b27c2_524daaefa335d538&amp;schid=8001&amp;row=61&amp;page=40" TargetMode="External"/><Relationship Id="rId206" Type="http://schemas.openxmlformats.org/officeDocument/2006/relationships/hyperlink" Target="https://journaliststudio.google.com/pinpoint-extract/preview?collection=524daaefa335d538&amp;job=7dc4c4e6adb9e99a&amp;docid=1f0f8b47c49b27c2_524daaefa335d538&amp;schid=8001&amp;row=75&amp;page=40" TargetMode="External"/><Relationship Id="rId413" Type="http://schemas.openxmlformats.org/officeDocument/2006/relationships/hyperlink" Target="https://journaliststudio.google.com/pinpoint-extract/preview?collection=59c534ba70c0b75b&amp;job=4cd2f64341a72b0b&amp;docid=f9a22023735ef321_59c534ba70c0b75b&amp;schid=8001&amp;row=21&amp;page=30" TargetMode="External"/><Relationship Id="rId497" Type="http://schemas.openxmlformats.org/officeDocument/2006/relationships/hyperlink" Target="https://journaliststudio.google.com/pinpoint-extract/preview?collection=b4db47ccc48595a5&amp;job=8ce95af7bbe3ae32&amp;docid=46e4f917ea989928_b4db47ccc48595a5&amp;schid=8033&amp;row=13&amp;page=43" TargetMode="External"/><Relationship Id="rId357" Type="http://schemas.openxmlformats.org/officeDocument/2006/relationships/hyperlink" Target="https://journaliststudio.google.com/pinpoint-extract/preview?collection=59c534ba70c0b75b&amp;job=7d986fe353a45a34&amp;docid=f9a22023735ef321_59c534ba70c0b75b&amp;schid=8016&amp;row=8&amp;page=26" TargetMode="External"/><Relationship Id="rId54" Type="http://schemas.openxmlformats.org/officeDocument/2006/relationships/hyperlink" Target="https://journaliststudio.google.com/pinpoint-extract/preview?collection=524daaefa335d538&amp;job=da2bc2801cc717c7&amp;docid=3a84e2afec62e521_524daaefa335d538&amp;schid=8001&amp;row=53&amp;page=49" TargetMode="External"/><Relationship Id="rId217" Type="http://schemas.openxmlformats.org/officeDocument/2006/relationships/hyperlink" Target="https://journaliststudio.google.com/pinpoint-extract/preview?collection=59c534ba70c0b75b&amp;job=4cd2f64341a72b0b&amp;docid=d5c6addb973fc20e_59c534ba70c0b75b&amp;schid=8001&amp;row=8&amp;page=38" TargetMode="External"/><Relationship Id="rId259" Type="http://schemas.openxmlformats.org/officeDocument/2006/relationships/hyperlink" Target="https://journaliststudio.google.com/pinpoint-extract/preview?collection=59c534ba70c0b75b&amp;job=4cd2f64341a72b0b&amp;docid=d5c6addb973fc20e_59c534ba70c0b75b&amp;schid=8001&amp;row=50&amp;page=40" TargetMode="External"/><Relationship Id="rId424" Type="http://schemas.openxmlformats.org/officeDocument/2006/relationships/hyperlink" Target="https://journaliststudio.google.com/pinpoint-extract/preview?collection=b4db47ccc48595a5&amp;job=1feec7ab74957524&amp;docid=252734efe751c385_b4db47ccc48595a5&amp;schid=8042&amp;row=10&amp;page=29" TargetMode="External"/><Relationship Id="rId466" Type="http://schemas.openxmlformats.org/officeDocument/2006/relationships/hyperlink" Target="https://journaliststudio.google.com/pinpoint-extract/preview?collection=b4db47ccc48595a5&amp;job=effa8401566aaec6&amp;docid=46e4f917ea989928_b4db47ccc48595a5&amp;schid=8012&amp;row=0&amp;page=42" TargetMode="External"/><Relationship Id="rId23" Type="http://schemas.openxmlformats.org/officeDocument/2006/relationships/hyperlink" Target="https://journaliststudio.google.com/pinpoint-extract/preview?collection=524daaefa335d538&amp;job=da2bc2801cc717c7&amp;docid=3a84e2afec62e521_524daaefa335d538&amp;schid=8001&amp;row=22&amp;page=46" TargetMode="External"/><Relationship Id="rId119" Type="http://schemas.openxmlformats.org/officeDocument/2006/relationships/hyperlink" Target="https://journaliststudio.google.com/pinpoint-extract/preview?collection=524daaefa335d538&amp;job=a98fe27898c7f9dc&amp;docid=1244364dcff36f7f_524daaefa335d538&amp;schid=8001&amp;row=50&amp;page=42" TargetMode="External"/><Relationship Id="rId270" Type="http://schemas.openxmlformats.org/officeDocument/2006/relationships/hyperlink" Target="https://journaliststudio.google.com/pinpoint-extract/preview?collection=59c534ba70c0b75b&amp;job=4cd2f64341a72b0b&amp;docid=d5c6addb973fc20e_59c534ba70c0b75b&amp;schid=8001&amp;row=61&amp;page=40" TargetMode="External"/><Relationship Id="rId326" Type="http://schemas.openxmlformats.org/officeDocument/2006/relationships/hyperlink" Target="https://journaliststudio.google.com/pinpoint-extract/preview?collection=94f5d562231d4dd6&amp;job=73925388c8ca2ad8&amp;docid=bb843fadc6314b6e_94f5d562231d4dd6&amp;schid=8030&amp;row=20&amp;page=28" TargetMode="External"/><Relationship Id="rId533" Type="http://schemas.openxmlformats.org/officeDocument/2006/relationships/hyperlink" Target="https://journaliststudio.google.com/pinpoint-extract/preview?collection=b4db47ccc48595a5&amp;job=7e40ac8cfc4579aa&amp;docid=8884d0508c167a2_b4db47ccc48595a5&amp;schid=8001&amp;row=17&amp;page=30" TargetMode="External"/><Relationship Id="rId65" Type="http://schemas.openxmlformats.org/officeDocument/2006/relationships/hyperlink" Target="https://journaliststudio.google.com/pinpoint-extract/preview?collection=524daaefa335d538&amp;job=da2bc2801cc717c7&amp;docid=3a84e2afec62e521_524daaefa335d538&amp;schid=8001&amp;row=64&amp;page=49" TargetMode="External"/><Relationship Id="rId130" Type="http://schemas.openxmlformats.org/officeDocument/2006/relationships/hyperlink" Target="https://journaliststudio.google.com/pinpoint-extract/preview?collection=524daaefa335d538&amp;job=a98fe27898c7f9dc&amp;docid=1244364dcff36f7f_524daaefa335d538&amp;schid=8001&amp;row=61&amp;page=43" TargetMode="External"/><Relationship Id="rId368" Type="http://schemas.openxmlformats.org/officeDocument/2006/relationships/hyperlink" Target="https://journaliststudio.google.com/pinpoint-extract/preview?collection=59c534ba70c0b75b&amp;job=35432234b21c40f6&amp;docid=f9a22023735ef321_59c534ba70c0b75b&amp;schid=8030&amp;row=4&amp;page=27" TargetMode="External"/><Relationship Id="rId172" Type="http://schemas.openxmlformats.org/officeDocument/2006/relationships/hyperlink" Target="https://journaliststudio.google.com/pinpoint-extract/preview?collection=524daaefa335d538&amp;job=7dc4c4e6adb9e99a&amp;docid=1f0f8b47c49b27c2_524daaefa335d538&amp;schid=8001&amp;row=39&amp;page=39" TargetMode="External"/><Relationship Id="rId228" Type="http://schemas.openxmlformats.org/officeDocument/2006/relationships/hyperlink" Target="https://journaliststudio.google.com/pinpoint-extract/preview?collection=59c534ba70c0b75b&amp;job=4cd2f64341a72b0b&amp;docid=d5c6addb973fc20e_59c534ba70c0b75b&amp;schid=8001&amp;row=19&amp;page=38" TargetMode="External"/><Relationship Id="rId435" Type="http://schemas.openxmlformats.org/officeDocument/2006/relationships/hyperlink" Target="https://journaliststudio.google.com/pinpoint-extract/preview?collection=b4db47ccc48595a5&amp;job=7bbb0f67809b104e&amp;docid=252734efe751c385_b4db47ccc48595a5&amp;schid=8081&amp;row=4&amp;page=30" TargetMode="External"/><Relationship Id="rId477" Type="http://schemas.openxmlformats.org/officeDocument/2006/relationships/hyperlink" Target="https://journaliststudio.google.com/pinpoint-extract/preview?collection=b4db47ccc48595a5&amp;job=effa8401566aaec6&amp;docid=46e4f917ea989928_b4db47ccc48595a5&amp;schid=8012&amp;row=11&amp;page=42" TargetMode="External"/><Relationship Id="rId281" Type="http://schemas.openxmlformats.org/officeDocument/2006/relationships/hyperlink" Target="https://journaliststudio.google.com/pinpoint-extract/preview?collection=59c534ba70c0b75b&amp;job=4cd2f64341a72b0b&amp;docid=d5c6addb973fc20e_59c534ba70c0b75b&amp;schid=8001&amp;row=72&amp;page=41" TargetMode="External"/><Relationship Id="rId337" Type="http://schemas.openxmlformats.org/officeDocument/2006/relationships/hyperlink" Target="https://journaliststudio.google.com/pinpoint-extract/preview?collection=94f5d562231d4dd6&amp;job=73925388c8ca2ad8&amp;docid=bb843fadc6314b6e_94f5d562231d4dd6&amp;schid=8030&amp;row=31&amp;page=29" TargetMode="External"/><Relationship Id="rId502" Type="http://schemas.openxmlformats.org/officeDocument/2006/relationships/hyperlink" Target="https://journaliststudio.google.com/pinpoint-extract/preview?collection=b4db47ccc48595a5&amp;job=b966e2a83e48c6be&amp;docid=46e4f917ea989928_b4db47ccc48595a5&amp;schid=8001&amp;row=0&amp;page=44" TargetMode="External"/><Relationship Id="rId34" Type="http://schemas.openxmlformats.org/officeDocument/2006/relationships/hyperlink" Target="https://journaliststudio.google.com/pinpoint-extract/preview?collection=524daaefa335d538&amp;job=da2bc2801cc717c7&amp;docid=3a84e2afec62e521_524daaefa335d538&amp;schid=8001&amp;row=33&amp;page=47" TargetMode="External"/><Relationship Id="rId76" Type="http://schemas.openxmlformats.org/officeDocument/2006/relationships/hyperlink" Target="https://journaliststudio.google.com/pinpoint-extract/preview?collection=524daaefa335d538&amp;job=a98fe27898c7f9dc&amp;docid=1244364dcff36f7f_524daaefa335d538&amp;schid=8001&amp;row=7&amp;page=40" TargetMode="External"/><Relationship Id="rId141" Type="http://schemas.openxmlformats.org/officeDocument/2006/relationships/hyperlink" Target="https://journaliststudio.google.com/pinpoint-extract/preview?collection=524daaefa335d538&amp;job=7dc4c4e6adb9e99a&amp;docid=1f0f8b47c49b27c2_524daaefa335d538&amp;schid=8001&amp;row=6&amp;page=38" TargetMode="External"/><Relationship Id="rId379" Type="http://schemas.openxmlformats.org/officeDocument/2006/relationships/hyperlink" Target="https://journaliststudio.google.com/pinpoint-extract/preview?collection=59c534ba70c0b75b&amp;job=f96ade24dc66657&amp;docid=f9a22023735ef321_59c534ba70c0b75b&amp;schid=8044&amp;row=2&amp;page=28" TargetMode="External"/><Relationship Id="rId544" Type="http://schemas.openxmlformats.org/officeDocument/2006/relationships/hyperlink" Target="https://journaliststudio.google.com/pinpoint-extract/preview?collection=b4db47ccc48595a5&amp;job=7e40ac8cfc4579aa&amp;docid=8884d0508c167a2_b4db47ccc48595a5&amp;schid=8001&amp;row=28&amp;page=31" TargetMode="External"/><Relationship Id="rId7" Type="http://schemas.openxmlformats.org/officeDocument/2006/relationships/hyperlink" Target="https://journaliststudio.google.com/pinpoint-extract/preview?collection=524daaefa335d538&amp;job=da2bc2801cc717c7&amp;docid=3a84e2afec62e521_524daaefa335d538&amp;schid=8001&amp;row=6&amp;page=45" TargetMode="External"/><Relationship Id="rId183" Type="http://schemas.openxmlformats.org/officeDocument/2006/relationships/hyperlink" Target="https://journaliststudio.google.com/pinpoint-extract/preview?collection=524daaefa335d538&amp;job=7dc4c4e6adb9e99a&amp;docid=1f0f8b47c49b27c2_524daaefa335d538&amp;schid=8001&amp;row=50&amp;page=39" TargetMode="External"/><Relationship Id="rId239" Type="http://schemas.openxmlformats.org/officeDocument/2006/relationships/hyperlink" Target="https://journaliststudio.google.com/pinpoint-extract/preview?collection=59c534ba70c0b75b&amp;job=4cd2f64341a72b0b&amp;docid=d5c6addb973fc20e_59c534ba70c0b75b&amp;schid=8001&amp;row=30&amp;page=39" TargetMode="External"/><Relationship Id="rId390" Type="http://schemas.openxmlformats.org/officeDocument/2006/relationships/hyperlink" Target="https://journaliststudio.google.com/pinpoint-extract/preview?collection=59c534ba70c0b75b&amp;job=f96ade24dc66657&amp;docid=f9a22023735ef321_59c534ba70c0b75b&amp;schid=8044&amp;row=13&amp;page=28" TargetMode="External"/><Relationship Id="rId404" Type="http://schemas.openxmlformats.org/officeDocument/2006/relationships/hyperlink" Target="https://journaliststudio.google.com/pinpoint-extract/preview?collection=59c534ba70c0b75b&amp;job=4cd2f64341a72b0b&amp;docid=f9a22023735ef321_59c534ba70c0b75b&amp;schid=8001&amp;row=12&amp;page=29" TargetMode="External"/><Relationship Id="rId446" Type="http://schemas.openxmlformats.org/officeDocument/2006/relationships/hyperlink" Target="https://journaliststudio.google.com/pinpoint-extract/preview?collection=b4db47ccc48595a5&amp;job=7bbb0f67809b104e&amp;docid=252734efe751c385_b4db47ccc48595a5&amp;schid=8081&amp;row=15&amp;page=30" TargetMode="External"/><Relationship Id="rId250" Type="http://schemas.openxmlformats.org/officeDocument/2006/relationships/hyperlink" Target="https://journaliststudio.google.com/pinpoint-extract/preview?collection=59c534ba70c0b75b&amp;job=4cd2f64341a72b0b&amp;docid=d5c6addb973fc20e_59c534ba70c0b75b&amp;schid=8001&amp;row=41&amp;page=39" TargetMode="External"/><Relationship Id="rId292" Type="http://schemas.openxmlformats.org/officeDocument/2006/relationships/hyperlink" Target="https://journaliststudio.google.com/pinpoint-extract/preview?collection=94f5d562231d4dd6&amp;job=ae935e256ae44e8c&amp;docid=bb843fadc6314b6e_94f5d562231d4dd6&amp;schid=8017&amp;row=9&amp;page=27" TargetMode="External"/><Relationship Id="rId306" Type="http://schemas.openxmlformats.org/officeDocument/2006/relationships/hyperlink" Target="https://journaliststudio.google.com/pinpoint-extract/preview?collection=94f5d562231d4dd6&amp;job=73925388c8ca2ad8&amp;docid=bb843fadc6314b6e_94f5d562231d4dd6&amp;schid=8030&amp;row=0&amp;page=28" TargetMode="External"/><Relationship Id="rId488" Type="http://schemas.openxmlformats.org/officeDocument/2006/relationships/hyperlink" Target="https://journaliststudio.google.com/pinpoint-extract/preview?collection=b4db47ccc48595a5&amp;job=8ce95af7bbe3ae32&amp;docid=46e4f917ea989928_b4db47ccc48595a5&amp;schid=8033&amp;row=4&amp;page=43" TargetMode="External"/><Relationship Id="rId45" Type="http://schemas.openxmlformats.org/officeDocument/2006/relationships/hyperlink" Target="https://journaliststudio.google.com/pinpoint-extract/preview?collection=524daaefa335d538&amp;job=da2bc2801cc717c7&amp;docid=3a84e2afec62e521_524daaefa335d538&amp;schid=8001&amp;row=44&amp;page=48" TargetMode="External"/><Relationship Id="rId87" Type="http://schemas.openxmlformats.org/officeDocument/2006/relationships/hyperlink" Target="https://journaliststudio.google.com/pinpoint-extract/preview?collection=524daaefa335d538&amp;job=a98fe27898c7f9dc&amp;docid=1244364dcff36f7f_524daaefa335d538&amp;schid=8001&amp;row=18&amp;page=40" TargetMode="External"/><Relationship Id="rId110" Type="http://schemas.openxmlformats.org/officeDocument/2006/relationships/hyperlink" Target="https://journaliststudio.google.com/pinpoint-extract/preview?collection=524daaefa335d538&amp;job=a98fe27898c7f9dc&amp;docid=1244364dcff36f7f_524daaefa335d538&amp;schid=8001&amp;row=41&amp;page=42" TargetMode="External"/><Relationship Id="rId348" Type="http://schemas.openxmlformats.org/officeDocument/2006/relationships/hyperlink" Target="https://journaliststudio.google.com/pinpoint-extract/preview?collection=94f5d562231d4dd6&amp;job=73925388c8ca2ad8&amp;docid=bb843fadc6314b6e_94f5d562231d4dd6&amp;schid=8030&amp;row=42&amp;page=29" TargetMode="External"/><Relationship Id="rId513" Type="http://schemas.openxmlformats.org/officeDocument/2006/relationships/hyperlink" Target="https://journaliststudio.google.com/pinpoint-extract/preview?collection=b4db47ccc48595a5&amp;job=b966e2a83e48c6be&amp;docid=46e4f917ea989928_b4db47ccc48595a5&amp;schid=8001&amp;row=11&amp;page=44" TargetMode="External"/><Relationship Id="rId555" Type="http://schemas.openxmlformats.org/officeDocument/2006/relationships/hyperlink" Target="https://journaliststudio.google.com/pinpoint-extract/preview?collection=b4db47ccc48595a5&amp;job=7e40ac8cfc4579aa&amp;docid=8884d0508c167a2_b4db47ccc48595a5&amp;schid=8001&amp;row=39&amp;page=31" TargetMode="External"/><Relationship Id="rId152" Type="http://schemas.openxmlformats.org/officeDocument/2006/relationships/hyperlink" Target="https://journaliststudio.google.com/pinpoint-extract/preview?collection=524daaefa335d538&amp;job=7dc4c4e6adb9e99a&amp;docid=1f0f8b47c49b27c2_524daaefa335d538&amp;schid=8001&amp;row=17&amp;page=38" TargetMode="External"/><Relationship Id="rId194" Type="http://schemas.openxmlformats.org/officeDocument/2006/relationships/hyperlink" Target="https://journaliststudio.google.com/pinpoint-extract/preview?collection=524daaefa335d538&amp;job=7dc4c4e6adb9e99a&amp;docid=1f0f8b47c49b27c2_524daaefa335d538&amp;schid=8001&amp;row=63&amp;page=40" TargetMode="External"/><Relationship Id="rId208" Type="http://schemas.openxmlformats.org/officeDocument/2006/relationships/hyperlink" Target="https://journaliststudio.google.com/pinpoint-extract/preview?collection=524daaefa335d538&amp;job=7dc4c4e6adb9e99a&amp;docid=1f0f8b47c49b27c2_524daaefa335d538&amp;schid=8001&amp;row=80&amp;page=41" TargetMode="External"/><Relationship Id="rId415" Type="http://schemas.openxmlformats.org/officeDocument/2006/relationships/hyperlink" Target="https://journaliststudio.google.com/pinpoint-extract/preview?collection=b4db47ccc48595a5&amp;job=1feec7ab74957524&amp;docid=252734efe751c385_b4db47ccc48595a5&amp;schid=8042&amp;row=1&amp;page=29" TargetMode="External"/><Relationship Id="rId457" Type="http://schemas.openxmlformats.org/officeDocument/2006/relationships/hyperlink" Target="https://journaliststudio.google.com/pinpoint-extract/preview?collection=b4db47ccc48595a5&amp;job=97fb37ff89f504eb&amp;docid=252734efe751c385_b4db47ccc48595a5&amp;schid=8093&amp;row=8&amp;page=31" TargetMode="External"/><Relationship Id="rId261" Type="http://schemas.openxmlformats.org/officeDocument/2006/relationships/hyperlink" Target="https://journaliststudio.google.com/pinpoint-extract/preview?collection=59c534ba70c0b75b&amp;job=4cd2f64341a72b0b&amp;docid=d5c6addb973fc20e_59c534ba70c0b75b&amp;schid=8001&amp;row=52&amp;page=40" TargetMode="External"/><Relationship Id="rId499" Type="http://schemas.openxmlformats.org/officeDocument/2006/relationships/hyperlink" Target="https://journaliststudio.google.com/pinpoint-extract/preview?collection=b4db47ccc48595a5&amp;job=8ce95af7bbe3ae32&amp;docid=46e4f917ea989928_b4db47ccc48595a5&amp;schid=8033&amp;row=15&amp;page=43" TargetMode="External"/><Relationship Id="rId14" Type="http://schemas.openxmlformats.org/officeDocument/2006/relationships/hyperlink" Target="https://journaliststudio.google.com/pinpoint-extract/preview?collection=524daaefa335d538&amp;job=da2bc2801cc717c7&amp;docid=3a84e2afec62e521_524daaefa335d538&amp;schid=8001&amp;row=13&amp;page=46" TargetMode="External"/><Relationship Id="rId56" Type="http://schemas.openxmlformats.org/officeDocument/2006/relationships/hyperlink" Target="https://journaliststudio.google.com/pinpoint-extract/preview?collection=524daaefa335d538&amp;job=da2bc2801cc717c7&amp;docid=3a84e2afec62e521_524daaefa335d538&amp;schid=8001&amp;row=55&amp;page=49" TargetMode="External"/><Relationship Id="rId317" Type="http://schemas.openxmlformats.org/officeDocument/2006/relationships/hyperlink" Target="https://journaliststudio.google.com/pinpoint-extract/preview?collection=94f5d562231d4dd6&amp;job=73925388c8ca2ad8&amp;docid=bb843fadc6314b6e_94f5d562231d4dd6&amp;schid=8030&amp;row=11&amp;page=28" TargetMode="External"/><Relationship Id="rId359" Type="http://schemas.openxmlformats.org/officeDocument/2006/relationships/hyperlink" Target="https://journaliststudio.google.com/pinpoint-extract/preview?collection=59c534ba70c0b75b&amp;job=7d986fe353a45a34&amp;docid=f9a22023735ef321_59c534ba70c0b75b&amp;schid=8016&amp;row=10&amp;page=26" TargetMode="External"/><Relationship Id="rId524" Type="http://schemas.openxmlformats.org/officeDocument/2006/relationships/hyperlink" Target="https://journaliststudio.google.com/pinpoint-extract/preview?collection=b4db47ccc48595a5&amp;job=7e40ac8cfc4579aa&amp;docid=8884d0508c167a2_b4db47ccc48595a5&amp;schid=8001&amp;row=8&amp;page=30" TargetMode="External"/><Relationship Id="rId98" Type="http://schemas.openxmlformats.org/officeDocument/2006/relationships/hyperlink" Target="https://journaliststudio.google.com/pinpoint-extract/preview?collection=524daaefa335d538&amp;job=a98fe27898c7f9dc&amp;docid=1244364dcff36f7f_524daaefa335d538&amp;schid=8001&amp;row=29&amp;page=41" TargetMode="External"/><Relationship Id="rId121" Type="http://schemas.openxmlformats.org/officeDocument/2006/relationships/hyperlink" Target="https://journaliststudio.google.com/pinpoint-extract/preview?collection=524daaefa335d538&amp;job=a98fe27898c7f9dc&amp;docid=1244364dcff36f7f_524daaefa335d538&amp;schid=8001&amp;row=52&amp;page=42" TargetMode="External"/><Relationship Id="rId163" Type="http://schemas.openxmlformats.org/officeDocument/2006/relationships/hyperlink" Target="https://journaliststudio.google.com/pinpoint-extract/preview?collection=524daaefa335d538&amp;job=7dc4c4e6adb9e99a&amp;docid=1f0f8b47c49b27c2_524daaefa335d538&amp;schid=8001&amp;row=30&amp;page=39" TargetMode="External"/><Relationship Id="rId219" Type="http://schemas.openxmlformats.org/officeDocument/2006/relationships/hyperlink" Target="https://journaliststudio.google.com/pinpoint-extract/preview?collection=59c534ba70c0b75b&amp;job=4cd2f64341a72b0b&amp;docid=d5c6addb973fc20e_59c534ba70c0b75b&amp;schid=8001&amp;row=10&amp;page=38" TargetMode="External"/><Relationship Id="rId370" Type="http://schemas.openxmlformats.org/officeDocument/2006/relationships/hyperlink" Target="https://journaliststudio.google.com/pinpoint-extract/preview?collection=59c534ba70c0b75b&amp;job=35432234b21c40f6&amp;docid=f9a22023735ef321_59c534ba70c0b75b&amp;schid=8030&amp;row=6&amp;page=27" TargetMode="External"/><Relationship Id="rId426" Type="http://schemas.openxmlformats.org/officeDocument/2006/relationships/hyperlink" Target="https://journaliststudio.google.com/pinpoint-extract/preview?collection=b4db47ccc48595a5&amp;job=1feec7ab74957524&amp;docid=252734efe751c385_b4db47ccc48595a5&amp;schid=8042&amp;row=12&amp;page=29" TargetMode="External"/><Relationship Id="rId230" Type="http://schemas.openxmlformats.org/officeDocument/2006/relationships/hyperlink" Target="https://journaliststudio.google.com/pinpoint-extract/preview?collection=59c534ba70c0b75b&amp;job=4cd2f64341a72b0b&amp;docid=d5c6addb973fc20e_59c534ba70c0b75b&amp;schid=8001&amp;row=21&amp;page=38" TargetMode="External"/><Relationship Id="rId468" Type="http://schemas.openxmlformats.org/officeDocument/2006/relationships/hyperlink" Target="https://journaliststudio.google.com/pinpoint-extract/preview?collection=b4db47ccc48595a5&amp;job=effa8401566aaec6&amp;docid=46e4f917ea989928_b4db47ccc48595a5&amp;schid=8012&amp;row=2&amp;page=42" TargetMode="External"/><Relationship Id="rId25" Type="http://schemas.openxmlformats.org/officeDocument/2006/relationships/hyperlink" Target="https://journaliststudio.google.com/pinpoint-extract/preview?collection=524daaefa335d538&amp;job=da2bc2801cc717c7&amp;docid=3a84e2afec62e521_524daaefa335d538&amp;schid=8001&amp;row=24&amp;page=46" TargetMode="External"/><Relationship Id="rId67" Type="http://schemas.openxmlformats.org/officeDocument/2006/relationships/hyperlink" Target="https://journaliststudio.google.com/pinpoint-extract/preview?collection=524daaefa335d538&amp;job=da2bc2801cc717c7&amp;docid=3a84e2afec62e521_524daaefa335d538&amp;schid=8001&amp;row=66&amp;page=49" TargetMode="External"/><Relationship Id="rId272" Type="http://schemas.openxmlformats.org/officeDocument/2006/relationships/hyperlink" Target="https://journaliststudio.google.com/pinpoint-extract/preview?collection=59c534ba70c0b75b&amp;job=4cd2f64341a72b0b&amp;docid=d5c6addb973fc20e_59c534ba70c0b75b&amp;schid=8001&amp;row=63&amp;page=40" TargetMode="External"/><Relationship Id="rId328" Type="http://schemas.openxmlformats.org/officeDocument/2006/relationships/hyperlink" Target="https://journaliststudio.google.com/pinpoint-extract/preview?collection=94f5d562231d4dd6&amp;job=73925388c8ca2ad8&amp;docid=bb843fadc6314b6e_94f5d562231d4dd6&amp;schid=8030&amp;row=22&amp;page=28" TargetMode="External"/><Relationship Id="rId535" Type="http://schemas.openxmlformats.org/officeDocument/2006/relationships/hyperlink" Target="https://journaliststudio.google.com/pinpoint-extract/preview?collection=b4db47ccc48595a5&amp;job=7e40ac8cfc4579aa&amp;docid=8884d0508c167a2_b4db47ccc48595a5&amp;schid=8001&amp;row=19&amp;page=30" TargetMode="External"/><Relationship Id="rId132" Type="http://schemas.openxmlformats.org/officeDocument/2006/relationships/hyperlink" Target="https://journaliststudio.google.com/pinpoint-extract/preview?collection=524daaefa335d538&amp;job=a98fe27898c7f9dc&amp;docid=1244364dcff36f7f_524daaefa335d538&amp;schid=8001&amp;row=63&amp;page=43" TargetMode="External"/><Relationship Id="rId174" Type="http://schemas.openxmlformats.org/officeDocument/2006/relationships/hyperlink" Target="https://journaliststudio.google.com/pinpoint-extract/preview?collection=524daaefa335d538&amp;job=7dc4c4e6adb9e99a&amp;docid=1f0f8b47c49b27c2_524daaefa335d538&amp;schid=8001&amp;row=41&amp;page=39" TargetMode="External"/><Relationship Id="rId381" Type="http://schemas.openxmlformats.org/officeDocument/2006/relationships/hyperlink" Target="https://journaliststudio.google.com/pinpoint-extract/preview?collection=59c534ba70c0b75b&amp;job=f96ade24dc66657&amp;docid=f9a22023735ef321_59c534ba70c0b75b&amp;schid=8044&amp;row=4&amp;page=28" TargetMode="External"/><Relationship Id="rId241" Type="http://schemas.openxmlformats.org/officeDocument/2006/relationships/hyperlink" Target="https://journaliststudio.google.com/pinpoint-extract/preview?collection=59c534ba70c0b75b&amp;job=4cd2f64341a72b0b&amp;docid=d5c6addb973fc20e_59c534ba70c0b75b&amp;schid=8001&amp;row=32&amp;page=39" TargetMode="External"/><Relationship Id="rId437" Type="http://schemas.openxmlformats.org/officeDocument/2006/relationships/hyperlink" Target="https://journaliststudio.google.com/pinpoint-extract/preview?collection=b4db47ccc48595a5&amp;job=7bbb0f67809b104e&amp;docid=252734efe751c385_b4db47ccc48595a5&amp;schid=8081&amp;row=6&amp;page=30" TargetMode="External"/><Relationship Id="rId479" Type="http://schemas.openxmlformats.org/officeDocument/2006/relationships/hyperlink" Target="https://journaliststudio.google.com/pinpoint-extract/preview?collection=b4db47ccc48595a5&amp;job=effa8401566aaec6&amp;docid=46e4f917ea989928_b4db47ccc48595a5&amp;schid=8012&amp;row=13&amp;page=42" TargetMode="External"/><Relationship Id="rId36" Type="http://schemas.openxmlformats.org/officeDocument/2006/relationships/hyperlink" Target="https://journaliststudio.google.com/pinpoint-extract/preview?collection=524daaefa335d538&amp;job=da2bc2801cc717c7&amp;docid=3a84e2afec62e521_524daaefa335d538&amp;schid=8001&amp;row=35&amp;page=47" TargetMode="External"/><Relationship Id="rId283" Type="http://schemas.openxmlformats.org/officeDocument/2006/relationships/hyperlink" Target="https://journaliststudio.google.com/pinpoint-extract/preview?collection=94f5d562231d4dd6&amp;job=ae935e256ae44e8c&amp;docid=bb843fadc6314b6e_94f5d562231d4dd6&amp;schid=8017&amp;row=0&amp;page=27" TargetMode="External"/><Relationship Id="rId339" Type="http://schemas.openxmlformats.org/officeDocument/2006/relationships/hyperlink" Target="https://journaliststudio.google.com/pinpoint-extract/preview?collection=94f5d562231d4dd6&amp;job=73925388c8ca2ad8&amp;docid=bb843fadc6314b6e_94f5d562231d4dd6&amp;schid=8030&amp;row=33&amp;page=29" TargetMode="External"/><Relationship Id="rId490" Type="http://schemas.openxmlformats.org/officeDocument/2006/relationships/hyperlink" Target="https://journaliststudio.google.com/pinpoint-extract/preview?collection=b4db47ccc48595a5&amp;job=8ce95af7bbe3ae32&amp;docid=46e4f917ea989928_b4db47ccc48595a5&amp;schid=8033&amp;row=6&amp;page=43" TargetMode="External"/><Relationship Id="rId504" Type="http://schemas.openxmlformats.org/officeDocument/2006/relationships/hyperlink" Target="https://journaliststudio.google.com/pinpoint-extract/preview?collection=b4db47ccc48595a5&amp;job=b966e2a83e48c6be&amp;docid=46e4f917ea989928_b4db47ccc48595a5&amp;schid=8001&amp;row=2&amp;page=44" TargetMode="External"/><Relationship Id="rId546" Type="http://schemas.openxmlformats.org/officeDocument/2006/relationships/hyperlink" Target="https://journaliststudio.google.com/pinpoint-extract/preview?collection=b4db47ccc48595a5&amp;job=7e40ac8cfc4579aa&amp;docid=8884d0508c167a2_b4db47ccc48595a5&amp;schid=8001&amp;row=30&amp;page=31" TargetMode="External"/><Relationship Id="rId78" Type="http://schemas.openxmlformats.org/officeDocument/2006/relationships/hyperlink" Target="https://journaliststudio.google.com/pinpoint-extract/preview?collection=524daaefa335d538&amp;job=a98fe27898c7f9dc&amp;docid=1244364dcff36f7f_524daaefa335d538&amp;schid=8001&amp;row=9&amp;page=40" TargetMode="External"/><Relationship Id="rId101" Type="http://schemas.openxmlformats.org/officeDocument/2006/relationships/hyperlink" Target="https://journaliststudio.google.com/pinpoint-extract/preview?collection=524daaefa335d538&amp;job=a98fe27898c7f9dc&amp;docid=1244364dcff36f7f_524daaefa335d538&amp;schid=8001&amp;row=32&amp;page=41" TargetMode="External"/><Relationship Id="rId143" Type="http://schemas.openxmlformats.org/officeDocument/2006/relationships/hyperlink" Target="https://journaliststudio.google.com/pinpoint-extract/preview?collection=524daaefa335d538&amp;job=7dc4c4e6adb9e99a&amp;docid=1f0f8b47c49b27c2_524daaefa335d538&amp;schid=8001&amp;row=8&amp;page=38" TargetMode="External"/><Relationship Id="rId185" Type="http://schemas.openxmlformats.org/officeDocument/2006/relationships/hyperlink" Target="https://journaliststudio.google.com/pinpoint-extract/preview?collection=524daaefa335d538&amp;job=7dc4c4e6adb9e99a&amp;docid=1f0f8b47c49b27c2_524daaefa335d538&amp;schid=8001&amp;row=54&amp;page=40" TargetMode="External"/><Relationship Id="rId350" Type="http://schemas.openxmlformats.org/officeDocument/2006/relationships/hyperlink" Target="https://journaliststudio.google.com/pinpoint-extract/preview?collection=59c534ba70c0b75b&amp;job=7d986fe353a45a34&amp;docid=f9a22023735ef321_59c534ba70c0b75b&amp;schid=8016&amp;row=1&amp;page=26" TargetMode="External"/><Relationship Id="rId406" Type="http://schemas.openxmlformats.org/officeDocument/2006/relationships/hyperlink" Target="https://journaliststudio.google.com/pinpoint-extract/preview?collection=59c534ba70c0b75b&amp;job=4cd2f64341a72b0b&amp;docid=f9a22023735ef321_59c534ba70c0b75b&amp;schid=8001&amp;row=14&amp;page=30" TargetMode="External"/><Relationship Id="rId9" Type="http://schemas.openxmlformats.org/officeDocument/2006/relationships/hyperlink" Target="https://journaliststudio.google.com/pinpoint-extract/preview?collection=524daaefa335d538&amp;job=da2bc2801cc717c7&amp;docid=3a84e2afec62e521_524daaefa335d538&amp;schid=8001&amp;row=8&amp;page=45" TargetMode="External"/><Relationship Id="rId210" Type="http://schemas.openxmlformats.org/officeDocument/2006/relationships/hyperlink" Target="https://journaliststudio.google.com/pinpoint-extract/preview?collection=59c534ba70c0b75b&amp;job=4cd2f64341a72b0b&amp;docid=d5c6addb973fc20e_59c534ba70c0b75b&amp;schid=8001&amp;row=1&amp;page=38" TargetMode="External"/><Relationship Id="rId392" Type="http://schemas.openxmlformats.org/officeDocument/2006/relationships/hyperlink" Target="https://journaliststudio.google.com/pinpoint-extract/preview?collection=59c534ba70c0b75b&amp;job=4cd2f64341a72b0b&amp;docid=f9a22023735ef321_59c534ba70c0b75b&amp;schid=8001&amp;row=0&amp;page=29" TargetMode="External"/><Relationship Id="rId448" Type="http://schemas.openxmlformats.org/officeDocument/2006/relationships/hyperlink" Target="https://journaliststudio.google.com/pinpoint-extract/preview?collection=b4db47ccc48595a5&amp;job=7bbb0f67809b104e&amp;docid=252734efe751c385_b4db47ccc48595a5&amp;schid=8081&amp;row=17&amp;page=30" TargetMode="External"/><Relationship Id="rId252" Type="http://schemas.openxmlformats.org/officeDocument/2006/relationships/hyperlink" Target="https://journaliststudio.google.com/pinpoint-extract/preview?collection=59c534ba70c0b75b&amp;job=4cd2f64341a72b0b&amp;docid=d5c6addb973fc20e_59c534ba70c0b75b&amp;schid=8001&amp;row=43&amp;page=39" TargetMode="External"/><Relationship Id="rId294" Type="http://schemas.openxmlformats.org/officeDocument/2006/relationships/hyperlink" Target="https://journaliststudio.google.com/pinpoint-extract/preview?collection=94f5d562231d4dd6&amp;job=ae935e256ae44e8c&amp;docid=bb843fadc6314b6e_94f5d562231d4dd6&amp;schid=8017&amp;row=11&amp;page=27" TargetMode="External"/><Relationship Id="rId308" Type="http://schemas.openxmlformats.org/officeDocument/2006/relationships/hyperlink" Target="https://journaliststudio.google.com/pinpoint-extract/preview?collection=94f5d562231d4dd6&amp;job=73925388c8ca2ad8&amp;docid=bb843fadc6314b6e_94f5d562231d4dd6&amp;schid=8030&amp;row=2&amp;page=28" TargetMode="External"/><Relationship Id="rId515" Type="http://schemas.openxmlformats.org/officeDocument/2006/relationships/hyperlink" Target="https://journaliststudio.google.com/pinpoint-extract/preview?collection=b4db47ccc48595a5&amp;job=b966e2a83e48c6be&amp;docid=46e4f917ea989928_b4db47ccc48595a5&amp;schid=8001&amp;row=13&amp;page=44" TargetMode="External"/><Relationship Id="rId47" Type="http://schemas.openxmlformats.org/officeDocument/2006/relationships/hyperlink" Target="https://journaliststudio.google.com/pinpoint-extract/preview?collection=524daaefa335d538&amp;job=da2bc2801cc717c7&amp;docid=3a84e2afec62e521_524daaefa335d538&amp;schid=8001&amp;row=46&amp;page=48" TargetMode="External"/><Relationship Id="rId89" Type="http://schemas.openxmlformats.org/officeDocument/2006/relationships/hyperlink" Target="https://journaliststudio.google.com/pinpoint-extract/preview?collection=524daaefa335d538&amp;job=a98fe27898c7f9dc&amp;docid=1244364dcff36f7f_524daaefa335d538&amp;schid=8001&amp;row=20&amp;page=41" TargetMode="External"/><Relationship Id="rId112" Type="http://schemas.openxmlformats.org/officeDocument/2006/relationships/hyperlink" Target="https://journaliststudio.google.com/pinpoint-extract/preview?collection=524daaefa335d538&amp;job=a98fe27898c7f9dc&amp;docid=1244364dcff36f7f_524daaefa335d538&amp;schid=8001&amp;row=43&amp;page=42" TargetMode="External"/><Relationship Id="rId154" Type="http://schemas.openxmlformats.org/officeDocument/2006/relationships/hyperlink" Target="https://journaliststudio.google.com/pinpoint-extract/preview?collection=524daaefa335d538&amp;job=7dc4c4e6adb9e99a&amp;docid=1f0f8b47c49b27c2_524daaefa335d538&amp;schid=8001&amp;row=19&amp;page=38" TargetMode="External"/><Relationship Id="rId361" Type="http://schemas.openxmlformats.org/officeDocument/2006/relationships/hyperlink" Target="https://journaliststudio.google.com/pinpoint-extract/preview?collection=59c534ba70c0b75b&amp;job=7d986fe353a45a34&amp;docid=f9a22023735ef321_59c534ba70c0b75b&amp;schid=8016&amp;row=12&amp;page=26" TargetMode="External"/><Relationship Id="rId557" Type="http://schemas.openxmlformats.org/officeDocument/2006/relationships/hyperlink" Target="https://journaliststudio.google.com/pinpoint-extract/preview?collection=b4db47ccc48595a5&amp;job=7e40ac8cfc4579aa&amp;docid=8884d0508c167a2_b4db47ccc48595a5&amp;schid=8001&amp;row=41&amp;page=31" TargetMode="External"/><Relationship Id="rId196" Type="http://schemas.openxmlformats.org/officeDocument/2006/relationships/hyperlink" Target="https://journaliststudio.google.com/pinpoint-extract/preview?collection=524daaefa335d538&amp;job=7dc4c4e6adb9e99a&amp;docid=1f0f8b47c49b27c2_524daaefa335d538&amp;schid=8001&amp;row=65&amp;page=40" TargetMode="External"/><Relationship Id="rId417" Type="http://schemas.openxmlformats.org/officeDocument/2006/relationships/hyperlink" Target="https://journaliststudio.google.com/pinpoint-extract/preview?collection=b4db47ccc48595a5&amp;job=1feec7ab74957524&amp;docid=252734efe751c385_b4db47ccc48595a5&amp;schid=8042&amp;row=3&amp;page=29" TargetMode="External"/><Relationship Id="rId459" Type="http://schemas.openxmlformats.org/officeDocument/2006/relationships/hyperlink" Target="https://journaliststudio.google.com/pinpoint-extract/preview?collection=b4db47ccc48595a5&amp;job=97fb37ff89f504eb&amp;docid=252734efe751c385_b4db47ccc48595a5&amp;schid=8093&amp;row=10&amp;page=31" TargetMode="External"/><Relationship Id="rId16" Type="http://schemas.openxmlformats.org/officeDocument/2006/relationships/hyperlink" Target="https://journaliststudio.google.com/pinpoint-extract/preview?collection=524daaefa335d538&amp;job=da2bc2801cc717c7&amp;docid=3a84e2afec62e521_524daaefa335d538&amp;schid=8001&amp;row=15&amp;page=46" TargetMode="External"/><Relationship Id="rId221" Type="http://schemas.openxmlformats.org/officeDocument/2006/relationships/hyperlink" Target="https://journaliststudio.google.com/pinpoint-extract/preview?collection=59c534ba70c0b75b&amp;job=4cd2f64341a72b0b&amp;docid=d5c6addb973fc20e_59c534ba70c0b75b&amp;schid=8001&amp;row=12&amp;page=38" TargetMode="External"/><Relationship Id="rId263" Type="http://schemas.openxmlformats.org/officeDocument/2006/relationships/hyperlink" Target="https://journaliststudio.google.com/pinpoint-extract/preview?collection=59c534ba70c0b75b&amp;job=4cd2f64341a72b0b&amp;docid=d5c6addb973fc20e_59c534ba70c0b75b&amp;schid=8001&amp;row=54&amp;page=40" TargetMode="External"/><Relationship Id="rId319" Type="http://schemas.openxmlformats.org/officeDocument/2006/relationships/hyperlink" Target="https://journaliststudio.google.com/pinpoint-extract/preview?collection=94f5d562231d4dd6&amp;job=73925388c8ca2ad8&amp;docid=bb843fadc6314b6e_94f5d562231d4dd6&amp;schid=8030&amp;row=13&amp;page=28" TargetMode="External"/><Relationship Id="rId470" Type="http://schemas.openxmlformats.org/officeDocument/2006/relationships/hyperlink" Target="https://journaliststudio.google.com/pinpoint-extract/preview?collection=b4db47ccc48595a5&amp;job=effa8401566aaec6&amp;docid=46e4f917ea989928_b4db47ccc48595a5&amp;schid=8012&amp;row=4&amp;page=42" TargetMode="External"/><Relationship Id="rId526" Type="http://schemas.openxmlformats.org/officeDocument/2006/relationships/hyperlink" Target="https://journaliststudio.google.com/pinpoint-extract/preview?collection=b4db47ccc48595a5&amp;job=7e40ac8cfc4579aa&amp;docid=8884d0508c167a2_b4db47ccc48595a5&amp;schid=8001&amp;row=10&amp;page=30" TargetMode="External"/><Relationship Id="rId58" Type="http://schemas.openxmlformats.org/officeDocument/2006/relationships/hyperlink" Target="https://journaliststudio.google.com/pinpoint-extract/preview?collection=524daaefa335d538&amp;job=da2bc2801cc717c7&amp;docid=3a84e2afec62e521_524daaefa335d538&amp;schid=8001&amp;row=57&amp;page=49" TargetMode="External"/><Relationship Id="rId123" Type="http://schemas.openxmlformats.org/officeDocument/2006/relationships/hyperlink" Target="https://journaliststudio.google.com/pinpoint-extract/preview?collection=524daaefa335d538&amp;job=a98fe27898c7f9dc&amp;docid=1244364dcff36f7f_524daaefa335d538&amp;schid=8001&amp;row=54&amp;page=42" TargetMode="External"/><Relationship Id="rId330" Type="http://schemas.openxmlformats.org/officeDocument/2006/relationships/hyperlink" Target="https://journaliststudio.google.com/pinpoint-extract/preview?collection=94f5d562231d4dd6&amp;job=73925388c8ca2ad8&amp;docid=bb843fadc6314b6e_94f5d562231d4dd6&amp;schid=8030&amp;row=24&amp;page=29" TargetMode="External"/><Relationship Id="rId165" Type="http://schemas.openxmlformats.org/officeDocument/2006/relationships/hyperlink" Target="https://journaliststudio.google.com/pinpoint-extract/preview?collection=524daaefa335d538&amp;job=7dc4c4e6adb9e99a&amp;docid=1f0f8b47c49b27c2_524daaefa335d538&amp;schid=8001&amp;row=32&amp;page=39" TargetMode="External"/><Relationship Id="rId372" Type="http://schemas.openxmlformats.org/officeDocument/2006/relationships/hyperlink" Target="https://journaliststudio.google.com/pinpoint-extract/preview?collection=59c534ba70c0b75b&amp;job=35432234b21c40f6&amp;docid=f9a22023735ef321_59c534ba70c0b75b&amp;schid=8030&amp;row=8&amp;page=27" TargetMode="External"/><Relationship Id="rId428" Type="http://schemas.openxmlformats.org/officeDocument/2006/relationships/hyperlink" Target="https://journaliststudio.google.com/pinpoint-extract/preview?collection=b4db47ccc48595a5&amp;job=1feec7ab74957524&amp;docid=252734efe751c385_b4db47ccc48595a5&amp;schid=8042&amp;row=14&amp;page=29" TargetMode="External"/><Relationship Id="rId232" Type="http://schemas.openxmlformats.org/officeDocument/2006/relationships/hyperlink" Target="https://journaliststudio.google.com/pinpoint-extract/preview?collection=59c534ba70c0b75b&amp;job=4cd2f64341a72b0b&amp;docid=d5c6addb973fc20e_59c534ba70c0b75b&amp;schid=8001&amp;row=23&amp;page=39" TargetMode="External"/><Relationship Id="rId274" Type="http://schemas.openxmlformats.org/officeDocument/2006/relationships/hyperlink" Target="https://journaliststudio.google.com/pinpoint-extract/preview?collection=59c534ba70c0b75b&amp;job=4cd2f64341a72b0b&amp;docid=d5c6addb973fc20e_59c534ba70c0b75b&amp;schid=8001&amp;row=65&amp;page=40" TargetMode="External"/><Relationship Id="rId481" Type="http://schemas.openxmlformats.org/officeDocument/2006/relationships/hyperlink" Target="https://journaliststudio.google.com/pinpoint-extract/preview?collection=b4db47ccc48595a5&amp;job=effa8401566aaec6&amp;docid=46e4f917ea989928_b4db47ccc48595a5&amp;schid=8012&amp;row=15&amp;page=42" TargetMode="External"/><Relationship Id="rId27" Type="http://schemas.openxmlformats.org/officeDocument/2006/relationships/hyperlink" Target="https://journaliststudio.google.com/pinpoint-extract/preview?collection=524daaefa335d538&amp;job=da2bc2801cc717c7&amp;docid=3a84e2afec62e521_524daaefa335d538&amp;schid=8001&amp;row=26&amp;page=47" TargetMode="External"/><Relationship Id="rId69" Type="http://schemas.openxmlformats.org/officeDocument/2006/relationships/hyperlink" Target="https://journaliststudio.google.com/pinpoint-extract/preview?collection=524daaefa335d538&amp;job=a98fe27898c7f9dc&amp;docid=1244364dcff36f7f_524daaefa335d538&amp;schid=8001&amp;row=0&amp;page=40" TargetMode="External"/><Relationship Id="rId134" Type="http://schemas.openxmlformats.org/officeDocument/2006/relationships/hyperlink" Target="https://journaliststudio.google.com/pinpoint-extract/preview?collection=524daaefa335d538&amp;job=a98fe27898c7f9dc&amp;docid=1244364dcff36f7f_524daaefa335d538&amp;schid=8001&amp;row=65&amp;page=43" TargetMode="External"/><Relationship Id="rId537" Type="http://schemas.openxmlformats.org/officeDocument/2006/relationships/hyperlink" Target="https://journaliststudio.google.com/pinpoint-extract/preview?collection=b4db47ccc48595a5&amp;job=7e40ac8cfc4579aa&amp;docid=8884d0508c167a2_b4db47ccc48595a5&amp;schid=8001&amp;row=21&amp;page=31" TargetMode="External"/><Relationship Id="rId80" Type="http://schemas.openxmlformats.org/officeDocument/2006/relationships/hyperlink" Target="https://journaliststudio.google.com/pinpoint-extract/preview?collection=524daaefa335d538&amp;job=a98fe27898c7f9dc&amp;docid=1244364dcff36f7f_524daaefa335d538&amp;schid=8001&amp;row=11&amp;page=40" TargetMode="External"/><Relationship Id="rId176" Type="http://schemas.openxmlformats.org/officeDocument/2006/relationships/hyperlink" Target="https://journaliststudio.google.com/pinpoint-extract/preview?collection=524daaefa335d538&amp;job=7dc4c4e6adb9e99a&amp;docid=1f0f8b47c49b27c2_524daaefa335d538&amp;schid=8001&amp;row=43&amp;page=39" TargetMode="External"/><Relationship Id="rId341" Type="http://schemas.openxmlformats.org/officeDocument/2006/relationships/hyperlink" Target="https://journaliststudio.google.com/pinpoint-extract/preview?collection=94f5d562231d4dd6&amp;job=73925388c8ca2ad8&amp;docid=bb843fadc6314b6e_94f5d562231d4dd6&amp;schid=8030&amp;row=35&amp;page=29" TargetMode="External"/><Relationship Id="rId383" Type="http://schemas.openxmlformats.org/officeDocument/2006/relationships/hyperlink" Target="https://journaliststudio.google.com/pinpoint-extract/preview?collection=59c534ba70c0b75b&amp;job=f96ade24dc66657&amp;docid=f9a22023735ef321_59c534ba70c0b75b&amp;schid=8044&amp;row=6&amp;page=28" TargetMode="External"/><Relationship Id="rId439" Type="http://schemas.openxmlformats.org/officeDocument/2006/relationships/hyperlink" Target="https://journaliststudio.google.com/pinpoint-extract/preview?collection=b4db47ccc48595a5&amp;job=7bbb0f67809b104e&amp;docid=252734efe751c385_b4db47ccc48595a5&amp;schid=8081&amp;row=8&amp;page=30" TargetMode="External"/><Relationship Id="rId201" Type="http://schemas.openxmlformats.org/officeDocument/2006/relationships/hyperlink" Target="https://journaliststudio.google.com/pinpoint-extract/preview?collection=524daaefa335d538&amp;job=7dc4c4e6adb9e99a&amp;docid=1f0f8b47c49b27c2_524daaefa335d538&amp;schid=8001&amp;row=70&amp;page=40" TargetMode="External"/><Relationship Id="rId243" Type="http://schemas.openxmlformats.org/officeDocument/2006/relationships/hyperlink" Target="https://journaliststudio.google.com/pinpoint-extract/preview?collection=59c534ba70c0b75b&amp;job=4cd2f64341a72b0b&amp;docid=d5c6addb973fc20e_59c534ba70c0b75b&amp;schid=8001&amp;row=34&amp;page=39" TargetMode="External"/><Relationship Id="rId285" Type="http://schemas.openxmlformats.org/officeDocument/2006/relationships/hyperlink" Target="https://journaliststudio.google.com/pinpoint-extract/preview?collection=94f5d562231d4dd6&amp;job=ae935e256ae44e8c&amp;docid=bb843fadc6314b6e_94f5d562231d4dd6&amp;schid=8017&amp;row=2&amp;page=27" TargetMode="External"/><Relationship Id="rId450" Type="http://schemas.openxmlformats.org/officeDocument/2006/relationships/hyperlink" Target="https://journaliststudio.google.com/pinpoint-extract/preview?collection=b4db47ccc48595a5&amp;job=97fb37ff89f504eb&amp;docid=252734efe751c385_b4db47ccc48595a5&amp;schid=8093&amp;row=1&amp;page=31" TargetMode="External"/><Relationship Id="rId506" Type="http://schemas.openxmlformats.org/officeDocument/2006/relationships/hyperlink" Target="https://journaliststudio.google.com/pinpoint-extract/preview?collection=b4db47ccc48595a5&amp;job=b966e2a83e48c6be&amp;docid=46e4f917ea989928_b4db47ccc48595a5&amp;schid=8001&amp;row=4&amp;page=44" TargetMode="External"/><Relationship Id="rId38" Type="http://schemas.openxmlformats.org/officeDocument/2006/relationships/hyperlink" Target="https://journaliststudio.google.com/pinpoint-extract/preview?collection=524daaefa335d538&amp;job=da2bc2801cc717c7&amp;docid=3a84e2afec62e521_524daaefa335d538&amp;schid=8001&amp;row=37&amp;page=47" TargetMode="External"/><Relationship Id="rId103" Type="http://schemas.openxmlformats.org/officeDocument/2006/relationships/hyperlink" Target="https://journaliststudio.google.com/pinpoint-extract/preview?collection=524daaefa335d538&amp;job=a98fe27898c7f9dc&amp;docid=1244364dcff36f7f_524daaefa335d538&amp;schid=8001&amp;row=34&amp;page=41" TargetMode="External"/><Relationship Id="rId310" Type="http://schemas.openxmlformats.org/officeDocument/2006/relationships/hyperlink" Target="https://journaliststudio.google.com/pinpoint-extract/preview?collection=94f5d562231d4dd6&amp;job=73925388c8ca2ad8&amp;docid=bb843fadc6314b6e_94f5d562231d4dd6&amp;schid=8030&amp;row=4&amp;page=28" TargetMode="External"/><Relationship Id="rId492" Type="http://schemas.openxmlformats.org/officeDocument/2006/relationships/hyperlink" Target="https://journaliststudio.google.com/pinpoint-extract/preview?collection=b4db47ccc48595a5&amp;job=8ce95af7bbe3ae32&amp;docid=46e4f917ea989928_b4db47ccc48595a5&amp;schid=8033&amp;row=8&amp;page=43" TargetMode="External"/><Relationship Id="rId548" Type="http://schemas.openxmlformats.org/officeDocument/2006/relationships/hyperlink" Target="https://journaliststudio.google.com/pinpoint-extract/preview?collection=b4db47ccc48595a5&amp;job=7e40ac8cfc4579aa&amp;docid=8884d0508c167a2_b4db47ccc48595a5&amp;schid=8001&amp;row=32&amp;page=31" TargetMode="External"/><Relationship Id="rId91" Type="http://schemas.openxmlformats.org/officeDocument/2006/relationships/hyperlink" Target="https://journaliststudio.google.com/pinpoint-extract/preview?collection=524daaefa335d538&amp;job=a98fe27898c7f9dc&amp;docid=1244364dcff36f7f_524daaefa335d538&amp;schid=8001&amp;row=22&amp;page=41" TargetMode="External"/><Relationship Id="rId145" Type="http://schemas.openxmlformats.org/officeDocument/2006/relationships/hyperlink" Target="https://journaliststudio.google.com/pinpoint-extract/preview?collection=524daaefa335d538&amp;job=7dc4c4e6adb9e99a&amp;docid=1f0f8b47c49b27c2_524daaefa335d538&amp;schid=8001&amp;row=10&amp;page=38" TargetMode="External"/><Relationship Id="rId187" Type="http://schemas.openxmlformats.org/officeDocument/2006/relationships/hyperlink" Target="https://journaliststudio.google.com/pinpoint-extract/preview?collection=524daaefa335d538&amp;job=7dc4c4e6adb9e99a&amp;docid=1f0f8b47c49b27c2_524daaefa335d538&amp;schid=8001&amp;row=56&amp;page=40" TargetMode="External"/><Relationship Id="rId352" Type="http://schemas.openxmlformats.org/officeDocument/2006/relationships/hyperlink" Target="https://journaliststudio.google.com/pinpoint-extract/preview?collection=59c534ba70c0b75b&amp;job=7d986fe353a45a34&amp;docid=f9a22023735ef321_59c534ba70c0b75b&amp;schid=8016&amp;row=3&amp;page=26" TargetMode="External"/><Relationship Id="rId394" Type="http://schemas.openxmlformats.org/officeDocument/2006/relationships/hyperlink" Target="https://journaliststudio.google.com/pinpoint-extract/preview?collection=59c534ba70c0b75b&amp;job=4cd2f64341a72b0b&amp;docid=f9a22023735ef321_59c534ba70c0b75b&amp;schid=8001&amp;row=2&amp;page=29" TargetMode="External"/><Relationship Id="rId408" Type="http://schemas.openxmlformats.org/officeDocument/2006/relationships/hyperlink" Target="https://journaliststudio.google.com/pinpoint-extract/preview?collection=59c534ba70c0b75b&amp;job=4cd2f64341a72b0b&amp;docid=f9a22023735ef321_59c534ba70c0b75b&amp;schid=8001&amp;row=16&amp;page=30" TargetMode="External"/><Relationship Id="rId212" Type="http://schemas.openxmlformats.org/officeDocument/2006/relationships/hyperlink" Target="https://journaliststudio.google.com/pinpoint-extract/preview?collection=59c534ba70c0b75b&amp;job=4cd2f64341a72b0b&amp;docid=d5c6addb973fc20e_59c534ba70c0b75b&amp;schid=8001&amp;row=3&amp;page=38" TargetMode="External"/><Relationship Id="rId254" Type="http://schemas.openxmlformats.org/officeDocument/2006/relationships/hyperlink" Target="https://journaliststudio.google.com/pinpoint-extract/preview?collection=59c534ba70c0b75b&amp;job=4cd2f64341a72b0b&amp;docid=d5c6addb973fc20e_59c534ba70c0b75b&amp;schid=8001&amp;row=45&amp;page=39" TargetMode="External"/><Relationship Id="rId49" Type="http://schemas.openxmlformats.org/officeDocument/2006/relationships/hyperlink" Target="https://journaliststudio.google.com/pinpoint-extract/preview?collection=524daaefa335d538&amp;job=da2bc2801cc717c7&amp;docid=3a84e2afec62e521_524daaefa335d538&amp;schid=8001&amp;row=48&amp;page=48" TargetMode="External"/><Relationship Id="rId114" Type="http://schemas.openxmlformats.org/officeDocument/2006/relationships/hyperlink" Target="https://journaliststudio.google.com/pinpoint-extract/preview?collection=524daaefa335d538&amp;job=a98fe27898c7f9dc&amp;docid=1244364dcff36f7f_524daaefa335d538&amp;schid=8001&amp;row=45&amp;page=42" TargetMode="External"/><Relationship Id="rId296" Type="http://schemas.openxmlformats.org/officeDocument/2006/relationships/hyperlink" Target="https://journaliststudio.google.com/pinpoint-extract/preview?collection=94f5d562231d4dd6&amp;job=ae935e256ae44e8c&amp;docid=bb843fadc6314b6e_94f5d562231d4dd6&amp;schid=8017&amp;row=13&amp;page=27" TargetMode="External"/><Relationship Id="rId461" Type="http://schemas.openxmlformats.org/officeDocument/2006/relationships/hyperlink" Target="https://journaliststudio.google.com/pinpoint-extract/preview?collection=b4db47ccc48595a5&amp;job=97fb37ff89f504eb&amp;docid=252734efe751c385_b4db47ccc48595a5&amp;schid=8093&amp;row=12&amp;page=31" TargetMode="External"/><Relationship Id="rId517" Type="http://schemas.openxmlformats.org/officeDocument/2006/relationships/hyperlink" Target="https://journaliststudio.google.com/pinpoint-extract/preview?collection=b4db47ccc48595a5&amp;job=7e40ac8cfc4579aa&amp;docid=8884d0508c167a2_b4db47ccc48595a5&amp;schid=8001&amp;row=1&amp;page=30" TargetMode="External"/><Relationship Id="rId559" Type="http://schemas.openxmlformats.org/officeDocument/2006/relationships/comments" Target="../comments1.xml"/><Relationship Id="rId60" Type="http://schemas.openxmlformats.org/officeDocument/2006/relationships/hyperlink" Target="https://journaliststudio.google.com/pinpoint-extract/preview?collection=524daaefa335d538&amp;job=da2bc2801cc717c7&amp;docid=3a84e2afec62e521_524daaefa335d538&amp;schid=8001&amp;row=59&amp;page=49" TargetMode="External"/><Relationship Id="rId156" Type="http://schemas.openxmlformats.org/officeDocument/2006/relationships/hyperlink" Target="https://journaliststudio.google.com/pinpoint-extract/preview?collection=524daaefa335d538&amp;job=7dc4c4e6adb9e99a&amp;docid=1f0f8b47c49b27c2_524daaefa335d538&amp;schid=8001&amp;row=21&amp;page=38" TargetMode="External"/><Relationship Id="rId198" Type="http://schemas.openxmlformats.org/officeDocument/2006/relationships/hyperlink" Target="https://journaliststudio.google.com/pinpoint-extract/preview?collection=524daaefa335d538&amp;job=7dc4c4e6adb9e99a&amp;docid=1f0f8b47c49b27c2_524daaefa335d538&amp;schid=8001&amp;row=67&amp;page=40" TargetMode="External"/><Relationship Id="rId321" Type="http://schemas.openxmlformats.org/officeDocument/2006/relationships/hyperlink" Target="https://journaliststudio.google.com/pinpoint-extract/preview?collection=94f5d562231d4dd6&amp;job=73925388c8ca2ad8&amp;docid=bb843fadc6314b6e_94f5d562231d4dd6&amp;schid=8030&amp;row=15&amp;page=28" TargetMode="External"/><Relationship Id="rId363" Type="http://schemas.openxmlformats.org/officeDocument/2006/relationships/hyperlink" Target="https://journaliststudio.google.com/pinpoint-extract/preview?collection=59c534ba70c0b75b&amp;job=7d986fe353a45a34&amp;docid=f9a22023735ef321_59c534ba70c0b75b&amp;schid=8016&amp;row=14&amp;page=26" TargetMode="External"/><Relationship Id="rId419" Type="http://schemas.openxmlformats.org/officeDocument/2006/relationships/hyperlink" Target="https://journaliststudio.google.com/pinpoint-extract/preview?collection=b4db47ccc48595a5&amp;job=1feec7ab74957524&amp;docid=252734efe751c385_b4db47ccc48595a5&amp;schid=8042&amp;row=5&amp;page=29" TargetMode="External"/><Relationship Id="rId223" Type="http://schemas.openxmlformats.org/officeDocument/2006/relationships/hyperlink" Target="https://journaliststudio.google.com/pinpoint-extract/preview?collection=59c534ba70c0b75b&amp;job=4cd2f64341a72b0b&amp;docid=d5c6addb973fc20e_59c534ba70c0b75b&amp;schid=8001&amp;row=14&amp;page=38" TargetMode="External"/><Relationship Id="rId430" Type="http://schemas.openxmlformats.org/officeDocument/2006/relationships/hyperlink" Target="https://journaliststudio.google.com/pinpoint-extract/preview?collection=b4db47ccc48595a5&amp;job=1feec7ab74957524&amp;docid=252734efe751c385_b4db47ccc48595a5&amp;schid=8042&amp;row=16&amp;page=29" TargetMode="External"/><Relationship Id="rId18" Type="http://schemas.openxmlformats.org/officeDocument/2006/relationships/hyperlink" Target="https://journaliststudio.google.com/pinpoint-extract/preview?collection=524daaefa335d538&amp;job=da2bc2801cc717c7&amp;docid=3a84e2afec62e521_524daaefa335d538&amp;schid=8001&amp;row=17&amp;page=46" TargetMode="External"/><Relationship Id="rId265" Type="http://schemas.openxmlformats.org/officeDocument/2006/relationships/hyperlink" Target="https://journaliststudio.google.com/pinpoint-extract/preview?collection=59c534ba70c0b75b&amp;job=4cd2f64341a72b0b&amp;docid=d5c6addb973fc20e_59c534ba70c0b75b&amp;schid=8001&amp;row=56&amp;page=40" TargetMode="External"/><Relationship Id="rId472" Type="http://schemas.openxmlformats.org/officeDocument/2006/relationships/hyperlink" Target="https://journaliststudio.google.com/pinpoint-extract/preview?collection=b4db47ccc48595a5&amp;job=effa8401566aaec6&amp;docid=46e4f917ea989928_b4db47ccc48595a5&amp;schid=8012&amp;row=6&amp;page=42" TargetMode="External"/><Relationship Id="rId528" Type="http://schemas.openxmlformats.org/officeDocument/2006/relationships/hyperlink" Target="https://journaliststudio.google.com/pinpoint-extract/preview?collection=b4db47ccc48595a5&amp;job=7e40ac8cfc4579aa&amp;docid=8884d0508c167a2_b4db47ccc48595a5&amp;schid=8001&amp;row=12&amp;page=30" TargetMode="External"/><Relationship Id="rId125" Type="http://schemas.openxmlformats.org/officeDocument/2006/relationships/hyperlink" Target="https://journaliststudio.google.com/pinpoint-extract/preview?collection=524daaefa335d538&amp;job=a98fe27898c7f9dc&amp;docid=1244364dcff36f7f_524daaefa335d538&amp;schid=8001&amp;row=56&amp;page=42" TargetMode="External"/><Relationship Id="rId167" Type="http://schemas.openxmlformats.org/officeDocument/2006/relationships/hyperlink" Target="https://journaliststudio.google.com/pinpoint-extract/preview?collection=524daaefa335d538&amp;job=7dc4c4e6adb9e99a&amp;docid=1f0f8b47c49b27c2_524daaefa335d538&amp;schid=8001&amp;row=34&amp;page=39" TargetMode="External"/><Relationship Id="rId332" Type="http://schemas.openxmlformats.org/officeDocument/2006/relationships/hyperlink" Target="https://journaliststudio.google.com/pinpoint-extract/preview?collection=94f5d562231d4dd6&amp;job=73925388c8ca2ad8&amp;docid=bb843fadc6314b6e_94f5d562231d4dd6&amp;schid=8030&amp;row=26&amp;page=29" TargetMode="External"/><Relationship Id="rId374" Type="http://schemas.openxmlformats.org/officeDocument/2006/relationships/hyperlink" Target="https://journaliststudio.google.com/pinpoint-extract/preview?collection=59c534ba70c0b75b&amp;job=35432234b21c40f6&amp;docid=f9a22023735ef321_59c534ba70c0b75b&amp;schid=8030&amp;row=10&amp;page=27" TargetMode="External"/><Relationship Id="rId71" Type="http://schemas.openxmlformats.org/officeDocument/2006/relationships/hyperlink" Target="https://journaliststudio.google.com/pinpoint-extract/preview?collection=524daaefa335d538&amp;job=a98fe27898c7f9dc&amp;docid=1244364dcff36f7f_524daaefa335d538&amp;schid=8001&amp;row=2&amp;page=40" TargetMode="External"/><Relationship Id="rId234" Type="http://schemas.openxmlformats.org/officeDocument/2006/relationships/hyperlink" Target="https://journaliststudio.google.com/pinpoint-extract/preview?collection=59c534ba70c0b75b&amp;job=4cd2f64341a72b0b&amp;docid=d5c6addb973fc20e_59c534ba70c0b75b&amp;schid=8001&amp;row=25&amp;page=39" TargetMode="External"/><Relationship Id="rId2" Type="http://schemas.openxmlformats.org/officeDocument/2006/relationships/hyperlink" Target="https://journaliststudio.google.com/pinpoint-extract/preview?collection=524daaefa335d538&amp;job=da2bc2801cc717c7&amp;docid=3a84e2afec62e521_524daaefa335d538&amp;schid=8001&amp;row=1&amp;page=45" TargetMode="External"/><Relationship Id="rId29" Type="http://schemas.openxmlformats.org/officeDocument/2006/relationships/hyperlink" Target="https://journaliststudio.google.com/pinpoint-extract/preview?collection=524daaefa335d538&amp;job=da2bc2801cc717c7&amp;docid=3a84e2afec62e521_524daaefa335d538&amp;schid=8001&amp;row=28&amp;page=47" TargetMode="External"/><Relationship Id="rId276" Type="http://schemas.openxmlformats.org/officeDocument/2006/relationships/hyperlink" Target="https://journaliststudio.google.com/pinpoint-extract/preview?collection=59c534ba70c0b75b&amp;job=4cd2f64341a72b0b&amp;docid=d5c6addb973fc20e_59c534ba70c0b75b&amp;schid=8001&amp;row=67&amp;page=40" TargetMode="External"/><Relationship Id="rId441" Type="http://schemas.openxmlformats.org/officeDocument/2006/relationships/hyperlink" Target="https://journaliststudio.google.com/pinpoint-extract/preview?collection=b4db47ccc48595a5&amp;job=7bbb0f67809b104e&amp;docid=252734efe751c385_b4db47ccc48595a5&amp;schid=8081&amp;row=10&amp;page=30" TargetMode="External"/><Relationship Id="rId483" Type="http://schemas.openxmlformats.org/officeDocument/2006/relationships/hyperlink" Target="https://journaliststudio.google.com/pinpoint-extract/preview?collection=b4db47ccc48595a5&amp;job=effa8401566aaec6&amp;docid=46e4f917ea989928_b4db47ccc48595a5&amp;schid=8012&amp;row=17&amp;page=42" TargetMode="External"/><Relationship Id="rId539" Type="http://schemas.openxmlformats.org/officeDocument/2006/relationships/hyperlink" Target="https://journaliststudio.google.com/pinpoint-extract/preview?collection=b4db47ccc48595a5&amp;job=7e40ac8cfc4579aa&amp;docid=8884d0508c167a2_b4db47ccc48595a5&amp;schid=8001&amp;row=23&amp;page=31" TargetMode="External"/><Relationship Id="rId40" Type="http://schemas.openxmlformats.org/officeDocument/2006/relationships/hyperlink" Target="https://journaliststudio.google.com/pinpoint-extract/preview?collection=524daaefa335d538&amp;job=da2bc2801cc717c7&amp;docid=3a84e2afec62e521_524daaefa335d538&amp;schid=8001&amp;row=39&amp;page=48" TargetMode="External"/><Relationship Id="rId136" Type="http://schemas.openxmlformats.org/officeDocument/2006/relationships/hyperlink" Target="https://journaliststudio.google.com/pinpoint-extract/preview?collection=524daaefa335d538&amp;job=a98fe27898c7f9dc&amp;docid=1244364dcff36f7f_524daaefa335d538&amp;schid=8001&amp;row=67&amp;page=43" TargetMode="External"/><Relationship Id="rId178" Type="http://schemas.openxmlformats.org/officeDocument/2006/relationships/hyperlink" Target="https://journaliststudio.google.com/pinpoint-extract/preview?collection=524daaefa335d538&amp;job=7dc4c4e6adb9e99a&amp;docid=1f0f8b47c49b27c2_524daaefa335d538&amp;schid=8001&amp;row=45&amp;page=39" TargetMode="External"/><Relationship Id="rId301" Type="http://schemas.openxmlformats.org/officeDocument/2006/relationships/hyperlink" Target="https://journaliststudio.google.com/pinpoint-extract/preview?collection=94f5d562231d4dd6&amp;job=ae935e256ae44e8c&amp;docid=bb843fadc6314b6e_94f5d562231d4dd6&amp;schid=8017&amp;row=18&amp;page=27" TargetMode="External"/><Relationship Id="rId343" Type="http://schemas.openxmlformats.org/officeDocument/2006/relationships/hyperlink" Target="https://journaliststudio.google.com/pinpoint-extract/preview?collection=94f5d562231d4dd6&amp;job=73925388c8ca2ad8&amp;docid=bb843fadc6314b6e_94f5d562231d4dd6&amp;schid=8030&amp;row=37&amp;page=29" TargetMode="External"/><Relationship Id="rId550" Type="http://schemas.openxmlformats.org/officeDocument/2006/relationships/hyperlink" Target="https://journaliststudio.google.com/pinpoint-extract/preview?collection=b4db47ccc48595a5&amp;job=7e40ac8cfc4579aa&amp;docid=8884d0508c167a2_b4db47ccc48595a5&amp;schid=8001&amp;row=34&amp;page=31" TargetMode="External"/><Relationship Id="rId82" Type="http://schemas.openxmlformats.org/officeDocument/2006/relationships/hyperlink" Target="https://journaliststudio.google.com/pinpoint-extract/preview?collection=524daaefa335d538&amp;job=a98fe27898c7f9dc&amp;docid=1244364dcff36f7f_524daaefa335d538&amp;schid=8001&amp;row=13&amp;page=40" TargetMode="External"/><Relationship Id="rId203" Type="http://schemas.openxmlformats.org/officeDocument/2006/relationships/hyperlink" Target="https://journaliststudio.google.com/pinpoint-extract/preview?collection=524daaefa335d538&amp;job=7dc4c4e6adb9e99a&amp;docid=1f0f8b47c49b27c2_524daaefa335d538&amp;schid=8001&amp;row=72&amp;page=40" TargetMode="External"/><Relationship Id="rId385" Type="http://schemas.openxmlformats.org/officeDocument/2006/relationships/hyperlink" Target="https://journaliststudio.google.com/pinpoint-extract/preview?collection=59c534ba70c0b75b&amp;job=f96ade24dc66657&amp;docid=f9a22023735ef321_59c534ba70c0b75b&amp;schid=8044&amp;row=8&amp;page=28" TargetMode="External"/><Relationship Id="rId245" Type="http://schemas.openxmlformats.org/officeDocument/2006/relationships/hyperlink" Target="https://journaliststudio.google.com/pinpoint-extract/preview?collection=59c534ba70c0b75b&amp;job=4cd2f64341a72b0b&amp;docid=d5c6addb973fc20e_59c534ba70c0b75b&amp;schid=8001&amp;row=36&amp;page=39" TargetMode="External"/><Relationship Id="rId287" Type="http://schemas.openxmlformats.org/officeDocument/2006/relationships/hyperlink" Target="https://journaliststudio.google.com/pinpoint-extract/preview?collection=94f5d562231d4dd6&amp;job=ae935e256ae44e8c&amp;docid=bb843fadc6314b6e_94f5d562231d4dd6&amp;schid=8017&amp;row=4&amp;page=27" TargetMode="External"/><Relationship Id="rId410" Type="http://schemas.openxmlformats.org/officeDocument/2006/relationships/hyperlink" Target="https://journaliststudio.google.com/pinpoint-extract/preview?collection=59c534ba70c0b75b&amp;job=4cd2f64341a72b0b&amp;docid=f9a22023735ef321_59c534ba70c0b75b&amp;schid=8001&amp;row=18&amp;page=30" TargetMode="External"/><Relationship Id="rId452" Type="http://schemas.openxmlformats.org/officeDocument/2006/relationships/hyperlink" Target="https://journaliststudio.google.com/pinpoint-extract/preview?collection=b4db47ccc48595a5&amp;job=97fb37ff89f504eb&amp;docid=252734efe751c385_b4db47ccc48595a5&amp;schid=8093&amp;row=3&amp;page=31" TargetMode="External"/><Relationship Id="rId494" Type="http://schemas.openxmlformats.org/officeDocument/2006/relationships/hyperlink" Target="https://journaliststudio.google.com/pinpoint-extract/preview?collection=b4db47ccc48595a5&amp;job=8ce95af7bbe3ae32&amp;docid=46e4f917ea989928_b4db47ccc48595a5&amp;schid=8033&amp;row=10&amp;page=43" TargetMode="External"/><Relationship Id="rId508" Type="http://schemas.openxmlformats.org/officeDocument/2006/relationships/hyperlink" Target="https://journaliststudio.google.com/pinpoint-extract/preview?collection=b4db47ccc48595a5&amp;job=b966e2a83e48c6be&amp;docid=46e4f917ea989928_b4db47ccc48595a5&amp;schid=8001&amp;row=6&amp;page=44" TargetMode="External"/><Relationship Id="rId105" Type="http://schemas.openxmlformats.org/officeDocument/2006/relationships/hyperlink" Target="https://journaliststudio.google.com/pinpoint-extract/preview?collection=524daaefa335d538&amp;job=a98fe27898c7f9dc&amp;docid=1244364dcff36f7f_524daaefa335d538&amp;schid=8001&amp;row=36&amp;page=41" TargetMode="External"/><Relationship Id="rId147" Type="http://schemas.openxmlformats.org/officeDocument/2006/relationships/hyperlink" Target="https://journaliststudio.google.com/pinpoint-extract/preview?collection=524daaefa335d538&amp;job=7dc4c4e6adb9e99a&amp;docid=1f0f8b47c49b27c2_524daaefa335d538&amp;schid=8001&amp;row=12&amp;page=38" TargetMode="External"/><Relationship Id="rId312" Type="http://schemas.openxmlformats.org/officeDocument/2006/relationships/hyperlink" Target="https://journaliststudio.google.com/pinpoint-extract/preview?collection=94f5d562231d4dd6&amp;job=73925388c8ca2ad8&amp;docid=bb843fadc6314b6e_94f5d562231d4dd6&amp;schid=8030&amp;row=6&amp;page=28" TargetMode="External"/><Relationship Id="rId354" Type="http://schemas.openxmlformats.org/officeDocument/2006/relationships/hyperlink" Target="https://journaliststudio.google.com/pinpoint-extract/preview?collection=59c534ba70c0b75b&amp;job=7d986fe353a45a34&amp;docid=f9a22023735ef321_59c534ba70c0b75b&amp;schid=8016&amp;row=5&amp;page=26" TargetMode="External"/><Relationship Id="rId51" Type="http://schemas.openxmlformats.org/officeDocument/2006/relationships/hyperlink" Target="https://journaliststudio.google.com/pinpoint-extract/preview?collection=524daaefa335d538&amp;job=da2bc2801cc717c7&amp;docid=3a84e2afec62e521_524daaefa335d538&amp;schid=8001&amp;row=50&amp;page=48" TargetMode="External"/><Relationship Id="rId93" Type="http://schemas.openxmlformats.org/officeDocument/2006/relationships/hyperlink" Target="https://journaliststudio.google.com/pinpoint-extract/preview?collection=524daaefa335d538&amp;job=a98fe27898c7f9dc&amp;docid=1244364dcff36f7f_524daaefa335d538&amp;schid=8001&amp;row=24&amp;page=41" TargetMode="External"/><Relationship Id="rId189" Type="http://schemas.openxmlformats.org/officeDocument/2006/relationships/hyperlink" Target="https://journaliststudio.google.com/pinpoint-extract/preview?collection=524daaefa335d538&amp;job=7dc4c4e6adb9e99a&amp;docid=1f0f8b47c49b27c2_524daaefa335d538&amp;schid=8001&amp;row=58&amp;page=40" TargetMode="External"/><Relationship Id="rId396" Type="http://schemas.openxmlformats.org/officeDocument/2006/relationships/hyperlink" Target="https://journaliststudio.google.com/pinpoint-extract/preview?collection=59c534ba70c0b75b&amp;job=4cd2f64341a72b0b&amp;docid=f9a22023735ef321_59c534ba70c0b75b&amp;schid=8001&amp;row=4&amp;page=29" TargetMode="External"/><Relationship Id="rId214" Type="http://schemas.openxmlformats.org/officeDocument/2006/relationships/hyperlink" Target="https://journaliststudio.google.com/pinpoint-extract/preview?collection=59c534ba70c0b75b&amp;job=4cd2f64341a72b0b&amp;docid=d5c6addb973fc20e_59c534ba70c0b75b&amp;schid=8001&amp;row=5&amp;page=38" TargetMode="External"/><Relationship Id="rId256" Type="http://schemas.openxmlformats.org/officeDocument/2006/relationships/hyperlink" Target="https://journaliststudio.google.com/pinpoint-extract/preview?collection=59c534ba70c0b75b&amp;job=4cd2f64341a72b0b&amp;docid=d5c6addb973fc20e_59c534ba70c0b75b&amp;schid=8001&amp;row=47&amp;page=40" TargetMode="External"/><Relationship Id="rId298" Type="http://schemas.openxmlformats.org/officeDocument/2006/relationships/hyperlink" Target="https://journaliststudio.google.com/pinpoint-extract/preview?collection=94f5d562231d4dd6&amp;job=ae935e256ae44e8c&amp;docid=bb843fadc6314b6e_94f5d562231d4dd6&amp;schid=8017&amp;row=15&amp;page=27" TargetMode="External"/><Relationship Id="rId421" Type="http://schemas.openxmlformats.org/officeDocument/2006/relationships/hyperlink" Target="https://journaliststudio.google.com/pinpoint-extract/preview?collection=b4db47ccc48595a5&amp;job=1feec7ab74957524&amp;docid=252734efe751c385_b4db47ccc48595a5&amp;schid=8042&amp;row=7&amp;page=29" TargetMode="External"/><Relationship Id="rId463" Type="http://schemas.openxmlformats.org/officeDocument/2006/relationships/hyperlink" Target="https://journaliststudio.google.com/pinpoint-extract/preview?collection=b4db47ccc48595a5&amp;job=97fb37ff89f504eb&amp;docid=252734efe751c385_b4db47ccc48595a5&amp;schid=8093&amp;row=14&amp;page=31" TargetMode="External"/><Relationship Id="rId519" Type="http://schemas.openxmlformats.org/officeDocument/2006/relationships/hyperlink" Target="https://journaliststudio.google.com/pinpoint-extract/preview?collection=b4db47ccc48595a5&amp;job=7e40ac8cfc4579aa&amp;docid=8884d0508c167a2_b4db47ccc48595a5&amp;schid=8001&amp;row=3&amp;page=30" TargetMode="External"/><Relationship Id="rId116" Type="http://schemas.openxmlformats.org/officeDocument/2006/relationships/hyperlink" Target="https://journaliststudio.google.com/pinpoint-extract/preview?collection=524daaefa335d538&amp;job=a98fe27898c7f9dc&amp;docid=1244364dcff36f7f_524daaefa335d538&amp;schid=8001&amp;row=47&amp;page=42" TargetMode="External"/><Relationship Id="rId158" Type="http://schemas.openxmlformats.org/officeDocument/2006/relationships/hyperlink" Target="https://journaliststudio.google.com/pinpoint-extract/preview?collection=524daaefa335d538&amp;job=7dc4c4e6adb9e99a&amp;docid=1f0f8b47c49b27c2_524daaefa335d538&amp;schid=8001&amp;row=23&amp;page=38" TargetMode="External"/><Relationship Id="rId323" Type="http://schemas.openxmlformats.org/officeDocument/2006/relationships/hyperlink" Target="https://journaliststudio.google.com/pinpoint-extract/preview?collection=94f5d562231d4dd6&amp;job=73925388c8ca2ad8&amp;docid=bb843fadc6314b6e_94f5d562231d4dd6&amp;schid=8030&amp;row=17&amp;page=28" TargetMode="External"/><Relationship Id="rId530" Type="http://schemas.openxmlformats.org/officeDocument/2006/relationships/hyperlink" Target="https://journaliststudio.google.com/pinpoint-extract/preview?collection=b4db47ccc48595a5&amp;job=7e40ac8cfc4579aa&amp;docid=8884d0508c167a2_b4db47ccc48595a5&amp;schid=8001&amp;row=14&amp;page=30" TargetMode="External"/><Relationship Id="rId20" Type="http://schemas.openxmlformats.org/officeDocument/2006/relationships/hyperlink" Target="https://journaliststudio.google.com/pinpoint-extract/preview?collection=524daaefa335d538&amp;job=da2bc2801cc717c7&amp;docid=3a84e2afec62e521_524daaefa335d538&amp;schid=8001&amp;row=19&amp;page=46" TargetMode="External"/><Relationship Id="rId62" Type="http://schemas.openxmlformats.org/officeDocument/2006/relationships/hyperlink" Target="https://journaliststudio.google.com/pinpoint-extract/preview?collection=524daaefa335d538&amp;job=da2bc2801cc717c7&amp;docid=3a84e2afec62e521_524daaefa335d538&amp;schid=8001&amp;row=61&amp;page=49" TargetMode="External"/><Relationship Id="rId365" Type="http://schemas.openxmlformats.org/officeDocument/2006/relationships/hyperlink" Target="https://journaliststudio.google.com/pinpoint-extract/preview?collection=59c534ba70c0b75b&amp;job=35432234b21c40f6&amp;docid=f9a22023735ef321_59c534ba70c0b75b&amp;schid=8030&amp;row=1&amp;page=27" TargetMode="External"/><Relationship Id="rId225" Type="http://schemas.openxmlformats.org/officeDocument/2006/relationships/hyperlink" Target="https://journaliststudio.google.com/pinpoint-extract/preview?collection=59c534ba70c0b75b&amp;job=4cd2f64341a72b0b&amp;docid=d5c6addb973fc20e_59c534ba70c0b75b&amp;schid=8001&amp;row=16&amp;page=38" TargetMode="External"/><Relationship Id="rId267" Type="http://schemas.openxmlformats.org/officeDocument/2006/relationships/hyperlink" Target="https://journaliststudio.google.com/pinpoint-extract/preview?collection=59c534ba70c0b75b&amp;job=4cd2f64341a72b0b&amp;docid=d5c6addb973fc20e_59c534ba70c0b75b&amp;schid=8001&amp;row=58&amp;page=40" TargetMode="External"/><Relationship Id="rId432" Type="http://schemas.openxmlformats.org/officeDocument/2006/relationships/hyperlink" Target="https://journaliststudio.google.com/pinpoint-extract/preview?collection=b4db47ccc48595a5&amp;job=7bbb0f67809b104e&amp;docid=252734efe751c385_b4db47ccc48595a5&amp;schid=8081&amp;row=1&amp;page=30" TargetMode="External"/><Relationship Id="rId474" Type="http://schemas.openxmlformats.org/officeDocument/2006/relationships/hyperlink" Target="https://journaliststudio.google.com/pinpoint-extract/preview?collection=b4db47ccc48595a5&amp;job=effa8401566aaec6&amp;docid=46e4f917ea989928_b4db47ccc48595a5&amp;schid=8012&amp;row=8&amp;page=42" TargetMode="External"/><Relationship Id="rId127" Type="http://schemas.openxmlformats.org/officeDocument/2006/relationships/hyperlink" Target="https://journaliststudio.google.com/pinpoint-extract/preview?collection=524daaefa335d538&amp;job=a98fe27898c7f9dc&amp;docid=1244364dcff36f7f_524daaefa335d538&amp;schid=8001&amp;row=58&amp;page=43" TargetMode="External"/><Relationship Id="rId31" Type="http://schemas.openxmlformats.org/officeDocument/2006/relationships/hyperlink" Target="https://journaliststudio.google.com/pinpoint-extract/preview?collection=524daaefa335d538&amp;job=da2bc2801cc717c7&amp;docid=3a84e2afec62e521_524daaefa335d538&amp;schid=8001&amp;row=30&amp;page=47" TargetMode="External"/><Relationship Id="rId73" Type="http://schemas.openxmlformats.org/officeDocument/2006/relationships/hyperlink" Target="https://journaliststudio.google.com/pinpoint-extract/preview?collection=524daaefa335d538&amp;job=a98fe27898c7f9dc&amp;docid=1244364dcff36f7f_524daaefa335d538&amp;schid=8001&amp;row=4&amp;page=40" TargetMode="External"/><Relationship Id="rId169" Type="http://schemas.openxmlformats.org/officeDocument/2006/relationships/hyperlink" Target="https://journaliststudio.google.com/pinpoint-extract/preview?collection=524daaefa335d538&amp;job=7dc4c4e6adb9e99a&amp;docid=1f0f8b47c49b27c2_524daaefa335d538&amp;schid=8001&amp;row=36&amp;page=39" TargetMode="External"/><Relationship Id="rId334" Type="http://schemas.openxmlformats.org/officeDocument/2006/relationships/hyperlink" Target="https://journaliststudio.google.com/pinpoint-extract/preview?collection=94f5d562231d4dd6&amp;job=73925388c8ca2ad8&amp;docid=bb843fadc6314b6e_94f5d562231d4dd6&amp;schid=8030&amp;row=28&amp;page=29" TargetMode="External"/><Relationship Id="rId376" Type="http://schemas.openxmlformats.org/officeDocument/2006/relationships/hyperlink" Target="https://journaliststudio.google.com/pinpoint-extract/preview?collection=59c534ba70c0b75b&amp;job=35432234b21c40f6&amp;docid=f9a22023735ef321_59c534ba70c0b75b&amp;schid=8030&amp;row=12&amp;page=27" TargetMode="External"/><Relationship Id="rId541" Type="http://schemas.openxmlformats.org/officeDocument/2006/relationships/hyperlink" Target="https://journaliststudio.google.com/pinpoint-extract/preview?collection=b4db47ccc48595a5&amp;job=7e40ac8cfc4579aa&amp;docid=8884d0508c167a2_b4db47ccc48595a5&amp;schid=8001&amp;row=25&amp;page=31" TargetMode="External"/><Relationship Id="rId4" Type="http://schemas.openxmlformats.org/officeDocument/2006/relationships/hyperlink" Target="https://journaliststudio.google.com/pinpoint-extract/preview?collection=524daaefa335d538&amp;job=da2bc2801cc717c7&amp;docid=3a84e2afec62e521_524daaefa335d538&amp;schid=8001&amp;row=3&amp;page=45" TargetMode="External"/><Relationship Id="rId180" Type="http://schemas.openxmlformats.org/officeDocument/2006/relationships/hyperlink" Target="https://journaliststudio.google.com/pinpoint-extract/preview?collection=524daaefa335d538&amp;job=7dc4c4e6adb9e99a&amp;docid=1f0f8b47c49b27c2_524daaefa335d538&amp;schid=8001&amp;row=47&amp;page=39" TargetMode="External"/><Relationship Id="rId236" Type="http://schemas.openxmlformats.org/officeDocument/2006/relationships/hyperlink" Target="https://journaliststudio.google.com/pinpoint-extract/preview?collection=59c534ba70c0b75b&amp;job=4cd2f64341a72b0b&amp;docid=d5c6addb973fc20e_59c534ba70c0b75b&amp;schid=8001&amp;row=27&amp;page=39" TargetMode="External"/><Relationship Id="rId278" Type="http://schemas.openxmlformats.org/officeDocument/2006/relationships/hyperlink" Target="https://journaliststudio.google.com/pinpoint-extract/preview?collection=59c534ba70c0b75b&amp;job=4cd2f64341a72b0b&amp;docid=d5c6addb973fc20e_59c534ba70c0b75b&amp;schid=8001&amp;row=69&amp;page=40" TargetMode="External"/><Relationship Id="rId401" Type="http://schemas.openxmlformats.org/officeDocument/2006/relationships/hyperlink" Target="https://journaliststudio.google.com/pinpoint-extract/preview?collection=59c534ba70c0b75b&amp;job=4cd2f64341a72b0b&amp;docid=f9a22023735ef321_59c534ba70c0b75b&amp;schid=8001&amp;row=9&amp;page=29" TargetMode="External"/><Relationship Id="rId443" Type="http://schemas.openxmlformats.org/officeDocument/2006/relationships/hyperlink" Target="https://journaliststudio.google.com/pinpoint-extract/preview?collection=b4db47ccc48595a5&amp;job=7bbb0f67809b104e&amp;docid=252734efe751c385_b4db47ccc48595a5&amp;schid=8081&amp;row=12&amp;page=30" TargetMode="External"/><Relationship Id="rId303" Type="http://schemas.openxmlformats.org/officeDocument/2006/relationships/hyperlink" Target="https://journaliststudio.google.com/pinpoint-extract/preview?collection=94f5d562231d4dd6&amp;job=ae935e256ae44e8c&amp;docid=bb843fadc6314b6e_94f5d562231d4dd6&amp;schid=8017&amp;row=20&amp;page=27" TargetMode="External"/><Relationship Id="rId485" Type="http://schemas.openxmlformats.org/officeDocument/2006/relationships/hyperlink" Target="https://journaliststudio.google.com/pinpoint-extract/preview?collection=b4db47ccc48595a5&amp;job=8ce95af7bbe3ae32&amp;docid=46e4f917ea989928_b4db47ccc48595a5&amp;schid=8033&amp;row=1&amp;page=43" TargetMode="External"/><Relationship Id="rId42" Type="http://schemas.openxmlformats.org/officeDocument/2006/relationships/hyperlink" Target="https://journaliststudio.google.com/pinpoint-extract/preview?collection=524daaefa335d538&amp;job=da2bc2801cc717c7&amp;docid=3a84e2afec62e521_524daaefa335d538&amp;schid=8001&amp;row=41&amp;page=48" TargetMode="External"/><Relationship Id="rId84" Type="http://schemas.openxmlformats.org/officeDocument/2006/relationships/hyperlink" Target="https://journaliststudio.google.com/pinpoint-extract/preview?collection=524daaefa335d538&amp;job=a98fe27898c7f9dc&amp;docid=1244364dcff36f7f_524daaefa335d538&amp;schid=8001&amp;row=15&amp;page=40" TargetMode="External"/><Relationship Id="rId138" Type="http://schemas.openxmlformats.org/officeDocument/2006/relationships/hyperlink" Target="https://journaliststudio.google.com/pinpoint-extract/preview?collection=524daaefa335d538&amp;job=7dc4c4e6adb9e99a&amp;docid=1f0f8b47c49b27c2_524daaefa335d538&amp;schid=8001&amp;row=3&amp;page=38" TargetMode="External"/><Relationship Id="rId345" Type="http://schemas.openxmlformats.org/officeDocument/2006/relationships/hyperlink" Target="https://journaliststudio.google.com/pinpoint-extract/preview?collection=94f5d562231d4dd6&amp;job=73925388c8ca2ad8&amp;docid=bb843fadc6314b6e_94f5d562231d4dd6&amp;schid=8030&amp;row=39&amp;page=29" TargetMode="External"/><Relationship Id="rId387" Type="http://schemas.openxmlformats.org/officeDocument/2006/relationships/hyperlink" Target="https://journaliststudio.google.com/pinpoint-extract/preview?collection=59c534ba70c0b75b&amp;job=f96ade24dc66657&amp;docid=f9a22023735ef321_59c534ba70c0b75b&amp;schid=8044&amp;row=10&amp;page=28" TargetMode="External"/><Relationship Id="rId510" Type="http://schemas.openxmlformats.org/officeDocument/2006/relationships/hyperlink" Target="https://journaliststudio.google.com/pinpoint-extract/preview?collection=b4db47ccc48595a5&amp;job=b966e2a83e48c6be&amp;docid=46e4f917ea989928_b4db47ccc48595a5&amp;schid=8001&amp;row=8&amp;page=44" TargetMode="External"/><Relationship Id="rId552" Type="http://schemas.openxmlformats.org/officeDocument/2006/relationships/hyperlink" Target="https://journaliststudio.google.com/pinpoint-extract/preview?collection=b4db47ccc48595a5&amp;job=7e40ac8cfc4579aa&amp;docid=8884d0508c167a2_b4db47ccc48595a5&amp;schid=8001&amp;row=36&amp;page=31" TargetMode="External"/><Relationship Id="rId191" Type="http://schemas.openxmlformats.org/officeDocument/2006/relationships/hyperlink" Target="https://journaliststudio.google.com/pinpoint-extract/preview?collection=524daaefa335d538&amp;job=7dc4c4e6adb9e99a&amp;docid=1f0f8b47c49b27c2_524daaefa335d538&amp;schid=8001&amp;row=60&amp;page=40" TargetMode="External"/><Relationship Id="rId205" Type="http://schemas.openxmlformats.org/officeDocument/2006/relationships/hyperlink" Target="https://journaliststudio.google.com/pinpoint-extract/preview?collection=524daaefa335d538&amp;job=7dc4c4e6adb9e99a&amp;docid=1f0f8b47c49b27c2_524daaefa335d538&amp;schid=8001&amp;row=74&amp;page=40" TargetMode="External"/><Relationship Id="rId247" Type="http://schemas.openxmlformats.org/officeDocument/2006/relationships/hyperlink" Target="https://journaliststudio.google.com/pinpoint-extract/preview?collection=59c534ba70c0b75b&amp;job=4cd2f64341a72b0b&amp;docid=d5c6addb973fc20e_59c534ba70c0b75b&amp;schid=8001&amp;row=38&amp;page=39" TargetMode="External"/><Relationship Id="rId412" Type="http://schemas.openxmlformats.org/officeDocument/2006/relationships/hyperlink" Target="https://journaliststudio.google.com/pinpoint-extract/preview?collection=59c534ba70c0b75b&amp;job=4cd2f64341a72b0b&amp;docid=f9a22023735ef321_59c534ba70c0b75b&amp;schid=8001&amp;row=20&amp;page=30" TargetMode="External"/><Relationship Id="rId107" Type="http://schemas.openxmlformats.org/officeDocument/2006/relationships/hyperlink" Target="https://journaliststudio.google.com/pinpoint-extract/preview?collection=524daaefa335d538&amp;job=a98fe27898c7f9dc&amp;docid=1244364dcff36f7f_524daaefa335d538&amp;schid=8001&amp;row=38&amp;page=42" TargetMode="External"/><Relationship Id="rId289" Type="http://schemas.openxmlformats.org/officeDocument/2006/relationships/hyperlink" Target="https://journaliststudio.google.com/pinpoint-extract/preview?collection=94f5d562231d4dd6&amp;job=ae935e256ae44e8c&amp;docid=bb843fadc6314b6e_94f5d562231d4dd6&amp;schid=8017&amp;row=6&amp;page=27" TargetMode="External"/><Relationship Id="rId454" Type="http://schemas.openxmlformats.org/officeDocument/2006/relationships/hyperlink" Target="https://journaliststudio.google.com/pinpoint-extract/preview?collection=b4db47ccc48595a5&amp;job=97fb37ff89f504eb&amp;docid=252734efe751c385_b4db47ccc48595a5&amp;schid=8093&amp;row=5&amp;page=31" TargetMode="External"/><Relationship Id="rId496" Type="http://schemas.openxmlformats.org/officeDocument/2006/relationships/hyperlink" Target="https://journaliststudio.google.com/pinpoint-extract/preview?collection=b4db47ccc48595a5&amp;job=8ce95af7bbe3ae32&amp;docid=46e4f917ea989928_b4db47ccc48595a5&amp;schid=8033&amp;row=12&amp;page=43" TargetMode="External"/><Relationship Id="rId11" Type="http://schemas.openxmlformats.org/officeDocument/2006/relationships/hyperlink" Target="https://journaliststudio.google.com/pinpoint-extract/preview?collection=524daaefa335d538&amp;job=da2bc2801cc717c7&amp;docid=3a84e2afec62e521_524daaefa335d538&amp;schid=8001&amp;row=10&amp;page=45" TargetMode="External"/><Relationship Id="rId53" Type="http://schemas.openxmlformats.org/officeDocument/2006/relationships/hyperlink" Target="https://journaliststudio.google.com/pinpoint-extract/preview?collection=524daaefa335d538&amp;job=da2bc2801cc717c7&amp;docid=3a84e2afec62e521_524daaefa335d538&amp;schid=8001&amp;row=52&amp;page=48" TargetMode="External"/><Relationship Id="rId149" Type="http://schemas.openxmlformats.org/officeDocument/2006/relationships/hyperlink" Target="https://journaliststudio.google.com/pinpoint-extract/preview?collection=524daaefa335d538&amp;job=7dc4c4e6adb9e99a&amp;docid=1f0f8b47c49b27c2_524daaefa335d538&amp;schid=8001&amp;row=14&amp;page=38" TargetMode="External"/><Relationship Id="rId314" Type="http://schemas.openxmlformats.org/officeDocument/2006/relationships/hyperlink" Target="https://journaliststudio.google.com/pinpoint-extract/preview?collection=94f5d562231d4dd6&amp;job=73925388c8ca2ad8&amp;docid=bb843fadc6314b6e_94f5d562231d4dd6&amp;schid=8030&amp;row=8&amp;page=28" TargetMode="External"/><Relationship Id="rId356" Type="http://schemas.openxmlformats.org/officeDocument/2006/relationships/hyperlink" Target="https://journaliststudio.google.com/pinpoint-extract/preview?collection=59c534ba70c0b75b&amp;job=7d986fe353a45a34&amp;docid=f9a22023735ef321_59c534ba70c0b75b&amp;schid=8016&amp;row=7&amp;page=26" TargetMode="External"/><Relationship Id="rId398" Type="http://schemas.openxmlformats.org/officeDocument/2006/relationships/hyperlink" Target="https://journaliststudio.google.com/pinpoint-extract/preview?collection=59c534ba70c0b75b&amp;job=4cd2f64341a72b0b&amp;docid=f9a22023735ef321_59c534ba70c0b75b&amp;schid=8001&amp;row=6&amp;page=29" TargetMode="External"/><Relationship Id="rId521" Type="http://schemas.openxmlformats.org/officeDocument/2006/relationships/hyperlink" Target="https://journaliststudio.google.com/pinpoint-extract/preview?collection=b4db47ccc48595a5&amp;job=7e40ac8cfc4579aa&amp;docid=8884d0508c167a2_b4db47ccc48595a5&amp;schid=8001&amp;row=5&amp;page=30" TargetMode="External"/><Relationship Id="rId95" Type="http://schemas.openxmlformats.org/officeDocument/2006/relationships/hyperlink" Target="https://journaliststudio.google.com/pinpoint-extract/preview?collection=524daaefa335d538&amp;job=a98fe27898c7f9dc&amp;docid=1244364dcff36f7f_524daaefa335d538&amp;schid=8001&amp;row=26&amp;page=41" TargetMode="External"/><Relationship Id="rId160" Type="http://schemas.openxmlformats.org/officeDocument/2006/relationships/hyperlink" Target="https://journaliststudio.google.com/pinpoint-extract/preview?collection=524daaefa335d538&amp;job=7dc4c4e6adb9e99a&amp;docid=1f0f8b47c49b27c2_524daaefa335d538&amp;schid=8001&amp;row=27&amp;page=39" TargetMode="External"/><Relationship Id="rId216" Type="http://schemas.openxmlformats.org/officeDocument/2006/relationships/hyperlink" Target="https://journaliststudio.google.com/pinpoint-extract/preview?collection=59c534ba70c0b75b&amp;job=4cd2f64341a72b0b&amp;docid=d5c6addb973fc20e_59c534ba70c0b75b&amp;schid=8001&amp;row=7&amp;page=38" TargetMode="External"/><Relationship Id="rId423" Type="http://schemas.openxmlformats.org/officeDocument/2006/relationships/hyperlink" Target="https://journaliststudio.google.com/pinpoint-extract/preview?collection=b4db47ccc48595a5&amp;job=1feec7ab74957524&amp;docid=252734efe751c385_b4db47ccc48595a5&amp;schid=8042&amp;row=9&amp;page=29" TargetMode="External"/><Relationship Id="rId258" Type="http://schemas.openxmlformats.org/officeDocument/2006/relationships/hyperlink" Target="https://journaliststudio.google.com/pinpoint-extract/preview?collection=59c534ba70c0b75b&amp;job=4cd2f64341a72b0b&amp;docid=d5c6addb973fc20e_59c534ba70c0b75b&amp;schid=8001&amp;row=49&amp;page=40" TargetMode="External"/><Relationship Id="rId465" Type="http://schemas.openxmlformats.org/officeDocument/2006/relationships/hyperlink" Target="https://journaliststudio.google.com/pinpoint-extract/preview?collection=b4db47ccc48595a5&amp;job=97fb37ff89f504eb&amp;docid=252734efe751c385_b4db47ccc48595a5&amp;schid=8093&amp;row=16&amp;page=31" TargetMode="External"/><Relationship Id="rId22" Type="http://schemas.openxmlformats.org/officeDocument/2006/relationships/hyperlink" Target="https://journaliststudio.google.com/pinpoint-extract/preview?collection=524daaefa335d538&amp;job=da2bc2801cc717c7&amp;docid=3a84e2afec62e521_524daaefa335d538&amp;schid=8001&amp;row=21&amp;page=46" TargetMode="External"/><Relationship Id="rId64" Type="http://schemas.openxmlformats.org/officeDocument/2006/relationships/hyperlink" Target="https://journaliststudio.google.com/pinpoint-extract/preview?collection=524daaefa335d538&amp;job=da2bc2801cc717c7&amp;docid=3a84e2afec62e521_524daaefa335d538&amp;schid=8001&amp;row=63&amp;page=49" TargetMode="External"/><Relationship Id="rId118" Type="http://schemas.openxmlformats.org/officeDocument/2006/relationships/hyperlink" Target="https://journaliststudio.google.com/pinpoint-extract/preview?collection=524daaefa335d538&amp;job=a98fe27898c7f9dc&amp;docid=1244364dcff36f7f_524daaefa335d538&amp;schid=8001&amp;row=49&amp;page=42" TargetMode="External"/><Relationship Id="rId325" Type="http://schemas.openxmlformats.org/officeDocument/2006/relationships/hyperlink" Target="https://journaliststudio.google.com/pinpoint-extract/preview?collection=94f5d562231d4dd6&amp;job=73925388c8ca2ad8&amp;docid=bb843fadc6314b6e_94f5d562231d4dd6&amp;schid=8030&amp;row=19&amp;page=28" TargetMode="External"/><Relationship Id="rId367" Type="http://schemas.openxmlformats.org/officeDocument/2006/relationships/hyperlink" Target="https://journaliststudio.google.com/pinpoint-extract/preview?collection=59c534ba70c0b75b&amp;job=35432234b21c40f6&amp;docid=f9a22023735ef321_59c534ba70c0b75b&amp;schid=8030&amp;row=3&amp;page=27" TargetMode="External"/><Relationship Id="rId532" Type="http://schemas.openxmlformats.org/officeDocument/2006/relationships/hyperlink" Target="https://journaliststudio.google.com/pinpoint-extract/preview?collection=b4db47ccc48595a5&amp;job=7e40ac8cfc4579aa&amp;docid=8884d0508c167a2_b4db47ccc48595a5&amp;schid=8001&amp;row=16&amp;page=30" TargetMode="External"/><Relationship Id="rId171" Type="http://schemas.openxmlformats.org/officeDocument/2006/relationships/hyperlink" Target="https://journaliststudio.google.com/pinpoint-extract/preview?collection=524daaefa335d538&amp;job=7dc4c4e6adb9e99a&amp;docid=1f0f8b47c49b27c2_524daaefa335d538&amp;schid=8001&amp;row=38&amp;page=39" TargetMode="External"/><Relationship Id="rId227" Type="http://schemas.openxmlformats.org/officeDocument/2006/relationships/hyperlink" Target="https://journaliststudio.google.com/pinpoint-extract/preview?collection=59c534ba70c0b75b&amp;job=4cd2f64341a72b0b&amp;docid=d5c6addb973fc20e_59c534ba70c0b75b&amp;schid=8001&amp;row=18&amp;page=38" TargetMode="External"/><Relationship Id="rId269" Type="http://schemas.openxmlformats.org/officeDocument/2006/relationships/hyperlink" Target="https://journaliststudio.google.com/pinpoint-extract/preview?collection=59c534ba70c0b75b&amp;job=4cd2f64341a72b0b&amp;docid=d5c6addb973fc20e_59c534ba70c0b75b&amp;schid=8001&amp;row=60&amp;page=40" TargetMode="External"/><Relationship Id="rId434" Type="http://schemas.openxmlformats.org/officeDocument/2006/relationships/hyperlink" Target="https://journaliststudio.google.com/pinpoint-extract/preview?collection=b4db47ccc48595a5&amp;job=7bbb0f67809b104e&amp;docid=252734efe751c385_b4db47ccc48595a5&amp;schid=8081&amp;row=3&amp;page=30" TargetMode="External"/><Relationship Id="rId476" Type="http://schemas.openxmlformats.org/officeDocument/2006/relationships/hyperlink" Target="https://journaliststudio.google.com/pinpoint-extract/preview?collection=b4db47ccc48595a5&amp;job=effa8401566aaec6&amp;docid=46e4f917ea989928_b4db47ccc48595a5&amp;schid=8012&amp;row=10&amp;page=42" TargetMode="External"/><Relationship Id="rId33" Type="http://schemas.openxmlformats.org/officeDocument/2006/relationships/hyperlink" Target="https://journaliststudio.google.com/pinpoint-extract/preview?collection=524daaefa335d538&amp;job=da2bc2801cc717c7&amp;docid=3a84e2afec62e521_524daaefa335d538&amp;schid=8001&amp;row=32&amp;page=47" TargetMode="External"/><Relationship Id="rId129" Type="http://schemas.openxmlformats.org/officeDocument/2006/relationships/hyperlink" Target="https://journaliststudio.google.com/pinpoint-extract/preview?collection=524daaefa335d538&amp;job=a98fe27898c7f9dc&amp;docid=1244364dcff36f7f_524daaefa335d538&amp;schid=8001&amp;row=60&amp;page=43" TargetMode="External"/><Relationship Id="rId280" Type="http://schemas.openxmlformats.org/officeDocument/2006/relationships/hyperlink" Target="https://journaliststudio.google.com/pinpoint-extract/preview?collection=59c534ba70c0b75b&amp;job=4cd2f64341a72b0b&amp;docid=d5c6addb973fc20e_59c534ba70c0b75b&amp;schid=8001&amp;row=71&amp;page=41" TargetMode="External"/><Relationship Id="rId336" Type="http://schemas.openxmlformats.org/officeDocument/2006/relationships/hyperlink" Target="https://journaliststudio.google.com/pinpoint-extract/preview?collection=94f5d562231d4dd6&amp;job=73925388c8ca2ad8&amp;docid=bb843fadc6314b6e_94f5d562231d4dd6&amp;schid=8030&amp;row=30&amp;page=29" TargetMode="External"/><Relationship Id="rId501" Type="http://schemas.openxmlformats.org/officeDocument/2006/relationships/hyperlink" Target="https://journaliststudio.google.com/pinpoint-extract/preview?collection=b4db47ccc48595a5&amp;job=8ce95af7bbe3ae32&amp;docid=46e4f917ea989928_b4db47ccc48595a5&amp;schid=8033&amp;row=17&amp;page=43" TargetMode="External"/><Relationship Id="rId543" Type="http://schemas.openxmlformats.org/officeDocument/2006/relationships/hyperlink" Target="https://journaliststudio.google.com/pinpoint-extract/preview?collection=b4db47ccc48595a5&amp;job=7e40ac8cfc4579aa&amp;docid=8884d0508c167a2_b4db47ccc48595a5&amp;schid=8001&amp;row=27&amp;page=31" TargetMode="External"/><Relationship Id="rId75" Type="http://schemas.openxmlformats.org/officeDocument/2006/relationships/hyperlink" Target="https://journaliststudio.google.com/pinpoint-extract/preview?collection=524daaefa335d538&amp;job=a98fe27898c7f9dc&amp;docid=1244364dcff36f7f_524daaefa335d538&amp;schid=8001&amp;row=6&amp;page=40" TargetMode="External"/><Relationship Id="rId140" Type="http://schemas.openxmlformats.org/officeDocument/2006/relationships/hyperlink" Target="https://journaliststudio.google.com/pinpoint-extract/preview?collection=524daaefa335d538&amp;job=7dc4c4e6adb9e99a&amp;docid=1f0f8b47c49b27c2_524daaefa335d538&amp;schid=8001&amp;row=5&amp;page=38" TargetMode="External"/><Relationship Id="rId182" Type="http://schemas.openxmlformats.org/officeDocument/2006/relationships/hyperlink" Target="https://journaliststudio.google.com/pinpoint-extract/preview?collection=524daaefa335d538&amp;job=7dc4c4e6adb9e99a&amp;docid=1f0f8b47c49b27c2_524daaefa335d538&amp;schid=8001&amp;row=49&amp;page=39" TargetMode="External"/><Relationship Id="rId378" Type="http://schemas.openxmlformats.org/officeDocument/2006/relationships/hyperlink" Target="https://journaliststudio.google.com/pinpoint-extract/preview?collection=59c534ba70c0b75b&amp;job=f96ade24dc66657&amp;docid=f9a22023735ef321_59c534ba70c0b75b&amp;schid=8044&amp;row=1&amp;page=28" TargetMode="External"/><Relationship Id="rId403" Type="http://schemas.openxmlformats.org/officeDocument/2006/relationships/hyperlink" Target="https://journaliststudio.google.com/pinpoint-extract/preview?collection=59c534ba70c0b75b&amp;job=4cd2f64341a72b0b&amp;docid=f9a22023735ef321_59c534ba70c0b75b&amp;schid=8001&amp;row=11&amp;page=29" TargetMode="External"/><Relationship Id="rId6" Type="http://schemas.openxmlformats.org/officeDocument/2006/relationships/hyperlink" Target="https://journaliststudio.google.com/pinpoint-extract/preview?collection=524daaefa335d538&amp;job=da2bc2801cc717c7&amp;docid=3a84e2afec62e521_524daaefa335d538&amp;schid=8001&amp;row=5&amp;page=45" TargetMode="External"/><Relationship Id="rId238" Type="http://schemas.openxmlformats.org/officeDocument/2006/relationships/hyperlink" Target="https://journaliststudio.google.com/pinpoint-extract/preview?collection=59c534ba70c0b75b&amp;job=4cd2f64341a72b0b&amp;docid=d5c6addb973fc20e_59c534ba70c0b75b&amp;schid=8001&amp;row=29&amp;page=39" TargetMode="External"/><Relationship Id="rId445" Type="http://schemas.openxmlformats.org/officeDocument/2006/relationships/hyperlink" Target="https://journaliststudio.google.com/pinpoint-extract/preview?collection=b4db47ccc48595a5&amp;job=7bbb0f67809b104e&amp;docid=252734efe751c385_b4db47ccc48595a5&amp;schid=8081&amp;row=14&amp;page=30" TargetMode="External"/><Relationship Id="rId487" Type="http://schemas.openxmlformats.org/officeDocument/2006/relationships/hyperlink" Target="https://journaliststudio.google.com/pinpoint-extract/preview?collection=b4db47ccc48595a5&amp;job=8ce95af7bbe3ae32&amp;docid=46e4f917ea989928_b4db47ccc48595a5&amp;schid=8033&amp;row=3&amp;page=43" TargetMode="External"/><Relationship Id="rId291" Type="http://schemas.openxmlformats.org/officeDocument/2006/relationships/hyperlink" Target="https://journaliststudio.google.com/pinpoint-extract/preview?collection=94f5d562231d4dd6&amp;job=ae935e256ae44e8c&amp;docid=bb843fadc6314b6e_94f5d562231d4dd6&amp;schid=8017&amp;row=8&amp;page=27" TargetMode="External"/><Relationship Id="rId305" Type="http://schemas.openxmlformats.org/officeDocument/2006/relationships/hyperlink" Target="https://journaliststudio.google.com/pinpoint-extract/preview?collection=94f5d562231d4dd6&amp;job=ae935e256ae44e8c&amp;docid=bb843fadc6314b6e_94f5d562231d4dd6&amp;schid=8017&amp;row=22&amp;page=27" TargetMode="External"/><Relationship Id="rId347" Type="http://schemas.openxmlformats.org/officeDocument/2006/relationships/hyperlink" Target="https://journaliststudio.google.com/pinpoint-extract/preview?collection=94f5d562231d4dd6&amp;job=73925388c8ca2ad8&amp;docid=bb843fadc6314b6e_94f5d562231d4dd6&amp;schid=8030&amp;row=41&amp;page=29" TargetMode="External"/><Relationship Id="rId512" Type="http://schemas.openxmlformats.org/officeDocument/2006/relationships/hyperlink" Target="https://journaliststudio.google.com/pinpoint-extract/preview?collection=b4db47ccc48595a5&amp;job=b966e2a83e48c6be&amp;docid=46e4f917ea989928_b4db47ccc48595a5&amp;schid=8001&amp;row=10&amp;page=44" TargetMode="External"/><Relationship Id="rId44" Type="http://schemas.openxmlformats.org/officeDocument/2006/relationships/hyperlink" Target="https://journaliststudio.google.com/pinpoint-extract/preview?collection=524daaefa335d538&amp;job=da2bc2801cc717c7&amp;docid=3a84e2afec62e521_524daaefa335d538&amp;schid=8001&amp;row=43&amp;page=48" TargetMode="External"/><Relationship Id="rId86" Type="http://schemas.openxmlformats.org/officeDocument/2006/relationships/hyperlink" Target="https://journaliststudio.google.com/pinpoint-extract/preview?collection=524daaefa335d538&amp;job=a98fe27898c7f9dc&amp;docid=1244364dcff36f7f_524daaefa335d538&amp;schid=8001&amp;row=17&amp;page=40" TargetMode="External"/><Relationship Id="rId151" Type="http://schemas.openxmlformats.org/officeDocument/2006/relationships/hyperlink" Target="https://journaliststudio.google.com/pinpoint-extract/preview?collection=524daaefa335d538&amp;job=7dc4c4e6adb9e99a&amp;docid=1f0f8b47c49b27c2_524daaefa335d538&amp;schid=8001&amp;row=16&amp;page=38" TargetMode="External"/><Relationship Id="rId389" Type="http://schemas.openxmlformats.org/officeDocument/2006/relationships/hyperlink" Target="https://journaliststudio.google.com/pinpoint-extract/preview?collection=59c534ba70c0b75b&amp;job=f96ade24dc66657&amp;docid=f9a22023735ef321_59c534ba70c0b75b&amp;schid=8044&amp;row=12&amp;page=28" TargetMode="External"/><Relationship Id="rId554" Type="http://schemas.openxmlformats.org/officeDocument/2006/relationships/hyperlink" Target="https://journaliststudio.google.com/pinpoint-extract/preview?collection=b4db47ccc48595a5&amp;job=7e40ac8cfc4579aa&amp;docid=8884d0508c167a2_b4db47ccc48595a5&amp;schid=8001&amp;row=38&amp;page=31" TargetMode="External"/><Relationship Id="rId193" Type="http://schemas.openxmlformats.org/officeDocument/2006/relationships/hyperlink" Target="https://journaliststudio.google.com/pinpoint-extract/preview?collection=524daaefa335d538&amp;job=7dc4c4e6adb9e99a&amp;docid=1f0f8b47c49b27c2_524daaefa335d538&amp;schid=8001&amp;row=62&amp;page=40" TargetMode="External"/><Relationship Id="rId207" Type="http://schemas.openxmlformats.org/officeDocument/2006/relationships/hyperlink" Target="https://journaliststudio.google.com/pinpoint-extract/preview?collection=524daaefa335d538&amp;job=7dc4c4e6adb9e99a&amp;docid=1f0f8b47c49b27c2_524daaefa335d538&amp;schid=8001&amp;row=79&amp;page=41" TargetMode="External"/><Relationship Id="rId249" Type="http://schemas.openxmlformats.org/officeDocument/2006/relationships/hyperlink" Target="https://journaliststudio.google.com/pinpoint-extract/preview?collection=59c534ba70c0b75b&amp;job=4cd2f64341a72b0b&amp;docid=d5c6addb973fc20e_59c534ba70c0b75b&amp;schid=8001&amp;row=40&amp;page=39" TargetMode="External"/><Relationship Id="rId414" Type="http://schemas.openxmlformats.org/officeDocument/2006/relationships/hyperlink" Target="https://journaliststudio.google.com/pinpoint-extract/preview?collection=b4db47ccc48595a5&amp;job=1feec7ab74957524&amp;docid=252734efe751c385_b4db47ccc48595a5&amp;schid=8042&amp;row=0&amp;page=29" TargetMode="External"/><Relationship Id="rId456" Type="http://schemas.openxmlformats.org/officeDocument/2006/relationships/hyperlink" Target="https://journaliststudio.google.com/pinpoint-extract/preview?collection=b4db47ccc48595a5&amp;job=97fb37ff89f504eb&amp;docid=252734efe751c385_b4db47ccc48595a5&amp;schid=8093&amp;row=7&amp;page=31" TargetMode="External"/><Relationship Id="rId498" Type="http://schemas.openxmlformats.org/officeDocument/2006/relationships/hyperlink" Target="https://journaliststudio.google.com/pinpoint-extract/preview?collection=b4db47ccc48595a5&amp;job=8ce95af7bbe3ae32&amp;docid=46e4f917ea989928_b4db47ccc48595a5&amp;schid=8033&amp;row=14&amp;page=43" TargetMode="External"/><Relationship Id="rId13" Type="http://schemas.openxmlformats.org/officeDocument/2006/relationships/hyperlink" Target="https://journaliststudio.google.com/pinpoint-extract/preview?collection=524daaefa335d538&amp;job=da2bc2801cc717c7&amp;docid=3a84e2afec62e521_524daaefa335d538&amp;schid=8001&amp;row=12&amp;page=46" TargetMode="External"/><Relationship Id="rId109" Type="http://schemas.openxmlformats.org/officeDocument/2006/relationships/hyperlink" Target="https://journaliststudio.google.com/pinpoint-extract/preview?collection=524daaefa335d538&amp;job=a98fe27898c7f9dc&amp;docid=1244364dcff36f7f_524daaefa335d538&amp;schid=8001&amp;row=40&amp;page=42" TargetMode="External"/><Relationship Id="rId260" Type="http://schemas.openxmlformats.org/officeDocument/2006/relationships/hyperlink" Target="https://journaliststudio.google.com/pinpoint-extract/preview?collection=59c534ba70c0b75b&amp;job=4cd2f64341a72b0b&amp;docid=d5c6addb973fc20e_59c534ba70c0b75b&amp;schid=8001&amp;row=51&amp;page=40" TargetMode="External"/><Relationship Id="rId316" Type="http://schemas.openxmlformats.org/officeDocument/2006/relationships/hyperlink" Target="https://journaliststudio.google.com/pinpoint-extract/preview?collection=94f5d562231d4dd6&amp;job=73925388c8ca2ad8&amp;docid=bb843fadc6314b6e_94f5d562231d4dd6&amp;schid=8030&amp;row=10&amp;page=28" TargetMode="External"/><Relationship Id="rId523" Type="http://schemas.openxmlformats.org/officeDocument/2006/relationships/hyperlink" Target="https://journaliststudio.google.com/pinpoint-extract/preview?collection=b4db47ccc48595a5&amp;job=7e40ac8cfc4579aa&amp;docid=8884d0508c167a2_b4db47ccc48595a5&amp;schid=8001&amp;row=7&amp;page=30" TargetMode="External"/><Relationship Id="rId55" Type="http://schemas.openxmlformats.org/officeDocument/2006/relationships/hyperlink" Target="https://journaliststudio.google.com/pinpoint-extract/preview?collection=524daaefa335d538&amp;job=da2bc2801cc717c7&amp;docid=3a84e2afec62e521_524daaefa335d538&amp;schid=8001&amp;row=54&amp;page=49" TargetMode="External"/><Relationship Id="rId97" Type="http://schemas.openxmlformats.org/officeDocument/2006/relationships/hyperlink" Target="https://journaliststudio.google.com/pinpoint-extract/preview?collection=524daaefa335d538&amp;job=a98fe27898c7f9dc&amp;docid=1244364dcff36f7f_524daaefa335d538&amp;schid=8001&amp;row=28&amp;page=41" TargetMode="External"/><Relationship Id="rId120" Type="http://schemas.openxmlformats.org/officeDocument/2006/relationships/hyperlink" Target="https://journaliststudio.google.com/pinpoint-extract/preview?collection=524daaefa335d538&amp;job=a98fe27898c7f9dc&amp;docid=1244364dcff36f7f_524daaefa335d538&amp;schid=8001&amp;row=51&amp;page=42" TargetMode="External"/><Relationship Id="rId358" Type="http://schemas.openxmlformats.org/officeDocument/2006/relationships/hyperlink" Target="https://journaliststudio.google.com/pinpoint-extract/preview?collection=59c534ba70c0b75b&amp;job=7d986fe353a45a34&amp;docid=f9a22023735ef321_59c534ba70c0b75b&amp;schid=8016&amp;row=9&amp;page=26" TargetMode="External"/><Relationship Id="rId162" Type="http://schemas.openxmlformats.org/officeDocument/2006/relationships/hyperlink" Target="https://journaliststudio.google.com/pinpoint-extract/preview?collection=524daaefa335d538&amp;job=7dc4c4e6adb9e99a&amp;docid=1f0f8b47c49b27c2_524daaefa335d538&amp;schid=8001&amp;row=29&amp;page=39" TargetMode="External"/><Relationship Id="rId218" Type="http://schemas.openxmlformats.org/officeDocument/2006/relationships/hyperlink" Target="https://journaliststudio.google.com/pinpoint-extract/preview?collection=59c534ba70c0b75b&amp;job=4cd2f64341a72b0b&amp;docid=d5c6addb973fc20e_59c534ba70c0b75b&amp;schid=8001&amp;row=9&amp;page=38" TargetMode="External"/><Relationship Id="rId425" Type="http://schemas.openxmlformats.org/officeDocument/2006/relationships/hyperlink" Target="https://journaliststudio.google.com/pinpoint-extract/preview?collection=b4db47ccc48595a5&amp;job=1feec7ab74957524&amp;docid=252734efe751c385_b4db47ccc48595a5&amp;schid=8042&amp;row=11&amp;page=29" TargetMode="External"/><Relationship Id="rId467" Type="http://schemas.openxmlformats.org/officeDocument/2006/relationships/hyperlink" Target="https://journaliststudio.google.com/pinpoint-extract/preview?collection=b4db47ccc48595a5&amp;job=effa8401566aaec6&amp;docid=46e4f917ea989928_b4db47ccc48595a5&amp;schid=8012&amp;row=1&amp;page=42" TargetMode="External"/><Relationship Id="rId271" Type="http://schemas.openxmlformats.org/officeDocument/2006/relationships/hyperlink" Target="https://journaliststudio.google.com/pinpoint-extract/preview?collection=59c534ba70c0b75b&amp;job=4cd2f64341a72b0b&amp;docid=d5c6addb973fc20e_59c534ba70c0b75b&amp;schid=8001&amp;row=62&amp;page=40" TargetMode="External"/><Relationship Id="rId24" Type="http://schemas.openxmlformats.org/officeDocument/2006/relationships/hyperlink" Target="https://journaliststudio.google.com/pinpoint-extract/preview?collection=524daaefa335d538&amp;job=da2bc2801cc717c7&amp;docid=3a84e2afec62e521_524daaefa335d538&amp;schid=8001&amp;row=23&amp;page=46" TargetMode="External"/><Relationship Id="rId66" Type="http://schemas.openxmlformats.org/officeDocument/2006/relationships/hyperlink" Target="https://journaliststudio.google.com/pinpoint-extract/preview?collection=524daaefa335d538&amp;job=da2bc2801cc717c7&amp;docid=3a84e2afec62e521_524daaefa335d538&amp;schid=8001&amp;row=65&amp;page=49" TargetMode="External"/><Relationship Id="rId131" Type="http://schemas.openxmlformats.org/officeDocument/2006/relationships/hyperlink" Target="https://journaliststudio.google.com/pinpoint-extract/preview?collection=524daaefa335d538&amp;job=a98fe27898c7f9dc&amp;docid=1244364dcff36f7f_524daaefa335d538&amp;schid=8001&amp;row=62&amp;page=43" TargetMode="External"/><Relationship Id="rId327" Type="http://schemas.openxmlformats.org/officeDocument/2006/relationships/hyperlink" Target="https://journaliststudio.google.com/pinpoint-extract/preview?collection=94f5d562231d4dd6&amp;job=73925388c8ca2ad8&amp;docid=bb843fadc6314b6e_94f5d562231d4dd6&amp;schid=8030&amp;row=21&amp;page=28" TargetMode="External"/><Relationship Id="rId369" Type="http://schemas.openxmlformats.org/officeDocument/2006/relationships/hyperlink" Target="https://journaliststudio.google.com/pinpoint-extract/preview?collection=59c534ba70c0b75b&amp;job=35432234b21c40f6&amp;docid=f9a22023735ef321_59c534ba70c0b75b&amp;schid=8030&amp;row=5&amp;page=27" TargetMode="External"/><Relationship Id="rId534" Type="http://schemas.openxmlformats.org/officeDocument/2006/relationships/hyperlink" Target="https://journaliststudio.google.com/pinpoint-extract/preview?collection=b4db47ccc48595a5&amp;job=7e40ac8cfc4579aa&amp;docid=8884d0508c167a2_b4db47ccc48595a5&amp;schid=8001&amp;row=18&amp;page=30" TargetMode="External"/><Relationship Id="rId173" Type="http://schemas.openxmlformats.org/officeDocument/2006/relationships/hyperlink" Target="https://journaliststudio.google.com/pinpoint-extract/preview?collection=524daaefa335d538&amp;job=7dc4c4e6adb9e99a&amp;docid=1f0f8b47c49b27c2_524daaefa335d538&amp;schid=8001&amp;row=40&amp;page=39" TargetMode="External"/><Relationship Id="rId229" Type="http://schemas.openxmlformats.org/officeDocument/2006/relationships/hyperlink" Target="https://journaliststudio.google.com/pinpoint-extract/preview?collection=59c534ba70c0b75b&amp;job=4cd2f64341a72b0b&amp;docid=d5c6addb973fc20e_59c534ba70c0b75b&amp;schid=8001&amp;row=20&amp;page=38" TargetMode="External"/><Relationship Id="rId380" Type="http://schemas.openxmlformats.org/officeDocument/2006/relationships/hyperlink" Target="https://journaliststudio.google.com/pinpoint-extract/preview?collection=59c534ba70c0b75b&amp;job=f96ade24dc66657&amp;docid=f9a22023735ef321_59c534ba70c0b75b&amp;schid=8044&amp;row=3&amp;page=28" TargetMode="External"/><Relationship Id="rId436" Type="http://schemas.openxmlformats.org/officeDocument/2006/relationships/hyperlink" Target="https://journaliststudio.google.com/pinpoint-extract/preview?collection=b4db47ccc48595a5&amp;job=7bbb0f67809b104e&amp;docid=252734efe751c385_b4db47ccc48595a5&amp;schid=8081&amp;row=5&amp;page=30" TargetMode="External"/><Relationship Id="rId240" Type="http://schemas.openxmlformats.org/officeDocument/2006/relationships/hyperlink" Target="https://journaliststudio.google.com/pinpoint-extract/preview?collection=59c534ba70c0b75b&amp;job=4cd2f64341a72b0b&amp;docid=d5c6addb973fc20e_59c534ba70c0b75b&amp;schid=8001&amp;row=31&amp;page=39" TargetMode="External"/><Relationship Id="rId478" Type="http://schemas.openxmlformats.org/officeDocument/2006/relationships/hyperlink" Target="https://journaliststudio.google.com/pinpoint-extract/preview?collection=b4db47ccc48595a5&amp;job=effa8401566aaec6&amp;docid=46e4f917ea989928_b4db47ccc48595a5&amp;schid=8012&amp;row=12&amp;page=42" TargetMode="External"/><Relationship Id="rId35" Type="http://schemas.openxmlformats.org/officeDocument/2006/relationships/hyperlink" Target="https://journaliststudio.google.com/pinpoint-extract/preview?collection=524daaefa335d538&amp;job=da2bc2801cc717c7&amp;docid=3a84e2afec62e521_524daaefa335d538&amp;schid=8001&amp;row=34&amp;page=47" TargetMode="External"/><Relationship Id="rId77" Type="http://schemas.openxmlformats.org/officeDocument/2006/relationships/hyperlink" Target="https://journaliststudio.google.com/pinpoint-extract/preview?collection=524daaefa335d538&amp;job=a98fe27898c7f9dc&amp;docid=1244364dcff36f7f_524daaefa335d538&amp;schid=8001&amp;row=8&amp;page=40" TargetMode="External"/><Relationship Id="rId100" Type="http://schemas.openxmlformats.org/officeDocument/2006/relationships/hyperlink" Target="https://journaliststudio.google.com/pinpoint-extract/preview?collection=524daaefa335d538&amp;job=a98fe27898c7f9dc&amp;docid=1244364dcff36f7f_524daaefa335d538&amp;schid=8001&amp;row=31&amp;page=41" TargetMode="External"/><Relationship Id="rId282" Type="http://schemas.openxmlformats.org/officeDocument/2006/relationships/hyperlink" Target="https://journaliststudio.google.com/pinpoint-extract/preview?collection=59c534ba70c0b75b&amp;job=4cd2f64341a72b0b&amp;docid=d5c6addb973fc20e_59c534ba70c0b75b&amp;schid=8001&amp;row=73&amp;page=41" TargetMode="External"/><Relationship Id="rId338" Type="http://schemas.openxmlformats.org/officeDocument/2006/relationships/hyperlink" Target="https://journaliststudio.google.com/pinpoint-extract/preview?collection=94f5d562231d4dd6&amp;job=73925388c8ca2ad8&amp;docid=bb843fadc6314b6e_94f5d562231d4dd6&amp;schid=8030&amp;row=32&amp;page=29" TargetMode="External"/><Relationship Id="rId503" Type="http://schemas.openxmlformats.org/officeDocument/2006/relationships/hyperlink" Target="https://journaliststudio.google.com/pinpoint-extract/preview?collection=b4db47ccc48595a5&amp;job=b966e2a83e48c6be&amp;docid=46e4f917ea989928_b4db47ccc48595a5&amp;schid=8001&amp;row=1&amp;page=44" TargetMode="External"/><Relationship Id="rId545" Type="http://schemas.openxmlformats.org/officeDocument/2006/relationships/hyperlink" Target="https://journaliststudio.google.com/pinpoint-extract/preview?collection=b4db47ccc48595a5&amp;job=7e40ac8cfc4579aa&amp;docid=8884d0508c167a2_b4db47ccc48595a5&amp;schid=8001&amp;row=29&amp;page=31" TargetMode="External"/><Relationship Id="rId8" Type="http://schemas.openxmlformats.org/officeDocument/2006/relationships/hyperlink" Target="https://journaliststudio.google.com/pinpoint-extract/preview?collection=524daaefa335d538&amp;job=da2bc2801cc717c7&amp;docid=3a84e2afec62e521_524daaefa335d538&amp;schid=8001&amp;row=7&amp;page=45" TargetMode="External"/><Relationship Id="rId142" Type="http://schemas.openxmlformats.org/officeDocument/2006/relationships/hyperlink" Target="https://journaliststudio.google.com/pinpoint-extract/preview?collection=524daaefa335d538&amp;job=7dc4c4e6adb9e99a&amp;docid=1f0f8b47c49b27c2_524daaefa335d538&amp;schid=8001&amp;row=7&amp;page=38" TargetMode="External"/><Relationship Id="rId184" Type="http://schemas.openxmlformats.org/officeDocument/2006/relationships/hyperlink" Target="https://journaliststudio.google.com/pinpoint-extract/preview?collection=524daaefa335d538&amp;job=7dc4c4e6adb9e99a&amp;docid=1f0f8b47c49b27c2_524daaefa335d538&amp;schid=8001&amp;row=53&amp;page=40" TargetMode="External"/><Relationship Id="rId391" Type="http://schemas.openxmlformats.org/officeDocument/2006/relationships/hyperlink" Target="https://journaliststudio.google.com/pinpoint-extract/preview?collection=59c534ba70c0b75b&amp;job=f96ade24dc66657&amp;docid=f9a22023735ef321_59c534ba70c0b75b&amp;schid=8044&amp;row=14&amp;page=28" TargetMode="External"/><Relationship Id="rId405" Type="http://schemas.openxmlformats.org/officeDocument/2006/relationships/hyperlink" Target="https://journaliststudio.google.com/pinpoint-extract/preview?collection=59c534ba70c0b75b&amp;job=4cd2f64341a72b0b&amp;docid=f9a22023735ef321_59c534ba70c0b75b&amp;schid=8001&amp;row=13&amp;page=29" TargetMode="External"/><Relationship Id="rId447" Type="http://schemas.openxmlformats.org/officeDocument/2006/relationships/hyperlink" Target="https://journaliststudio.google.com/pinpoint-extract/preview?collection=b4db47ccc48595a5&amp;job=7bbb0f67809b104e&amp;docid=252734efe751c385_b4db47ccc48595a5&amp;schid=8081&amp;row=16&amp;page=30" TargetMode="External"/><Relationship Id="rId251" Type="http://schemas.openxmlformats.org/officeDocument/2006/relationships/hyperlink" Target="https://journaliststudio.google.com/pinpoint-extract/preview?collection=59c534ba70c0b75b&amp;job=4cd2f64341a72b0b&amp;docid=d5c6addb973fc20e_59c534ba70c0b75b&amp;schid=8001&amp;row=42&amp;page=39" TargetMode="External"/><Relationship Id="rId489" Type="http://schemas.openxmlformats.org/officeDocument/2006/relationships/hyperlink" Target="https://journaliststudio.google.com/pinpoint-extract/preview?collection=b4db47ccc48595a5&amp;job=8ce95af7bbe3ae32&amp;docid=46e4f917ea989928_b4db47ccc48595a5&amp;schid=8033&amp;row=5&amp;page=43" TargetMode="External"/><Relationship Id="rId46" Type="http://schemas.openxmlformats.org/officeDocument/2006/relationships/hyperlink" Target="https://journaliststudio.google.com/pinpoint-extract/preview?collection=524daaefa335d538&amp;job=da2bc2801cc717c7&amp;docid=3a84e2afec62e521_524daaefa335d538&amp;schid=8001&amp;row=45&amp;page=48" TargetMode="External"/><Relationship Id="rId293" Type="http://schemas.openxmlformats.org/officeDocument/2006/relationships/hyperlink" Target="https://journaliststudio.google.com/pinpoint-extract/preview?collection=94f5d562231d4dd6&amp;job=ae935e256ae44e8c&amp;docid=bb843fadc6314b6e_94f5d562231d4dd6&amp;schid=8017&amp;row=10&amp;page=27" TargetMode="External"/><Relationship Id="rId307" Type="http://schemas.openxmlformats.org/officeDocument/2006/relationships/hyperlink" Target="https://journaliststudio.google.com/pinpoint-extract/preview?collection=94f5d562231d4dd6&amp;job=73925388c8ca2ad8&amp;docid=bb843fadc6314b6e_94f5d562231d4dd6&amp;schid=8030&amp;row=1&amp;page=28" TargetMode="External"/><Relationship Id="rId349" Type="http://schemas.openxmlformats.org/officeDocument/2006/relationships/hyperlink" Target="https://journaliststudio.google.com/pinpoint-extract/preview?collection=59c534ba70c0b75b&amp;job=7d986fe353a45a34&amp;docid=f9a22023735ef321_59c534ba70c0b75b&amp;schid=8016&amp;row=0&amp;page=26" TargetMode="External"/><Relationship Id="rId514" Type="http://schemas.openxmlformats.org/officeDocument/2006/relationships/hyperlink" Target="https://journaliststudio.google.com/pinpoint-extract/preview?collection=b4db47ccc48595a5&amp;job=b966e2a83e48c6be&amp;docid=46e4f917ea989928_b4db47ccc48595a5&amp;schid=8001&amp;row=12&amp;page=44" TargetMode="External"/><Relationship Id="rId556" Type="http://schemas.openxmlformats.org/officeDocument/2006/relationships/hyperlink" Target="https://journaliststudio.google.com/pinpoint-extract/preview?collection=b4db47ccc48595a5&amp;job=7e40ac8cfc4579aa&amp;docid=8884d0508c167a2_b4db47ccc48595a5&amp;schid=8001&amp;row=40&amp;page=31" TargetMode="External"/><Relationship Id="rId88" Type="http://schemas.openxmlformats.org/officeDocument/2006/relationships/hyperlink" Target="https://journaliststudio.google.com/pinpoint-extract/preview?collection=524daaefa335d538&amp;job=a98fe27898c7f9dc&amp;docid=1244364dcff36f7f_524daaefa335d538&amp;schid=8001&amp;row=19&amp;page=41" TargetMode="External"/><Relationship Id="rId111" Type="http://schemas.openxmlformats.org/officeDocument/2006/relationships/hyperlink" Target="https://journaliststudio.google.com/pinpoint-extract/preview?collection=524daaefa335d538&amp;job=a98fe27898c7f9dc&amp;docid=1244364dcff36f7f_524daaefa335d538&amp;schid=8001&amp;row=42&amp;page=42" TargetMode="External"/><Relationship Id="rId153" Type="http://schemas.openxmlformats.org/officeDocument/2006/relationships/hyperlink" Target="https://journaliststudio.google.com/pinpoint-extract/preview?collection=524daaefa335d538&amp;job=7dc4c4e6adb9e99a&amp;docid=1f0f8b47c49b27c2_524daaefa335d538&amp;schid=8001&amp;row=18&amp;page=38" TargetMode="External"/><Relationship Id="rId195" Type="http://schemas.openxmlformats.org/officeDocument/2006/relationships/hyperlink" Target="https://journaliststudio.google.com/pinpoint-extract/preview?collection=524daaefa335d538&amp;job=7dc4c4e6adb9e99a&amp;docid=1f0f8b47c49b27c2_524daaefa335d538&amp;schid=8001&amp;row=64&amp;page=40" TargetMode="External"/><Relationship Id="rId209" Type="http://schemas.openxmlformats.org/officeDocument/2006/relationships/hyperlink" Target="https://journaliststudio.google.com/pinpoint-extract/preview?collection=59c534ba70c0b75b&amp;job=4cd2f64341a72b0b&amp;docid=d5c6addb973fc20e_59c534ba70c0b75b&amp;schid=8001&amp;row=0&amp;page=38" TargetMode="External"/><Relationship Id="rId360" Type="http://schemas.openxmlformats.org/officeDocument/2006/relationships/hyperlink" Target="https://journaliststudio.google.com/pinpoint-extract/preview?collection=59c534ba70c0b75b&amp;job=7d986fe353a45a34&amp;docid=f9a22023735ef321_59c534ba70c0b75b&amp;schid=8016&amp;row=11&amp;page=26" TargetMode="External"/><Relationship Id="rId416" Type="http://schemas.openxmlformats.org/officeDocument/2006/relationships/hyperlink" Target="https://journaliststudio.google.com/pinpoint-extract/preview?collection=b4db47ccc48595a5&amp;job=1feec7ab74957524&amp;docid=252734efe751c385_b4db47ccc48595a5&amp;schid=8042&amp;row=2&amp;page=29" TargetMode="External"/><Relationship Id="rId220" Type="http://schemas.openxmlformats.org/officeDocument/2006/relationships/hyperlink" Target="https://journaliststudio.google.com/pinpoint-extract/preview?collection=59c534ba70c0b75b&amp;job=4cd2f64341a72b0b&amp;docid=d5c6addb973fc20e_59c534ba70c0b75b&amp;schid=8001&amp;row=11&amp;page=38" TargetMode="External"/><Relationship Id="rId458" Type="http://schemas.openxmlformats.org/officeDocument/2006/relationships/hyperlink" Target="https://journaliststudio.google.com/pinpoint-extract/preview?collection=b4db47ccc48595a5&amp;job=97fb37ff89f504eb&amp;docid=252734efe751c385_b4db47ccc48595a5&amp;schid=8093&amp;row=9&amp;page=31" TargetMode="External"/><Relationship Id="rId15" Type="http://schemas.openxmlformats.org/officeDocument/2006/relationships/hyperlink" Target="https://journaliststudio.google.com/pinpoint-extract/preview?collection=524daaefa335d538&amp;job=da2bc2801cc717c7&amp;docid=3a84e2afec62e521_524daaefa335d538&amp;schid=8001&amp;row=14&amp;page=46" TargetMode="External"/><Relationship Id="rId57" Type="http://schemas.openxmlformats.org/officeDocument/2006/relationships/hyperlink" Target="https://journaliststudio.google.com/pinpoint-extract/preview?collection=524daaefa335d538&amp;job=da2bc2801cc717c7&amp;docid=3a84e2afec62e521_524daaefa335d538&amp;schid=8001&amp;row=56&amp;page=49" TargetMode="External"/><Relationship Id="rId262" Type="http://schemas.openxmlformats.org/officeDocument/2006/relationships/hyperlink" Target="https://journaliststudio.google.com/pinpoint-extract/preview?collection=59c534ba70c0b75b&amp;job=4cd2f64341a72b0b&amp;docid=d5c6addb973fc20e_59c534ba70c0b75b&amp;schid=8001&amp;row=53&amp;page=40" TargetMode="External"/><Relationship Id="rId318" Type="http://schemas.openxmlformats.org/officeDocument/2006/relationships/hyperlink" Target="https://journaliststudio.google.com/pinpoint-extract/preview?collection=94f5d562231d4dd6&amp;job=73925388c8ca2ad8&amp;docid=bb843fadc6314b6e_94f5d562231d4dd6&amp;schid=8030&amp;row=12&amp;page=28" TargetMode="External"/><Relationship Id="rId525" Type="http://schemas.openxmlformats.org/officeDocument/2006/relationships/hyperlink" Target="https://journaliststudio.google.com/pinpoint-extract/preview?collection=b4db47ccc48595a5&amp;job=7e40ac8cfc4579aa&amp;docid=8884d0508c167a2_b4db47ccc48595a5&amp;schid=8001&amp;row=9&amp;page=30" TargetMode="External"/><Relationship Id="rId99" Type="http://schemas.openxmlformats.org/officeDocument/2006/relationships/hyperlink" Target="https://journaliststudio.google.com/pinpoint-extract/preview?collection=524daaefa335d538&amp;job=a98fe27898c7f9dc&amp;docid=1244364dcff36f7f_524daaefa335d538&amp;schid=8001&amp;row=30&amp;page=41" TargetMode="External"/><Relationship Id="rId122" Type="http://schemas.openxmlformats.org/officeDocument/2006/relationships/hyperlink" Target="https://journaliststudio.google.com/pinpoint-extract/preview?collection=524daaefa335d538&amp;job=a98fe27898c7f9dc&amp;docid=1244364dcff36f7f_524daaefa335d538&amp;schid=8001&amp;row=53&amp;page=42" TargetMode="External"/><Relationship Id="rId164" Type="http://schemas.openxmlformats.org/officeDocument/2006/relationships/hyperlink" Target="https://journaliststudio.google.com/pinpoint-extract/preview?collection=524daaefa335d538&amp;job=7dc4c4e6adb9e99a&amp;docid=1f0f8b47c49b27c2_524daaefa335d538&amp;schid=8001&amp;row=31&amp;page=39" TargetMode="External"/><Relationship Id="rId371" Type="http://schemas.openxmlformats.org/officeDocument/2006/relationships/hyperlink" Target="https://journaliststudio.google.com/pinpoint-extract/preview?collection=59c534ba70c0b75b&amp;job=35432234b21c40f6&amp;docid=f9a22023735ef321_59c534ba70c0b75b&amp;schid=8030&amp;row=7&amp;page=27" TargetMode="External"/><Relationship Id="rId427" Type="http://schemas.openxmlformats.org/officeDocument/2006/relationships/hyperlink" Target="https://journaliststudio.google.com/pinpoint-extract/preview?collection=b4db47ccc48595a5&amp;job=1feec7ab74957524&amp;docid=252734efe751c385_b4db47ccc48595a5&amp;schid=8042&amp;row=13&amp;page=29" TargetMode="External"/><Relationship Id="rId469" Type="http://schemas.openxmlformats.org/officeDocument/2006/relationships/hyperlink" Target="https://journaliststudio.google.com/pinpoint-extract/preview?collection=b4db47ccc48595a5&amp;job=effa8401566aaec6&amp;docid=46e4f917ea989928_b4db47ccc48595a5&amp;schid=8012&amp;row=3&amp;page=42" TargetMode="External"/><Relationship Id="rId26" Type="http://schemas.openxmlformats.org/officeDocument/2006/relationships/hyperlink" Target="https://journaliststudio.google.com/pinpoint-extract/preview?collection=524daaefa335d538&amp;job=da2bc2801cc717c7&amp;docid=3a84e2afec62e521_524daaefa335d538&amp;schid=8001&amp;row=25&amp;page=47" TargetMode="External"/><Relationship Id="rId231" Type="http://schemas.openxmlformats.org/officeDocument/2006/relationships/hyperlink" Target="https://journaliststudio.google.com/pinpoint-extract/preview?collection=59c534ba70c0b75b&amp;job=4cd2f64341a72b0b&amp;docid=d5c6addb973fc20e_59c534ba70c0b75b&amp;schid=8001&amp;row=22&amp;page=39" TargetMode="External"/><Relationship Id="rId273" Type="http://schemas.openxmlformats.org/officeDocument/2006/relationships/hyperlink" Target="https://journaliststudio.google.com/pinpoint-extract/preview?collection=59c534ba70c0b75b&amp;job=4cd2f64341a72b0b&amp;docid=d5c6addb973fc20e_59c534ba70c0b75b&amp;schid=8001&amp;row=64&amp;page=40" TargetMode="External"/><Relationship Id="rId329" Type="http://schemas.openxmlformats.org/officeDocument/2006/relationships/hyperlink" Target="https://journaliststudio.google.com/pinpoint-extract/preview?collection=94f5d562231d4dd6&amp;job=73925388c8ca2ad8&amp;docid=bb843fadc6314b6e_94f5d562231d4dd6&amp;schid=8030&amp;row=23&amp;page=29" TargetMode="External"/><Relationship Id="rId480" Type="http://schemas.openxmlformats.org/officeDocument/2006/relationships/hyperlink" Target="https://journaliststudio.google.com/pinpoint-extract/preview?collection=b4db47ccc48595a5&amp;job=effa8401566aaec6&amp;docid=46e4f917ea989928_b4db47ccc48595a5&amp;schid=8012&amp;row=14&amp;page=42" TargetMode="External"/><Relationship Id="rId536" Type="http://schemas.openxmlformats.org/officeDocument/2006/relationships/hyperlink" Target="https://journaliststudio.google.com/pinpoint-extract/preview?collection=b4db47ccc48595a5&amp;job=7e40ac8cfc4579aa&amp;docid=8884d0508c167a2_b4db47ccc48595a5&amp;schid=8001&amp;row=20&amp;page=30" TargetMode="External"/><Relationship Id="rId68" Type="http://schemas.openxmlformats.org/officeDocument/2006/relationships/hyperlink" Target="https://journaliststudio.google.com/pinpoint-extract/preview?collection=524daaefa335d538&amp;job=da2bc2801cc717c7&amp;docid=3a84e2afec62e521_524daaefa335d538&amp;schid=8001&amp;row=67&amp;page=49" TargetMode="External"/><Relationship Id="rId133" Type="http://schemas.openxmlformats.org/officeDocument/2006/relationships/hyperlink" Target="https://journaliststudio.google.com/pinpoint-extract/preview?collection=524daaefa335d538&amp;job=a98fe27898c7f9dc&amp;docid=1244364dcff36f7f_524daaefa335d538&amp;schid=8001&amp;row=64&amp;page=43" TargetMode="External"/><Relationship Id="rId175" Type="http://schemas.openxmlformats.org/officeDocument/2006/relationships/hyperlink" Target="https://journaliststudio.google.com/pinpoint-extract/preview?collection=524daaefa335d538&amp;job=7dc4c4e6adb9e99a&amp;docid=1f0f8b47c49b27c2_524daaefa335d538&amp;schid=8001&amp;row=42&amp;page=39" TargetMode="External"/><Relationship Id="rId340" Type="http://schemas.openxmlformats.org/officeDocument/2006/relationships/hyperlink" Target="https://journaliststudio.google.com/pinpoint-extract/preview?collection=94f5d562231d4dd6&amp;job=73925388c8ca2ad8&amp;docid=bb843fadc6314b6e_94f5d562231d4dd6&amp;schid=8030&amp;row=34&amp;page=29" TargetMode="External"/><Relationship Id="rId200" Type="http://schemas.openxmlformats.org/officeDocument/2006/relationships/hyperlink" Target="https://journaliststudio.google.com/pinpoint-extract/preview?collection=524daaefa335d538&amp;job=7dc4c4e6adb9e99a&amp;docid=1f0f8b47c49b27c2_524daaefa335d538&amp;schid=8001&amp;row=69&amp;page=40" TargetMode="External"/><Relationship Id="rId382" Type="http://schemas.openxmlformats.org/officeDocument/2006/relationships/hyperlink" Target="https://journaliststudio.google.com/pinpoint-extract/preview?collection=59c534ba70c0b75b&amp;job=f96ade24dc66657&amp;docid=f9a22023735ef321_59c534ba70c0b75b&amp;schid=8044&amp;row=5&amp;page=28" TargetMode="External"/><Relationship Id="rId438" Type="http://schemas.openxmlformats.org/officeDocument/2006/relationships/hyperlink" Target="https://journaliststudio.google.com/pinpoint-extract/preview?collection=b4db47ccc48595a5&amp;job=7bbb0f67809b104e&amp;docid=252734efe751c385_b4db47ccc48595a5&amp;schid=8081&amp;row=7&amp;page=30" TargetMode="External"/><Relationship Id="rId242" Type="http://schemas.openxmlformats.org/officeDocument/2006/relationships/hyperlink" Target="https://journaliststudio.google.com/pinpoint-extract/preview?collection=59c534ba70c0b75b&amp;job=4cd2f64341a72b0b&amp;docid=d5c6addb973fc20e_59c534ba70c0b75b&amp;schid=8001&amp;row=33&amp;page=39" TargetMode="External"/><Relationship Id="rId284" Type="http://schemas.openxmlformats.org/officeDocument/2006/relationships/hyperlink" Target="https://journaliststudio.google.com/pinpoint-extract/preview?collection=94f5d562231d4dd6&amp;job=ae935e256ae44e8c&amp;docid=bb843fadc6314b6e_94f5d562231d4dd6&amp;schid=8017&amp;row=1&amp;page=27" TargetMode="External"/><Relationship Id="rId491" Type="http://schemas.openxmlformats.org/officeDocument/2006/relationships/hyperlink" Target="https://journaliststudio.google.com/pinpoint-extract/preview?collection=b4db47ccc48595a5&amp;job=8ce95af7bbe3ae32&amp;docid=46e4f917ea989928_b4db47ccc48595a5&amp;schid=8033&amp;row=7&amp;page=43" TargetMode="External"/><Relationship Id="rId505" Type="http://schemas.openxmlformats.org/officeDocument/2006/relationships/hyperlink" Target="https://journaliststudio.google.com/pinpoint-extract/preview?collection=b4db47ccc48595a5&amp;job=b966e2a83e48c6be&amp;docid=46e4f917ea989928_b4db47ccc48595a5&amp;schid=8001&amp;row=3&amp;page=44" TargetMode="External"/><Relationship Id="rId37" Type="http://schemas.openxmlformats.org/officeDocument/2006/relationships/hyperlink" Target="https://journaliststudio.google.com/pinpoint-extract/preview?collection=524daaefa335d538&amp;job=da2bc2801cc717c7&amp;docid=3a84e2afec62e521_524daaefa335d538&amp;schid=8001&amp;row=36&amp;page=47" TargetMode="External"/><Relationship Id="rId79" Type="http://schemas.openxmlformats.org/officeDocument/2006/relationships/hyperlink" Target="https://journaliststudio.google.com/pinpoint-extract/preview?collection=524daaefa335d538&amp;job=a98fe27898c7f9dc&amp;docid=1244364dcff36f7f_524daaefa335d538&amp;schid=8001&amp;row=10&amp;page=40" TargetMode="External"/><Relationship Id="rId102" Type="http://schemas.openxmlformats.org/officeDocument/2006/relationships/hyperlink" Target="https://journaliststudio.google.com/pinpoint-extract/preview?collection=524daaefa335d538&amp;job=a98fe27898c7f9dc&amp;docid=1244364dcff36f7f_524daaefa335d538&amp;schid=8001&amp;row=33&amp;page=41" TargetMode="External"/><Relationship Id="rId144" Type="http://schemas.openxmlformats.org/officeDocument/2006/relationships/hyperlink" Target="https://journaliststudio.google.com/pinpoint-extract/preview?collection=524daaefa335d538&amp;job=7dc4c4e6adb9e99a&amp;docid=1f0f8b47c49b27c2_524daaefa335d538&amp;schid=8001&amp;row=9&amp;page=38" TargetMode="External"/><Relationship Id="rId547" Type="http://schemas.openxmlformats.org/officeDocument/2006/relationships/hyperlink" Target="https://journaliststudio.google.com/pinpoint-extract/preview?collection=b4db47ccc48595a5&amp;job=7e40ac8cfc4579aa&amp;docid=8884d0508c167a2_b4db47ccc48595a5&amp;schid=8001&amp;row=31&amp;page=31" TargetMode="External"/><Relationship Id="rId90" Type="http://schemas.openxmlformats.org/officeDocument/2006/relationships/hyperlink" Target="https://journaliststudio.google.com/pinpoint-extract/preview?collection=524daaefa335d538&amp;job=a98fe27898c7f9dc&amp;docid=1244364dcff36f7f_524daaefa335d538&amp;schid=8001&amp;row=21&amp;page=41" TargetMode="External"/><Relationship Id="rId186" Type="http://schemas.openxmlformats.org/officeDocument/2006/relationships/hyperlink" Target="https://journaliststudio.google.com/pinpoint-extract/preview?collection=524daaefa335d538&amp;job=7dc4c4e6adb9e99a&amp;docid=1f0f8b47c49b27c2_524daaefa335d538&amp;schid=8001&amp;row=55&amp;page=40" TargetMode="External"/><Relationship Id="rId351" Type="http://schemas.openxmlformats.org/officeDocument/2006/relationships/hyperlink" Target="https://journaliststudio.google.com/pinpoint-extract/preview?collection=59c534ba70c0b75b&amp;job=7d986fe353a45a34&amp;docid=f9a22023735ef321_59c534ba70c0b75b&amp;schid=8016&amp;row=2&amp;page=26" TargetMode="External"/><Relationship Id="rId393" Type="http://schemas.openxmlformats.org/officeDocument/2006/relationships/hyperlink" Target="https://journaliststudio.google.com/pinpoint-extract/preview?collection=59c534ba70c0b75b&amp;job=4cd2f64341a72b0b&amp;docid=f9a22023735ef321_59c534ba70c0b75b&amp;schid=8001&amp;row=1&amp;page=29" TargetMode="External"/><Relationship Id="rId407" Type="http://schemas.openxmlformats.org/officeDocument/2006/relationships/hyperlink" Target="https://journaliststudio.google.com/pinpoint-extract/preview?collection=59c534ba70c0b75b&amp;job=4cd2f64341a72b0b&amp;docid=f9a22023735ef321_59c534ba70c0b75b&amp;schid=8001&amp;row=15&amp;page=30" TargetMode="External"/><Relationship Id="rId449" Type="http://schemas.openxmlformats.org/officeDocument/2006/relationships/hyperlink" Target="https://journaliststudio.google.com/pinpoint-extract/preview?collection=b4db47ccc48595a5&amp;job=97fb37ff89f504eb&amp;docid=252734efe751c385_b4db47ccc48595a5&amp;schid=8093&amp;row=0&amp;page=31" TargetMode="External"/><Relationship Id="rId211" Type="http://schemas.openxmlformats.org/officeDocument/2006/relationships/hyperlink" Target="https://journaliststudio.google.com/pinpoint-extract/preview?collection=59c534ba70c0b75b&amp;job=4cd2f64341a72b0b&amp;docid=d5c6addb973fc20e_59c534ba70c0b75b&amp;schid=8001&amp;row=2&amp;page=38" TargetMode="External"/><Relationship Id="rId253" Type="http://schemas.openxmlformats.org/officeDocument/2006/relationships/hyperlink" Target="https://journaliststudio.google.com/pinpoint-extract/preview?collection=59c534ba70c0b75b&amp;job=4cd2f64341a72b0b&amp;docid=d5c6addb973fc20e_59c534ba70c0b75b&amp;schid=8001&amp;row=44&amp;page=39" TargetMode="External"/><Relationship Id="rId295" Type="http://schemas.openxmlformats.org/officeDocument/2006/relationships/hyperlink" Target="https://journaliststudio.google.com/pinpoint-extract/preview?collection=94f5d562231d4dd6&amp;job=ae935e256ae44e8c&amp;docid=bb843fadc6314b6e_94f5d562231d4dd6&amp;schid=8017&amp;row=12&amp;page=27" TargetMode="External"/><Relationship Id="rId309" Type="http://schemas.openxmlformats.org/officeDocument/2006/relationships/hyperlink" Target="https://journaliststudio.google.com/pinpoint-extract/preview?collection=94f5d562231d4dd6&amp;job=73925388c8ca2ad8&amp;docid=bb843fadc6314b6e_94f5d562231d4dd6&amp;schid=8030&amp;row=3&amp;page=28" TargetMode="External"/><Relationship Id="rId460" Type="http://schemas.openxmlformats.org/officeDocument/2006/relationships/hyperlink" Target="https://journaliststudio.google.com/pinpoint-extract/preview?collection=b4db47ccc48595a5&amp;job=97fb37ff89f504eb&amp;docid=252734efe751c385_b4db47ccc48595a5&amp;schid=8093&amp;row=11&amp;page=31" TargetMode="External"/><Relationship Id="rId516" Type="http://schemas.openxmlformats.org/officeDocument/2006/relationships/hyperlink" Target="https://journaliststudio.google.com/pinpoint-extract/preview?collection=b4db47ccc48595a5&amp;job=7e40ac8cfc4579aa&amp;docid=8884d0508c167a2_b4db47ccc48595a5&amp;schid=8001&amp;row=0&amp;page=30" TargetMode="External"/><Relationship Id="rId48" Type="http://schemas.openxmlformats.org/officeDocument/2006/relationships/hyperlink" Target="https://journaliststudio.google.com/pinpoint-extract/preview?collection=524daaefa335d538&amp;job=da2bc2801cc717c7&amp;docid=3a84e2afec62e521_524daaefa335d538&amp;schid=8001&amp;row=47&amp;page=48" TargetMode="External"/><Relationship Id="rId113" Type="http://schemas.openxmlformats.org/officeDocument/2006/relationships/hyperlink" Target="https://journaliststudio.google.com/pinpoint-extract/preview?collection=524daaefa335d538&amp;job=a98fe27898c7f9dc&amp;docid=1244364dcff36f7f_524daaefa335d538&amp;schid=8001&amp;row=44&amp;page=42" TargetMode="External"/><Relationship Id="rId320" Type="http://schemas.openxmlformats.org/officeDocument/2006/relationships/hyperlink" Target="https://journaliststudio.google.com/pinpoint-extract/preview?collection=94f5d562231d4dd6&amp;job=73925388c8ca2ad8&amp;docid=bb843fadc6314b6e_94f5d562231d4dd6&amp;schid=8030&amp;row=14&amp;page=28" TargetMode="External"/><Relationship Id="rId558" Type="http://schemas.openxmlformats.org/officeDocument/2006/relationships/vmlDrawing" Target="../drawings/vmlDrawing1.vml"/><Relationship Id="rId155" Type="http://schemas.openxmlformats.org/officeDocument/2006/relationships/hyperlink" Target="https://journaliststudio.google.com/pinpoint-extract/preview?collection=524daaefa335d538&amp;job=7dc4c4e6adb9e99a&amp;docid=1f0f8b47c49b27c2_524daaefa335d538&amp;schid=8001&amp;row=20&amp;page=38" TargetMode="External"/><Relationship Id="rId197" Type="http://schemas.openxmlformats.org/officeDocument/2006/relationships/hyperlink" Target="https://journaliststudio.google.com/pinpoint-extract/preview?collection=524daaefa335d538&amp;job=7dc4c4e6adb9e99a&amp;docid=1f0f8b47c49b27c2_524daaefa335d538&amp;schid=8001&amp;row=66&amp;page=40" TargetMode="External"/><Relationship Id="rId362" Type="http://schemas.openxmlformats.org/officeDocument/2006/relationships/hyperlink" Target="https://journaliststudio.google.com/pinpoint-extract/preview?collection=59c534ba70c0b75b&amp;job=7d986fe353a45a34&amp;docid=f9a22023735ef321_59c534ba70c0b75b&amp;schid=8016&amp;row=13&amp;page=26" TargetMode="External"/><Relationship Id="rId418" Type="http://schemas.openxmlformats.org/officeDocument/2006/relationships/hyperlink" Target="https://journaliststudio.google.com/pinpoint-extract/preview?collection=b4db47ccc48595a5&amp;job=1feec7ab74957524&amp;docid=252734efe751c385_b4db47ccc48595a5&amp;schid=8042&amp;row=4&amp;page=29" TargetMode="External"/><Relationship Id="rId222" Type="http://schemas.openxmlformats.org/officeDocument/2006/relationships/hyperlink" Target="https://journaliststudio.google.com/pinpoint-extract/preview?collection=59c534ba70c0b75b&amp;job=4cd2f64341a72b0b&amp;docid=d5c6addb973fc20e_59c534ba70c0b75b&amp;schid=8001&amp;row=13&amp;page=38" TargetMode="External"/><Relationship Id="rId264" Type="http://schemas.openxmlformats.org/officeDocument/2006/relationships/hyperlink" Target="https://journaliststudio.google.com/pinpoint-extract/preview?collection=59c534ba70c0b75b&amp;job=4cd2f64341a72b0b&amp;docid=d5c6addb973fc20e_59c534ba70c0b75b&amp;schid=8001&amp;row=55&amp;page=40" TargetMode="External"/><Relationship Id="rId471" Type="http://schemas.openxmlformats.org/officeDocument/2006/relationships/hyperlink" Target="https://journaliststudio.google.com/pinpoint-extract/preview?collection=b4db47ccc48595a5&amp;job=effa8401566aaec6&amp;docid=46e4f917ea989928_b4db47ccc48595a5&amp;schid=8012&amp;row=5&amp;page=42" TargetMode="External"/><Relationship Id="rId17" Type="http://schemas.openxmlformats.org/officeDocument/2006/relationships/hyperlink" Target="https://journaliststudio.google.com/pinpoint-extract/preview?collection=524daaefa335d538&amp;job=da2bc2801cc717c7&amp;docid=3a84e2afec62e521_524daaefa335d538&amp;schid=8001&amp;row=16&amp;page=46" TargetMode="External"/><Relationship Id="rId59" Type="http://schemas.openxmlformats.org/officeDocument/2006/relationships/hyperlink" Target="https://journaliststudio.google.com/pinpoint-extract/preview?collection=524daaefa335d538&amp;job=da2bc2801cc717c7&amp;docid=3a84e2afec62e521_524daaefa335d538&amp;schid=8001&amp;row=58&amp;page=49" TargetMode="External"/><Relationship Id="rId124" Type="http://schemas.openxmlformats.org/officeDocument/2006/relationships/hyperlink" Target="https://journaliststudio.google.com/pinpoint-extract/preview?collection=524daaefa335d538&amp;job=a98fe27898c7f9dc&amp;docid=1244364dcff36f7f_524daaefa335d538&amp;schid=8001&amp;row=55&amp;page=42" TargetMode="External"/><Relationship Id="rId527" Type="http://schemas.openxmlformats.org/officeDocument/2006/relationships/hyperlink" Target="https://journaliststudio.google.com/pinpoint-extract/preview?collection=b4db47ccc48595a5&amp;job=7e40ac8cfc4579aa&amp;docid=8884d0508c167a2_b4db47ccc48595a5&amp;schid=8001&amp;row=11&amp;page=30" TargetMode="External"/><Relationship Id="rId70" Type="http://schemas.openxmlformats.org/officeDocument/2006/relationships/hyperlink" Target="https://journaliststudio.google.com/pinpoint-extract/preview?collection=524daaefa335d538&amp;job=a98fe27898c7f9dc&amp;docid=1244364dcff36f7f_524daaefa335d538&amp;schid=8001&amp;row=1&amp;page=40" TargetMode="External"/><Relationship Id="rId166" Type="http://schemas.openxmlformats.org/officeDocument/2006/relationships/hyperlink" Target="https://journaliststudio.google.com/pinpoint-extract/preview?collection=524daaefa335d538&amp;job=7dc4c4e6adb9e99a&amp;docid=1f0f8b47c49b27c2_524daaefa335d538&amp;schid=8001&amp;row=33&amp;page=39" TargetMode="External"/><Relationship Id="rId331" Type="http://schemas.openxmlformats.org/officeDocument/2006/relationships/hyperlink" Target="https://journaliststudio.google.com/pinpoint-extract/preview?collection=94f5d562231d4dd6&amp;job=73925388c8ca2ad8&amp;docid=bb843fadc6314b6e_94f5d562231d4dd6&amp;schid=8030&amp;row=25&amp;page=29" TargetMode="External"/><Relationship Id="rId373" Type="http://schemas.openxmlformats.org/officeDocument/2006/relationships/hyperlink" Target="https://journaliststudio.google.com/pinpoint-extract/preview?collection=59c534ba70c0b75b&amp;job=35432234b21c40f6&amp;docid=f9a22023735ef321_59c534ba70c0b75b&amp;schid=8030&amp;row=9&amp;page=27" TargetMode="External"/><Relationship Id="rId429" Type="http://schemas.openxmlformats.org/officeDocument/2006/relationships/hyperlink" Target="https://journaliststudio.google.com/pinpoint-extract/preview?collection=b4db47ccc48595a5&amp;job=1feec7ab74957524&amp;docid=252734efe751c385_b4db47ccc48595a5&amp;schid=8042&amp;row=15&amp;page=29" TargetMode="External"/><Relationship Id="rId1" Type="http://schemas.openxmlformats.org/officeDocument/2006/relationships/hyperlink" Target="https://journaliststudio.google.com/pinpoint-extract/preview?collection=524daaefa335d538&amp;job=da2bc2801cc717c7&amp;docid=3a84e2afec62e521_524daaefa335d538&amp;schid=8001&amp;row=0&amp;page=45" TargetMode="External"/><Relationship Id="rId233" Type="http://schemas.openxmlformats.org/officeDocument/2006/relationships/hyperlink" Target="https://journaliststudio.google.com/pinpoint-extract/preview?collection=59c534ba70c0b75b&amp;job=4cd2f64341a72b0b&amp;docid=d5c6addb973fc20e_59c534ba70c0b75b&amp;schid=8001&amp;row=24&amp;page=39" TargetMode="External"/><Relationship Id="rId440" Type="http://schemas.openxmlformats.org/officeDocument/2006/relationships/hyperlink" Target="https://journaliststudio.google.com/pinpoint-extract/preview?collection=b4db47ccc48595a5&amp;job=7bbb0f67809b104e&amp;docid=252734efe751c385_b4db47ccc48595a5&amp;schid=8081&amp;row=9&amp;page=30" TargetMode="External"/><Relationship Id="rId28" Type="http://schemas.openxmlformats.org/officeDocument/2006/relationships/hyperlink" Target="https://journaliststudio.google.com/pinpoint-extract/preview?collection=524daaefa335d538&amp;job=da2bc2801cc717c7&amp;docid=3a84e2afec62e521_524daaefa335d538&amp;schid=8001&amp;row=27&amp;page=47" TargetMode="External"/><Relationship Id="rId275" Type="http://schemas.openxmlformats.org/officeDocument/2006/relationships/hyperlink" Target="https://journaliststudio.google.com/pinpoint-extract/preview?collection=59c534ba70c0b75b&amp;job=4cd2f64341a72b0b&amp;docid=d5c6addb973fc20e_59c534ba70c0b75b&amp;schid=8001&amp;row=66&amp;page=40" TargetMode="External"/><Relationship Id="rId300" Type="http://schemas.openxmlformats.org/officeDocument/2006/relationships/hyperlink" Target="https://journaliststudio.google.com/pinpoint-extract/preview?collection=94f5d562231d4dd6&amp;job=ae935e256ae44e8c&amp;docid=bb843fadc6314b6e_94f5d562231d4dd6&amp;schid=8017&amp;row=17&amp;page=27" TargetMode="External"/><Relationship Id="rId482" Type="http://schemas.openxmlformats.org/officeDocument/2006/relationships/hyperlink" Target="https://journaliststudio.google.com/pinpoint-extract/preview?collection=b4db47ccc48595a5&amp;job=effa8401566aaec6&amp;docid=46e4f917ea989928_b4db47ccc48595a5&amp;schid=8012&amp;row=16&amp;page=42" TargetMode="External"/><Relationship Id="rId538" Type="http://schemas.openxmlformats.org/officeDocument/2006/relationships/hyperlink" Target="https://journaliststudio.google.com/pinpoint-extract/preview?collection=b4db47ccc48595a5&amp;job=7e40ac8cfc4579aa&amp;docid=8884d0508c167a2_b4db47ccc48595a5&amp;schid=8001&amp;row=22&amp;page=31" TargetMode="External"/><Relationship Id="rId81" Type="http://schemas.openxmlformats.org/officeDocument/2006/relationships/hyperlink" Target="https://journaliststudio.google.com/pinpoint-extract/preview?collection=524daaefa335d538&amp;job=a98fe27898c7f9dc&amp;docid=1244364dcff36f7f_524daaefa335d538&amp;schid=8001&amp;row=12&amp;page=40" TargetMode="External"/><Relationship Id="rId135" Type="http://schemas.openxmlformats.org/officeDocument/2006/relationships/hyperlink" Target="https://journaliststudio.google.com/pinpoint-extract/preview?collection=524daaefa335d538&amp;job=a98fe27898c7f9dc&amp;docid=1244364dcff36f7f_524daaefa335d538&amp;schid=8001&amp;row=66&amp;page=43" TargetMode="External"/><Relationship Id="rId177" Type="http://schemas.openxmlformats.org/officeDocument/2006/relationships/hyperlink" Target="https://journaliststudio.google.com/pinpoint-extract/preview?collection=524daaefa335d538&amp;job=7dc4c4e6adb9e99a&amp;docid=1f0f8b47c49b27c2_524daaefa335d538&amp;schid=8001&amp;row=44&amp;page=39" TargetMode="External"/><Relationship Id="rId342" Type="http://schemas.openxmlformats.org/officeDocument/2006/relationships/hyperlink" Target="https://journaliststudio.google.com/pinpoint-extract/preview?collection=94f5d562231d4dd6&amp;job=73925388c8ca2ad8&amp;docid=bb843fadc6314b6e_94f5d562231d4dd6&amp;schid=8030&amp;row=36&amp;page=29" TargetMode="External"/><Relationship Id="rId384" Type="http://schemas.openxmlformats.org/officeDocument/2006/relationships/hyperlink" Target="https://journaliststudio.google.com/pinpoint-extract/preview?collection=59c534ba70c0b75b&amp;job=f96ade24dc66657&amp;docid=f9a22023735ef321_59c534ba70c0b75b&amp;schid=8044&amp;row=7&amp;page=28" TargetMode="External"/><Relationship Id="rId202" Type="http://schemas.openxmlformats.org/officeDocument/2006/relationships/hyperlink" Target="https://journaliststudio.google.com/pinpoint-extract/preview?collection=524daaefa335d538&amp;job=7dc4c4e6adb9e99a&amp;docid=1f0f8b47c49b27c2_524daaefa335d538&amp;schid=8001&amp;row=71&amp;page=40" TargetMode="External"/><Relationship Id="rId244" Type="http://schemas.openxmlformats.org/officeDocument/2006/relationships/hyperlink" Target="https://journaliststudio.google.com/pinpoint-extract/preview?collection=59c534ba70c0b75b&amp;job=4cd2f64341a72b0b&amp;docid=d5c6addb973fc20e_59c534ba70c0b75b&amp;schid=8001&amp;row=35&amp;page=39" TargetMode="External"/><Relationship Id="rId39" Type="http://schemas.openxmlformats.org/officeDocument/2006/relationships/hyperlink" Target="https://journaliststudio.google.com/pinpoint-extract/preview?collection=524daaefa335d538&amp;job=da2bc2801cc717c7&amp;docid=3a84e2afec62e521_524daaefa335d538&amp;schid=8001&amp;row=38&amp;page=48" TargetMode="External"/><Relationship Id="rId286" Type="http://schemas.openxmlformats.org/officeDocument/2006/relationships/hyperlink" Target="https://journaliststudio.google.com/pinpoint-extract/preview?collection=94f5d562231d4dd6&amp;job=ae935e256ae44e8c&amp;docid=bb843fadc6314b6e_94f5d562231d4dd6&amp;schid=8017&amp;row=3&amp;page=27" TargetMode="External"/><Relationship Id="rId451" Type="http://schemas.openxmlformats.org/officeDocument/2006/relationships/hyperlink" Target="https://journaliststudio.google.com/pinpoint-extract/preview?collection=b4db47ccc48595a5&amp;job=97fb37ff89f504eb&amp;docid=252734efe751c385_b4db47ccc48595a5&amp;schid=8093&amp;row=2&amp;page=31" TargetMode="External"/><Relationship Id="rId493" Type="http://schemas.openxmlformats.org/officeDocument/2006/relationships/hyperlink" Target="https://journaliststudio.google.com/pinpoint-extract/preview?collection=b4db47ccc48595a5&amp;job=8ce95af7bbe3ae32&amp;docid=46e4f917ea989928_b4db47ccc48595a5&amp;schid=8033&amp;row=9&amp;page=43" TargetMode="External"/><Relationship Id="rId507" Type="http://schemas.openxmlformats.org/officeDocument/2006/relationships/hyperlink" Target="https://journaliststudio.google.com/pinpoint-extract/preview?collection=b4db47ccc48595a5&amp;job=b966e2a83e48c6be&amp;docid=46e4f917ea989928_b4db47ccc48595a5&amp;schid=8001&amp;row=5&amp;page=44" TargetMode="External"/><Relationship Id="rId549" Type="http://schemas.openxmlformats.org/officeDocument/2006/relationships/hyperlink" Target="https://journaliststudio.google.com/pinpoint-extract/preview?collection=b4db47ccc48595a5&amp;job=7e40ac8cfc4579aa&amp;docid=8884d0508c167a2_b4db47ccc48595a5&amp;schid=8001&amp;row=33&amp;page=31" TargetMode="External"/><Relationship Id="rId50" Type="http://schemas.openxmlformats.org/officeDocument/2006/relationships/hyperlink" Target="https://journaliststudio.google.com/pinpoint-extract/preview?collection=524daaefa335d538&amp;job=da2bc2801cc717c7&amp;docid=3a84e2afec62e521_524daaefa335d538&amp;schid=8001&amp;row=49&amp;page=48" TargetMode="External"/><Relationship Id="rId104" Type="http://schemas.openxmlformats.org/officeDocument/2006/relationships/hyperlink" Target="https://journaliststudio.google.com/pinpoint-extract/preview?collection=524daaefa335d538&amp;job=a98fe27898c7f9dc&amp;docid=1244364dcff36f7f_524daaefa335d538&amp;schid=8001&amp;row=35&amp;page=41" TargetMode="External"/><Relationship Id="rId146" Type="http://schemas.openxmlformats.org/officeDocument/2006/relationships/hyperlink" Target="https://journaliststudio.google.com/pinpoint-extract/preview?collection=524daaefa335d538&amp;job=7dc4c4e6adb9e99a&amp;docid=1f0f8b47c49b27c2_524daaefa335d538&amp;schid=8001&amp;row=11&amp;page=38" TargetMode="External"/><Relationship Id="rId188" Type="http://schemas.openxmlformats.org/officeDocument/2006/relationships/hyperlink" Target="https://journaliststudio.google.com/pinpoint-extract/preview?collection=524daaefa335d538&amp;job=7dc4c4e6adb9e99a&amp;docid=1f0f8b47c49b27c2_524daaefa335d538&amp;schid=8001&amp;row=57&amp;page=40" TargetMode="External"/><Relationship Id="rId311" Type="http://schemas.openxmlformats.org/officeDocument/2006/relationships/hyperlink" Target="https://journaliststudio.google.com/pinpoint-extract/preview?collection=94f5d562231d4dd6&amp;job=73925388c8ca2ad8&amp;docid=bb843fadc6314b6e_94f5d562231d4dd6&amp;schid=8030&amp;row=5&amp;page=28" TargetMode="External"/><Relationship Id="rId353" Type="http://schemas.openxmlformats.org/officeDocument/2006/relationships/hyperlink" Target="https://journaliststudio.google.com/pinpoint-extract/preview?collection=59c534ba70c0b75b&amp;job=7d986fe353a45a34&amp;docid=f9a22023735ef321_59c534ba70c0b75b&amp;schid=8016&amp;row=4&amp;page=26" TargetMode="External"/><Relationship Id="rId395" Type="http://schemas.openxmlformats.org/officeDocument/2006/relationships/hyperlink" Target="https://journaliststudio.google.com/pinpoint-extract/preview?collection=59c534ba70c0b75b&amp;job=4cd2f64341a72b0b&amp;docid=f9a22023735ef321_59c534ba70c0b75b&amp;schid=8001&amp;row=3&amp;page=29" TargetMode="External"/><Relationship Id="rId409" Type="http://schemas.openxmlformats.org/officeDocument/2006/relationships/hyperlink" Target="https://journaliststudio.google.com/pinpoint-extract/preview?collection=59c534ba70c0b75b&amp;job=4cd2f64341a72b0b&amp;docid=f9a22023735ef321_59c534ba70c0b75b&amp;schid=8001&amp;row=17&amp;page=30" TargetMode="External"/><Relationship Id="rId92" Type="http://schemas.openxmlformats.org/officeDocument/2006/relationships/hyperlink" Target="https://journaliststudio.google.com/pinpoint-extract/preview?collection=524daaefa335d538&amp;job=a98fe27898c7f9dc&amp;docid=1244364dcff36f7f_524daaefa335d538&amp;schid=8001&amp;row=23&amp;page=41" TargetMode="External"/><Relationship Id="rId213" Type="http://schemas.openxmlformats.org/officeDocument/2006/relationships/hyperlink" Target="https://journaliststudio.google.com/pinpoint-extract/preview?collection=59c534ba70c0b75b&amp;job=4cd2f64341a72b0b&amp;docid=d5c6addb973fc20e_59c534ba70c0b75b&amp;schid=8001&amp;row=4&amp;page=38" TargetMode="External"/><Relationship Id="rId420" Type="http://schemas.openxmlformats.org/officeDocument/2006/relationships/hyperlink" Target="https://journaliststudio.google.com/pinpoint-extract/preview?collection=b4db47ccc48595a5&amp;job=1feec7ab74957524&amp;docid=252734efe751c385_b4db47ccc48595a5&amp;schid=8042&amp;row=6&amp;page=29" TargetMode="External"/><Relationship Id="rId255" Type="http://schemas.openxmlformats.org/officeDocument/2006/relationships/hyperlink" Target="https://journaliststudio.google.com/pinpoint-extract/preview?collection=59c534ba70c0b75b&amp;job=4cd2f64341a72b0b&amp;docid=d5c6addb973fc20e_59c534ba70c0b75b&amp;schid=8001&amp;row=46&amp;page=39" TargetMode="External"/><Relationship Id="rId297" Type="http://schemas.openxmlformats.org/officeDocument/2006/relationships/hyperlink" Target="https://journaliststudio.google.com/pinpoint-extract/preview?collection=94f5d562231d4dd6&amp;job=ae935e256ae44e8c&amp;docid=bb843fadc6314b6e_94f5d562231d4dd6&amp;schid=8017&amp;row=14&amp;page=27" TargetMode="External"/><Relationship Id="rId462" Type="http://schemas.openxmlformats.org/officeDocument/2006/relationships/hyperlink" Target="https://journaliststudio.google.com/pinpoint-extract/preview?collection=b4db47ccc48595a5&amp;job=97fb37ff89f504eb&amp;docid=252734efe751c385_b4db47ccc48595a5&amp;schid=8093&amp;row=13&amp;page=31" TargetMode="External"/><Relationship Id="rId518" Type="http://schemas.openxmlformats.org/officeDocument/2006/relationships/hyperlink" Target="https://journaliststudio.google.com/pinpoint-extract/preview?collection=b4db47ccc48595a5&amp;job=7e40ac8cfc4579aa&amp;docid=8884d0508c167a2_b4db47ccc48595a5&amp;schid=8001&amp;row=2&amp;page=30" TargetMode="External"/><Relationship Id="rId115" Type="http://schemas.openxmlformats.org/officeDocument/2006/relationships/hyperlink" Target="https://journaliststudio.google.com/pinpoint-extract/preview?collection=524daaefa335d538&amp;job=a98fe27898c7f9dc&amp;docid=1244364dcff36f7f_524daaefa335d538&amp;schid=8001&amp;row=46&amp;page=42" TargetMode="External"/><Relationship Id="rId157" Type="http://schemas.openxmlformats.org/officeDocument/2006/relationships/hyperlink" Target="https://journaliststudio.google.com/pinpoint-extract/preview?collection=524daaefa335d538&amp;job=7dc4c4e6adb9e99a&amp;docid=1f0f8b47c49b27c2_524daaefa335d538&amp;schid=8001&amp;row=22&amp;page=38" TargetMode="External"/><Relationship Id="rId322" Type="http://schemas.openxmlformats.org/officeDocument/2006/relationships/hyperlink" Target="https://journaliststudio.google.com/pinpoint-extract/preview?collection=94f5d562231d4dd6&amp;job=73925388c8ca2ad8&amp;docid=bb843fadc6314b6e_94f5d562231d4dd6&amp;schid=8030&amp;row=16&amp;page=28" TargetMode="External"/><Relationship Id="rId364" Type="http://schemas.openxmlformats.org/officeDocument/2006/relationships/hyperlink" Target="https://journaliststudio.google.com/pinpoint-extract/preview?collection=59c534ba70c0b75b&amp;job=35432234b21c40f6&amp;docid=f9a22023735ef321_59c534ba70c0b75b&amp;schid=8030&amp;row=0&amp;page=27" TargetMode="External"/><Relationship Id="rId61" Type="http://schemas.openxmlformats.org/officeDocument/2006/relationships/hyperlink" Target="https://journaliststudio.google.com/pinpoint-extract/preview?collection=524daaefa335d538&amp;job=da2bc2801cc717c7&amp;docid=3a84e2afec62e521_524daaefa335d538&amp;schid=8001&amp;row=60&amp;page=49" TargetMode="External"/><Relationship Id="rId199" Type="http://schemas.openxmlformats.org/officeDocument/2006/relationships/hyperlink" Target="https://journaliststudio.google.com/pinpoint-extract/preview?collection=524daaefa335d538&amp;job=7dc4c4e6adb9e99a&amp;docid=1f0f8b47c49b27c2_524daaefa335d538&amp;schid=8001&amp;row=68&amp;page=40" TargetMode="External"/><Relationship Id="rId19" Type="http://schemas.openxmlformats.org/officeDocument/2006/relationships/hyperlink" Target="https://journaliststudio.google.com/pinpoint-extract/preview?collection=524daaefa335d538&amp;job=da2bc2801cc717c7&amp;docid=3a84e2afec62e521_524daaefa335d538&amp;schid=8001&amp;row=18&amp;page=46" TargetMode="External"/><Relationship Id="rId224" Type="http://schemas.openxmlformats.org/officeDocument/2006/relationships/hyperlink" Target="https://journaliststudio.google.com/pinpoint-extract/preview?collection=59c534ba70c0b75b&amp;job=4cd2f64341a72b0b&amp;docid=d5c6addb973fc20e_59c534ba70c0b75b&amp;schid=8001&amp;row=15&amp;page=38" TargetMode="External"/><Relationship Id="rId266" Type="http://schemas.openxmlformats.org/officeDocument/2006/relationships/hyperlink" Target="https://journaliststudio.google.com/pinpoint-extract/preview?collection=59c534ba70c0b75b&amp;job=4cd2f64341a72b0b&amp;docid=d5c6addb973fc20e_59c534ba70c0b75b&amp;schid=8001&amp;row=57&amp;page=40" TargetMode="External"/><Relationship Id="rId431" Type="http://schemas.openxmlformats.org/officeDocument/2006/relationships/hyperlink" Target="https://journaliststudio.google.com/pinpoint-extract/preview?collection=b4db47ccc48595a5&amp;job=7bbb0f67809b104e&amp;docid=252734efe751c385_b4db47ccc48595a5&amp;schid=8081&amp;row=0&amp;page=30" TargetMode="External"/><Relationship Id="rId473" Type="http://schemas.openxmlformats.org/officeDocument/2006/relationships/hyperlink" Target="https://journaliststudio.google.com/pinpoint-extract/preview?collection=b4db47ccc48595a5&amp;job=effa8401566aaec6&amp;docid=46e4f917ea989928_b4db47ccc48595a5&amp;schid=8012&amp;row=7&amp;page=42" TargetMode="External"/><Relationship Id="rId529" Type="http://schemas.openxmlformats.org/officeDocument/2006/relationships/hyperlink" Target="https://journaliststudio.google.com/pinpoint-extract/preview?collection=b4db47ccc48595a5&amp;job=7e40ac8cfc4579aa&amp;docid=8884d0508c167a2_b4db47ccc48595a5&amp;schid=8001&amp;row=13&amp;page=30" TargetMode="External"/><Relationship Id="rId30" Type="http://schemas.openxmlformats.org/officeDocument/2006/relationships/hyperlink" Target="https://journaliststudio.google.com/pinpoint-extract/preview?collection=524daaefa335d538&amp;job=da2bc2801cc717c7&amp;docid=3a84e2afec62e521_524daaefa335d538&amp;schid=8001&amp;row=29&amp;page=47" TargetMode="External"/><Relationship Id="rId126" Type="http://schemas.openxmlformats.org/officeDocument/2006/relationships/hyperlink" Target="https://journaliststudio.google.com/pinpoint-extract/preview?collection=524daaefa335d538&amp;job=a98fe27898c7f9dc&amp;docid=1244364dcff36f7f_524daaefa335d538&amp;schid=8001&amp;row=57&amp;page=43" TargetMode="External"/><Relationship Id="rId168" Type="http://schemas.openxmlformats.org/officeDocument/2006/relationships/hyperlink" Target="https://journaliststudio.google.com/pinpoint-extract/preview?collection=524daaefa335d538&amp;job=7dc4c4e6adb9e99a&amp;docid=1f0f8b47c49b27c2_524daaefa335d538&amp;schid=8001&amp;row=35&amp;page=39" TargetMode="External"/><Relationship Id="rId333" Type="http://schemas.openxmlformats.org/officeDocument/2006/relationships/hyperlink" Target="https://journaliststudio.google.com/pinpoint-extract/preview?collection=94f5d562231d4dd6&amp;job=73925388c8ca2ad8&amp;docid=bb843fadc6314b6e_94f5d562231d4dd6&amp;schid=8030&amp;row=27&amp;page=29" TargetMode="External"/><Relationship Id="rId540" Type="http://schemas.openxmlformats.org/officeDocument/2006/relationships/hyperlink" Target="https://journaliststudio.google.com/pinpoint-extract/preview?collection=b4db47ccc48595a5&amp;job=7e40ac8cfc4579aa&amp;docid=8884d0508c167a2_b4db47ccc48595a5&amp;schid=8001&amp;row=24&amp;page=31" TargetMode="External"/><Relationship Id="rId72" Type="http://schemas.openxmlformats.org/officeDocument/2006/relationships/hyperlink" Target="https://journaliststudio.google.com/pinpoint-extract/preview?collection=524daaefa335d538&amp;job=a98fe27898c7f9dc&amp;docid=1244364dcff36f7f_524daaefa335d538&amp;schid=8001&amp;row=3&amp;page=40" TargetMode="External"/><Relationship Id="rId375" Type="http://schemas.openxmlformats.org/officeDocument/2006/relationships/hyperlink" Target="https://journaliststudio.google.com/pinpoint-extract/preview?collection=59c534ba70c0b75b&amp;job=35432234b21c40f6&amp;docid=f9a22023735ef321_59c534ba70c0b75b&amp;schid=8030&amp;row=11&amp;page=27" TargetMode="External"/><Relationship Id="rId3" Type="http://schemas.openxmlformats.org/officeDocument/2006/relationships/hyperlink" Target="https://journaliststudio.google.com/pinpoint-extract/preview?collection=524daaefa335d538&amp;job=da2bc2801cc717c7&amp;docid=3a84e2afec62e521_524daaefa335d538&amp;schid=8001&amp;row=2&amp;page=45" TargetMode="External"/><Relationship Id="rId235" Type="http://schemas.openxmlformats.org/officeDocument/2006/relationships/hyperlink" Target="https://journaliststudio.google.com/pinpoint-extract/preview?collection=59c534ba70c0b75b&amp;job=4cd2f64341a72b0b&amp;docid=d5c6addb973fc20e_59c534ba70c0b75b&amp;schid=8001&amp;row=26&amp;page=39" TargetMode="External"/><Relationship Id="rId277" Type="http://schemas.openxmlformats.org/officeDocument/2006/relationships/hyperlink" Target="https://journaliststudio.google.com/pinpoint-extract/preview?collection=59c534ba70c0b75b&amp;job=4cd2f64341a72b0b&amp;docid=d5c6addb973fc20e_59c534ba70c0b75b&amp;schid=8001&amp;row=68&amp;page=40" TargetMode="External"/><Relationship Id="rId400" Type="http://schemas.openxmlformats.org/officeDocument/2006/relationships/hyperlink" Target="https://journaliststudio.google.com/pinpoint-extract/preview?collection=59c534ba70c0b75b&amp;job=4cd2f64341a72b0b&amp;docid=f9a22023735ef321_59c534ba70c0b75b&amp;schid=8001&amp;row=8&amp;page=29" TargetMode="External"/><Relationship Id="rId442" Type="http://schemas.openxmlformats.org/officeDocument/2006/relationships/hyperlink" Target="https://journaliststudio.google.com/pinpoint-extract/preview?collection=b4db47ccc48595a5&amp;job=7bbb0f67809b104e&amp;docid=252734efe751c385_b4db47ccc48595a5&amp;schid=8081&amp;row=11&amp;page=30" TargetMode="External"/><Relationship Id="rId484" Type="http://schemas.openxmlformats.org/officeDocument/2006/relationships/hyperlink" Target="https://journaliststudio.google.com/pinpoint-extract/preview?collection=b4db47ccc48595a5&amp;job=8ce95af7bbe3ae32&amp;docid=46e4f917ea989928_b4db47ccc48595a5&amp;schid=8033&amp;row=0&amp;page=43" TargetMode="External"/><Relationship Id="rId137" Type="http://schemas.openxmlformats.org/officeDocument/2006/relationships/hyperlink" Target="https://journaliststudio.google.com/pinpoint-extract/preview?collection=524daaefa335d538&amp;job=7dc4c4e6adb9e99a&amp;docid=1f0f8b47c49b27c2_524daaefa335d538&amp;schid=8001&amp;row=2&amp;page=38" TargetMode="External"/><Relationship Id="rId302" Type="http://schemas.openxmlformats.org/officeDocument/2006/relationships/hyperlink" Target="https://journaliststudio.google.com/pinpoint-extract/preview?collection=94f5d562231d4dd6&amp;job=ae935e256ae44e8c&amp;docid=bb843fadc6314b6e_94f5d562231d4dd6&amp;schid=8017&amp;row=19&amp;page=27" TargetMode="External"/><Relationship Id="rId344" Type="http://schemas.openxmlformats.org/officeDocument/2006/relationships/hyperlink" Target="https://journaliststudio.google.com/pinpoint-extract/preview?collection=94f5d562231d4dd6&amp;job=73925388c8ca2ad8&amp;docid=bb843fadc6314b6e_94f5d562231d4dd6&amp;schid=8030&amp;row=38&amp;page=29" TargetMode="External"/><Relationship Id="rId41" Type="http://schemas.openxmlformats.org/officeDocument/2006/relationships/hyperlink" Target="https://journaliststudio.google.com/pinpoint-extract/preview?collection=524daaefa335d538&amp;job=da2bc2801cc717c7&amp;docid=3a84e2afec62e521_524daaefa335d538&amp;schid=8001&amp;row=40&amp;page=48" TargetMode="External"/><Relationship Id="rId83" Type="http://schemas.openxmlformats.org/officeDocument/2006/relationships/hyperlink" Target="https://journaliststudio.google.com/pinpoint-extract/preview?collection=524daaefa335d538&amp;job=a98fe27898c7f9dc&amp;docid=1244364dcff36f7f_524daaefa335d538&amp;schid=8001&amp;row=14&amp;page=40" TargetMode="External"/><Relationship Id="rId179" Type="http://schemas.openxmlformats.org/officeDocument/2006/relationships/hyperlink" Target="https://journaliststudio.google.com/pinpoint-extract/preview?collection=524daaefa335d538&amp;job=7dc4c4e6adb9e99a&amp;docid=1f0f8b47c49b27c2_524daaefa335d538&amp;schid=8001&amp;row=46&amp;page=39" TargetMode="External"/><Relationship Id="rId386" Type="http://schemas.openxmlformats.org/officeDocument/2006/relationships/hyperlink" Target="https://journaliststudio.google.com/pinpoint-extract/preview?collection=59c534ba70c0b75b&amp;job=f96ade24dc66657&amp;docid=f9a22023735ef321_59c534ba70c0b75b&amp;schid=8044&amp;row=9&amp;page=28" TargetMode="External"/><Relationship Id="rId551" Type="http://schemas.openxmlformats.org/officeDocument/2006/relationships/hyperlink" Target="https://journaliststudio.google.com/pinpoint-extract/preview?collection=b4db47ccc48595a5&amp;job=7e40ac8cfc4579aa&amp;docid=8884d0508c167a2_b4db47ccc48595a5&amp;schid=8001&amp;row=35&amp;page=31" TargetMode="External"/><Relationship Id="rId190" Type="http://schemas.openxmlformats.org/officeDocument/2006/relationships/hyperlink" Target="https://journaliststudio.google.com/pinpoint-extract/preview?collection=524daaefa335d538&amp;job=7dc4c4e6adb9e99a&amp;docid=1f0f8b47c49b27c2_524daaefa335d538&amp;schid=8001&amp;row=59&amp;page=40" TargetMode="External"/><Relationship Id="rId204" Type="http://schemas.openxmlformats.org/officeDocument/2006/relationships/hyperlink" Target="https://journaliststudio.google.com/pinpoint-extract/preview?collection=524daaefa335d538&amp;job=7dc4c4e6adb9e99a&amp;docid=1f0f8b47c49b27c2_524daaefa335d538&amp;schid=8001&amp;row=73&amp;page=40" TargetMode="External"/><Relationship Id="rId246" Type="http://schemas.openxmlformats.org/officeDocument/2006/relationships/hyperlink" Target="https://journaliststudio.google.com/pinpoint-extract/preview?collection=59c534ba70c0b75b&amp;job=4cd2f64341a72b0b&amp;docid=d5c6addb973fc20e_59c534ba70c0b75b&amp;schid=8001&amp;row=37&amp;page=39" TargetMode="External"/><Relationship Id="rId288" Type="http://schemas.openxmlformats.org/officeDocument/2006/relationships/hyperlink" Target="https://journaliststudio.google.com/pinpoint-extract/preview?collection=94f5d562231d4dd6&amp;job=ae935e256ae44e8c&amp;docid=bb843fadc6314b6e_94f5d562231d4dd6&amp;schid=8017&amp;row=5&amp;page=27" TargetMode="External"/><Relationship Id="rId411" Type="http://schemas.openxmlformats.org/officeDocument/2006/relationships/hyperlink" Target="https://journaliststudio.google.com/pinpoint-extract/preview?collection=59c534ba70c0b75b&amp;job=4cd2f64341a72b0b&amp;docid=f9a22023735ef321_59c534ba70c0b75b&amp;schid=8001&amp;row=19&amp;page=30" TargetMode="External"/><Relationship Id="rId453" Type="http://schemas.openxmlformats.org/officeDocument/2006/relationships/hyperlink" Target="https://journaliststudio.google.com/pinpoint-extract/preview?collection=b4db47ccc48595a5&amp;job=97fb37ff89f504eb&amp;docid=252734efe751c385_b4db47ccc48595a5&amp;schid=8093&amp;row=4&amp;page=31" TargetMode="External"/><Relationship Id="rId509" Type="http://schemas.openxmlformats.org/officeDocument/2006/relationships/hyperlink" Target="https://journaliststudio.google.com/pinpoint-extract/preview?collection=b4db47ccc48595a5&amp;job=b966e2a83e48c6be&amp;docid=46e4f917ea989928_b4db47ccc48595a5&amp;schid=8001&amp;row=7&amp;page=44" TargetMode="External"/><Relationship Id="rId106" Type="http://schemas.openxmlformats.org/officeDocument/2006/relationships/hyperlink" Target="https://journaliststudio.google.com/pinpoint-extract/preview?collection=524daaefa335d538&amp;job=a98fe27898c7f9dc&amp;docid=1244364dcff36f7f_524daaefa335d538&amp;schid=8001&amp;row=37&amp;page=41" TargetMode="External"/><Relationship Id="rId313" Type="http://schemas.openxmlformats.org/officeDocument/2006/relationships/hyperlink" Target="https://journaliststudio.google.com/pinpoint-extract/preview?collection=94f5d562231d4dd6&amp;job=73925388c8ca2ad8&amp;docid=bb843fadc6314b6e_94f5d562231d4dd6&amp;schid=8030&amp;row=7&amp;page=28" TargetMode="External"/><Relationship Id="rId495" Type="http://schemas.openxmlformats.org/officeDocument/2006/relationships/hyperlink" Target="https://journaliststudio.google.com/pinpoint-extract/preview?collection=b4db47ccc48595a5&amp;job=8ce95af7bbe3ae32&amp;docid=46e4f917ea989928_b4db47ccc48595a5&amp;schid=8033&amp;row=11&amp;page=43" TargetMode="External"/><Relationship Id="rId10" Type="http://schemas.openxmlformats.org/officeDocument/2006/relationships/hyperlink" Target="https://journaliststudio.google.com/pinpoint-extract/preview?collection=524daaefa335d538&amp;job=da2bc2801cc717c7&amp;docid=3a84e2afec62e521_524daaefa335d538&amp;schid=8001&amp;row=9&amp;page=45" TargetMode="External"/><Relationship Id="rId52" Type="http://schemas.openxmlformats.org/officeDocument/2006/relationships/hyperlink" Target="https://journaliststudio.google.com/pinpoint-extract/preview?collection=524daaefa335d538&amp;job=da2bc2801cc717c7&amp;docid=3a84e2afec62e521_524daaefa335d538&amp;schid=8001&amp;row=51&amp;page=48" TargetMode="External"/><Relationship Id="rId94" Type="http://schemas.openxmlformats.org/officeDocument/2006/relationships/hyperlink" Target="https://journaliststudio.google.com/pinpoint-extract/preview?collection=524daaefa335d538&amp;job=a98fe27898c7f9dc&amp;docid=1244364dcff36f7f_524daaefa335d538&amp;schid=8001&amp;row=25&amp;page=41" TargetMode="External"/><Relationship Id="rId148" Type="http://schemas.openxmlformats.org/officeDocument/2006/relationships/hyperlink" Target="https://journaliststudio.google.com/pinpoint-extract/preview?collection=524daaefa335d538&amp;job=7dc4c4e6adb9e99a&amp;docid=1f0f8b47c49b27c2_524daaefa335d538&amp;schid=8001&amp;row=13&amp;page=38" TargetMode="External"/><Relationship Id="rId355" Type="http://schemas.openxmlformats.org/officeDocument/2006/relationships/hyperlink" Target="https://journaliststudio.google.com/pinpoint-extract/preview?collection=59c534ba70c0b75b&amp;job=7d986fe353a45a34&amp;docid=f9a22023735ef321_59c534ba70c0b75b&amp;schid=8016&amp;row=6&amp;page=26" TargetMode="External"/><Relationship Id="rId397" Type="http://schemas.openxmlformats.org/officeDocument/2006/relationships/hyperlink" Target="https://journaliststudio.google.com/pinpoint-extract/preview?collection=59c534ba70c0b75b&amp;job=4cd2f64341a72b0b&amp;docid=f9a22023735ef321_59c534ba70c0b75b&amp;schid=8001&amp;row=5&amp;page=29" TargetMode="External"/><Relationship Id="rId520" Type="http://schemas.openxmlformats.org/officeDocument/2006/relationships/hyperlink" Target="https://journaliststudio.google.com/pinpoint-extract/preview?collection=b4db47ccc48595a5&amp;job=7e40ac8cfc4579aa&amp;docid=8884d0508c167a2_b4db47ccc48595a5&amp;schid=8001&amp;row=4&amp;page=30" TargetMode="External"/><Relationship Id="rId215" Type="http://schemas.openxmlformats.org/officeDocument/2006/relationships/hyperlink" Target="https://journaliststudio.google.com/pinpoint-extract/preview?collection=59c534ba70c0b75b&amp;job=4cd2f64341a72b0b&amp;docid=d5c6addb973fc20e_59c534ba70c0b75b&amp;schid=8001&amp;row=6&amp;page=38" TargetMode="External"/><Relationship Id="rId257" Type="http://schemas.openxmlformats.org/officeDocument/2006/relationships/hyperlink" Target="https://journaliststudio.google.com/pinpoint-extract/preview?collection=59c534ba70c0b75b&amp;job=4cd2f64341a72b0b&amp;docid=d5c6addb973fc20e_59c534ba70c0b75b&amp;schid=8001&amp;row=48&amp;page=40" TargetMode="External"/><Relationship Id="rId422" Type="http://schemas.openxmlformats.org/officeDocument/2006/relationships/hyperlink" Target="https://journaliststudio.google.com/pinpoint-extract/preview?collection=b4db47ccc48595a5&amp;job=1feec7ab74957524&amp;docid=252734efe751c385_b4db47ccc48595a5&amp;schid=8042&amp;row=8&amp;page=29" TargetMode="External"/><Relationship Id="rId464" Type="http://schemas.openxmlformats.org/officeDocument/2006/relationships/hyperlink" Target="https://journaliststudio.google.com/pinpoint-extract/preview?collection=b4db47ccc48595a5&amp;job=97fb37ff89f504eb&amp;docid=252734efe751c385_b4db47ccc48595a5&amp;schid=8093&amp;row=15&amp;page=31" TargetMode="External"/><Relationship Id="rId299" Type="http://schemas.openxmlformats.org/officeDocument/2006/relationships/hyperlink" Target="https://journaliststudio.google.com/pinpoint-extract/preview?collection=94f5d562231d4dd6&amp;job=ae935e256ae44e8c&amp;docid=bb843fadc6314b6e_94f5d562231d4dd6&amp;schid=8017&amp;row=16&amp;page=27" TargetMode="External"/><Relationship Id="rId63" Type="http://schemas.openxmlformats.org/officeDocument/2006/relationships/hyperlink" Target="https://journaliststudio.google.com/pinpoint-extract/preview?collection=524daaefa335d538&amp;job=da2bc2801cc717c7&amp;docid=3a84e2afec62e521_524daaefa335d538&amp;schid=8001&amp;row=62&amp;page=49" TargetMode="External"/><Relationship Id="rId159" Type="http://schemas.openxmlformats.org/officeDocument/2006/relationships/hyperlink" Target="https://journaliststudio.google.com/pinpoint-extract/preview?collection=524daaefa335d538&amp;job=7dc4c4e6adb9e99a&amp;docid=1f0f8b47c49b27c2_524daaefa335d538&amp;schid=8001&amp;row=24&amp;page=38" TargetMode="External"/><Relationship Id="rId366" Type="http://schemas.openxmlformats.org/officeDocument/2006/relationships/hyperlink" Target="https://journaliststudio.google.com/pinpoint-extract/preview?collection=59c534ba70c0b75b&amp;job=35432234b21c40f6&amp;docid=f9a22023735ef321_59c534ba70c0b75b&amp;schid=8030&amp;row=2&amp;page=27" TargetMode="External"/><Relationship Id="rId226" Type="http://schemas.openxmlformats.org/officeDocument/2006/relationships/hyperlink" Target="https://journaliststudio.google.com/pinpoint-extract/preview?collection=59c534ba70c0b75b&amp;job=4cd2f64341a72b0b&amp;docid=d5c6addb973fc20e_59c534ba70c0b75b&amp;schid=8001&amp;row=17&amp;page=38" TargetMode="External"/><Relationship Id="rId433" Type="http://schemas.openxmlformats.org/officeDocument/2006/relationships/hyperlink" Target="https://journaliststudio.google.com/pinpoint-extract/preview?collection=b4db47ccc48595a5&amp;job=7bbb0f67809b104e&amp;docid=252734efe751c385_b4db47ccc48595a5&amp;schid=8081&amp;row=2&amp;page=30" TargetMode="External"/><Relationship Id="rId74" Type="http://schemas.openxmlformats.org/officeDocument/2006/relationships/hyperlink" Target="https://journaliststudio.google.com/pinpoint-extract/preview?collection=524daaefa335d538&amp;job=a98fe27898c7f9dc&amp;docid=1244364dcff36f7f_524daaefa335d538&amp;schid=8001&amp;row=5&amp;page=40" TargetMode="External"/><Relationship Id="rId377" Type="http://schemas.openxmlformats.org/officeDocument/2006/relationships/hyperlink" Target="https://journaliststudio.google.com/pinpoint-extract/preview?collection=59c534ba70c0b75b&amp;job=f96ade24dc66657&amp;docid=f9a22023735ef321_59c534ba70c0b75b&amp;schid=8044&amp;row=0&amp;page=28" TargetMode="External"/><Relationship Id="rId500" Type="http://schemas.openxmlformats.org/officeDocument/2006/relationships/hyperlink" Target="https://journaliststudio.google.com/pinpoint-extract/preview?collection=b4db47ccc48595a5&amp;job=8ce95af7bbe3ae32&amp;docid=46e4f917ea989928_b4db47ccc48595a5&amp;schid=8033&amp;row=16&amp;page=43" TargetMode="External"/><Relationship Id="rId5" Type="http://schemas.openxmlformats.org/officeDocument/2006/relationships/hyperlink" Target="https://journaliststudio.google.com/pinpoint-extract/preview?collection=524daaefa335d538&amp;job=da2bc2801cc717c7&amp;docid=3a84e2afec62e521_524daaefa335d538&amp;schid=8001&amp;row=4&amp;page=45" TargetMode="External"/><Relationship Id="rId237" Type="http://schemas.openxmlformats.org/officeDocument/2006/relationships/hyperlink" Target="https://journaliststudio.google.com/pinpoint-extract/preview?collection=59c534ba70c0b75b&amp;job=4cd2f64341a72b0b&amp;docid=d5c6addb973fc20e_59c534ba70c0b75b&amp;schid=8001&amp;row=28&amp;page=39" TargetMode="External"/><Relationship Id="rId444" Type="http://schemas.openxmlformats.org/officeDocument/2006/relationships/hyperlink" Target="https://journaliststudio.google.com/pinpoint-extract/preview?collection=b4db47ccc48595a5&amp;job=7bbb0f67809b104e&amp;docid=252734efe751c385_b4db47ccc48595a5&amp;schid=8081&amp;row=13&amp;page=30" TargetMode="External"/><Relationship Id="rId290" Type="http://schemas.openxmlformats.org/officeDocument/2006/relationships/hyperlink" Target="https://journaliststudio.google.com/pinpoint-extract/preview?collection=94f5d562231d4dd6&amp;job=ae935e256ae44e8c&amp;docid=bb843fadc6314b6e_94f5d562231d4dd6&amp;schid=8017&amp;row=7&amp;page=27" TargetMode="External"/><Relationship Id="rId304" Type="http://schemas.openxmlformats.org/officeDocument/2006/relationships/hyperlink" Target="https://journaliststudio.google.com/pinpoint-extract/preview?collection=94f5d562231d4dd6&amp;job=ae935e256ae44e8c&amp;docid=bb843fadc6314b6e_94f5d562231d4dd6&amp;schid=8017&amp;row=21&amp;page=27" TargetMode="External"/><Relationship Id="rId388" Type="http://schemas.openxmlformats.org/officeDocument/2006/relationships/hyperlink" Target="https://journaliststudio.google.com/pinpoint-extract/preview?collection=59c534ba70c0b75b&amp;job=f96ade24dc66657&amp;docid=f9a22023735ef321_59c534ba70c0b75b&amp;schid=8044&amp;row=11&amp;page=28" TargetMode="External"/><Relationship Id="rId511" Type="http://schemas.openxmlformats.org/officeDocument/2006/relationships/hyperlink" Target="https://journaliststudio.google.com/pinpoint-extract/preview?collection=b4db47ccc48595a5&amp;job=b966e2a83e48c6be&amp;docid=46e4f917ea989928_b4db47ccc48595a5&amp;schid=8001&amp;row=9&amp;page=44" TargetMode="External"/><Relationship Id="rId85" Type="http://schemas.openxmlformats.org/officeDocument/2006/relationships/hyperlink" Target="https://journaliststudio.google.com/pinpoint-extract/preview?collection=524daaefa335d538&amp;job=a98fe27898c7f9dc&amp;docid=1244364dcff36f7f_524daaefa335d538&amp;schid=8001&amp;row=16&amp;page=40" TargetMode="External"/><Relationship Id="rId150" Type="http://schemas.openxmlformats.org/officeDocument/2006/relationships/hyperlink" Target="https://journaliststudio.google.com/pinpoint-extract/preview?collection=524daaefa335d538&amp;job=7dc4c4e6adb9e99a&amp;docid=1f0f8b47c49b27c2_524daaefa335d538&amp;schid=8001&amp;row=15&amp;page=38" TargetMode="External"/><Relationship Id="rId248" Type="http://schemas.openxmlformats.org/officeDocument/2006/relationships/hyperlink" Target="https://journaliststudio.google.com/pinpoint-extract/preview?collection=59c534ba70c0b75b&amp;job=4cd2f64341a72b0b&amp;docid=d5c6addb973fc20e_59c534ba70c0b75b&amp;schid=8001&amp;row=39&amp;page=39" TargetMode="External"/><Relationship Id="rId455" Type="http://schemas.openxmlformats.org/officeDocument/2006/relationships/hyperlink" Target="https://journaliststudio.google.com/pinpoint-extract/preview?collection=b4db47ccc48595a5&amp;job=97fb37ff89f504eb&amp;docid=252734efe751c385_b4db47ccc48595a5&amp;schid=8093&amp;row=6&amp;page=31" TargetMode="External"/><Relationship Id="rId12" Type="http://schemas.openxmlformats.org/officeDocument/2006/relationships/hyperlink" Target="https://journaliststudio.google.com/pinpoint-extract/preview?collection=524daaefa335d538&amp;job=da2bc2801cc717c7&amp;docid=3a84e2afec62e521_524daaefa335d538&amp;schid=8001&amp;row=11&amp;page=45" TargetMode="External"/><Relationship Id="rId108" Type="http://schemas.openxmlformats.org/officeDocument/2006/relationships/hyperlink" Target="https://journaliststudio.google.com/pinpoint-extract/preview?collection=524daaefa335d538&amp;job=a98fe27898c7f9dc&amp;docid=1244364dcff36f7f_524daaefa335d538&amp;schid=8001&amp;row=39&amp;page=42" TargetMode="External"/><Relationship Id="rId315" Type="http://schemas.openxmlformats.org/officeDocument/2006/relationships/hyperlink" Target="https://journaliststudio.google.com/pinpoint-extract/preview?collection=94f5d562231d4dd6&amp;job=73925388c8ca2ad8&amp;docid=bb843fadc6314b6e_94f5d562231d4dd6&amp;schid=8030&amp;row=9&amp;page=28" TargetMode="External"/><Relationship Id="rId522" Type="http://schemas.openxmlformats.org/officeDocument/2006/relationships/hyperlink" Target="https://journaliststudio.google.com/pinpoint-extract/preview?collection=b4db47ccc48595a5&amp;job=7e40ac8cfc4579aa&amp;docid=8884d0508c167a2_b4db47ccc48595a5&amp;schid=8001&amp;row=6&amp;page=30" TargetMode="External"/><Relationship Id="rId96" Type="http://schemas.openxmlformats.org/officeDocument/2006/relationships/hyperlink" Target="https://journaliststudio.google.com/pinpoint-extract/preview?collection=524daaefa335d538&amp;job=a98fe27898c7f9dc&amp;docid=1244364dcff36f7f_524daaefa335d538&amp;schid=8001&amp;row=27&amp;page=41" TargetMode="External"/><Relationship Id="rId161" Type="http://schemas.openxmlformats.org/officeDocument/2006/relationships/hyperlink" Target="https://journaliststudio.google.com/pinpoint-extract/preview?collection=524daaefa335d538&amp;job=7dc4c4e6adb9e99a&amp;docid=1f0f8b47c49b27c2_524daaefa335d538&amp;schid=8001&amp;row=28&amp;page=39" TargetMode="External"/><Relationship Id="rId399" Type="http://schemas.openxmlformats.org/officeDocument/2006/relationships/hyperlink" Target="https://journaliststudio.google.com/pinpoint-extract/preview?collection=59c534ba70c0b75b&amp;job=4cd2f64341a72b0b&amp;docid=f9a22023735ef321_59c534ba70c0b75b&amp;schid=8001&amp;row=7&amp;page=2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journaliststudio.google.com/pinpoint-extract/preview?collection=524daaefa335d538&amp;job=2b468061a0dc41f8&amp;docid=1f0f8b47c49b27c2_524daaefa335d538&amp;schid=8001&amp;row=10&amp;page=91" TargetMode="External"/><Relationship Id="rId299" Type="http://schemas.openxmlformats.org/officeDocument/2006/relationships/hyperlink" Target="https://journaliststudio.google.com/pinpoint-extract/preview?collection=59c534ba70c0b75b&amp;job=fe598a2fe5f62708&amp;docid=f9a22023735ef321_59c534ba70c0b75b&amp;schid=8017&amp;row=22&amp;page=80" TargetMode="External"/><Relationship Id="rId21" Type="http://schemas.openxmlformats.org/officeDocument/2006/relationships/hyperlink" Target="https://journaliststudio.google.com/pinpoint-extract/preview?collection=524daaefa335d538&amp;job=82bec05f3301547e&amp;docid=3a84e2afec62e521_524daaefa335d538&amp;schid=8001&amp;row=20&amp;page=107" TargetMode="External"/><Relationship Id="rId63" Type="http://schemas.openxmlformats.org/officeDocument/2006/relationships/hyperlink" Target="https://journaliststudio.google.com/pinpoint-extract/preview?collection=524daaefa335d538&amp;job=9e83ccfd51856513&amp;docid=1244364dcff36f7f_524daaefa335d538&amp;schid=8001&amp;row=9&amp;page=96" TargetMode="External"/><Relationship Id="rId159" Type="http://schemas.openxmlformats.org/officeDocument/2006/relationships/hyperlink" Target="https://journaliststudio.google.com/pinpoint-extract/preview?collection=524daaefa335d538&amp;job=fb089ee82906230c&amp;docid=1f0f8b47c49b27c2_524daaefa335d538&amp;schid=8015&amp;row=0&amp;page=93" TargetMode="External"/><Relationship Id="rId324" Type="http://schemas.openxmlformats.org/officeDocument/2006/relationships/hyperlink" Target="https://journaliststudio.google.com/pinpoint-extract/preview?collection=59c534ba70c0b75b&amp;job=d9e8db0be651c98d&amp;docid=f9a22023735ef321_59c534ba70c0b75b&amp;schid=8033&amp;row=7&amp;page=82" TargetMode="External"/><Relationship Id="rId366" Type="http://schemas.openxmlformats.org/officeDocument/2006/relationships/hyperlink" Target="https://journaliststudio.google.com/pinpoint-extract/preview?collection=b4db47ccc48595a5&amp;job=6534cb6435b3b5b3&amp;docid=252734efe751c385_b4db47ccc48595a5&amp;schid=8025&amp;row=9&amp;page=82" TargetMode="External"/><Relationship Id="rId170" Type="http://schemas.openxmlformats.org/officeDocument/2006/relationships/hyperlink" Target="https://journaliststudio.google.com/pinpoint-extract/preview?collection=59c534ba70c0b75b&amp;job=4c523ebcf60a55b&amp;docid=d5c6addb973fc20e_59c534ba70c0b75b&amp;schid=8001&amp;row=5&amp;page=87" TargetMode="External"/><Relationship Id="rId226" Type="http://schemas.openxmlformats.org/officeDocument/2006/relationships/hyperlink" Target="https://journaliststudio.google.com/pinpoint-extract/preview?collection=94f5d562231d4dd6&amp;job=fff7789bceade090&amp;docid=bb843fadc6314b6e_94f5d562231d4dd6&amp;schid=8001&amp;row=3&amp;page=78" TargetMode="External"/><Relationship Id="rId433" Type="http://schemas.openxmlformats.org/officeDocument/2006/relationships/hyperlink" Target="https://journaliststudio.google.com/pinpoint-extract/preview?collection=b4db47ccc48595a5&amp;job=18497e5e1665fd83&amp;docid=8884d0508c167a2_b4db47ccc48595a5&amp;schid=8001&amp;row=13&amp;page=63" TargetMode="External"/><Relationship Id="rId268" Type="http://schemas.openxmlformats.org/officeDocument/2006/relationships/hyperlink" Target="https://journaliststudio.google.com/pinpoint-extract/preview?collection=94f5d562231d4dd6&amp;job=2903464ad73dbe5e&amp;docid=bb843fadc6314b6e_94f5d562231d4dd6&amp;schid=8009&amp;row=23&amp;page=80" TargetMode="External"/><Relationship Id="rId32" Type="http://schemas.openxmlformats.org/officeDocument/2006/relationships/hyperlink" Target="https://journaliststudio.google.com/pinpoint-extract/preview?collection=524daaefa335d538&amp;job=7c9ee60b62a58c50&amp;docid=3a84e2afec62e521_524daaefa335d538&amp;schid=8009&amp;row=9&amp;page=108" TargetMode="External"/><Relationship Id="rId74" Type="http://schemas.openxmlformats.org/officeDocument/2006/relationships/hyperlink" Target="https://journaliststudio.google.com/pinpoint-extract/preview?collection=524daaefa335d538&amp;job=9e83ccfd51856513&amp;docid=1244364dcff36f7f_524daaefa335d538&amp;schid=8001&amp;row=20&amp;page=96" TargetMode="External"/><Relationship Id="rId128" Type="http://schemas.openxmlformats.org/officeDocument/2006/relationships/hyperlink" Target="https://journaliststudio.google.com/pinpoint-extract/preview?collection=524daaefa335d538&amp;job=2b468061a0dc41f8&amp;docid=1f0f8b47c49b27c2_524daaefa335d538&amp;schid=8001&amp;row=21&amp;page=91" TargetMode="External"/><Relationship Id="rId335" Type="http://schemas.openxmlformats.org/officeDocument/2006/relationships/hyperlink" Target="https://journaliststudio.google.com/pinpoint-extract/preview?collection=b4db47ccc48595a5&amp;job=7a46166c988abe25&amp;docid=252734efe751c385_b4db47ccc48595a5&amp;schid=8019&amp;row=9&amp;page=80" TargetMode="External"/><Relationship Id="rId377" Type="http://schemas.openxmlformats.org/officeDocument/2006/relationships/hyperlink" Target="https://journaliststudio.google.com/pinpoint-extract/preview?collection=b4db47ccc48595a5&amp;job=895e8f817fd773a3&amp;docid=46e4f917ea989928_b4db47ccc48595a5&amp;schid=8001&amp;row=8&amp;page=90" TargetMode="External"/><Relationship Id="rId5" Type="http://schemas.openxmlformats.org/officeDocument/2006/relationships/hyperlink" Target="https://journaliststudio.google.com/pinpoint-extract/preview?collection=524daaefa335d538&amp;job=82bec05f3301547e&amp;docid=3a84e2afec62e521_524daaefa335d538&amp;schid=8001&amp;row=4&amp;page=107" TargetMode="External"/><Relationship Id="rId181" Type="http://schemas.openxmlformats.org/officeDocument/2006/relationships/hyperlink" Target="https://journaliststudio.google.com/pinpoint-extract/preview?collection=59c534ba70c0b75b&amp;job=4c523ebcf60a55b&amp;docid=d5c6addb973fc20e_59c534ba70c0b75b&amp;schid=8001&amp;row=16&amp;page=87" TargetMode="External"/><Relationship Id="rId237" Type="http://schemas.openxmlformats.org/officeDocument/2006/relationships/hyperlink" Target="https://journaliststudio.google.com/pinpoint-extract/preview?collection=94f5d562231d4dd6&amp;job=fff7789bceade090&amp;docid=bb843fadc6314b6e_94f5d562231d4dd6&amp;schid=8001&amp;row=14&amp;page=78" TargetMode="External"/><Relationship Id="rId402" Type="http://schemas.openxmlformats.org/officeDocument/2006/relationships/hyperlink" Target="https://journaliststudio.google.com/pinpoint-extract/preview?collection=b4db47ccc48595a5&amp;job=895e8f817fd773a3&amp;docid=46e4f917ea989928_b4db47ccc48595a5&amp;schid=8001&amp;row=35&amp;page=91" TargetMode="External"/><Relationship Id="rId279" Type="http://schemas.openxmlformats.org/officeDocument/2006/relationships/hyperlink" Target="https://journaliststudio.google.com/pinpoint-extract/preview?collection=59c534ba70c0b75b&amp;job=a5341a044fbdd001&amp;docid=f9a22023735ef321_59c534ba70c0b75b&amp;schid=8001&amp;row=2&amp;page=79" TargetMode="External"/><Relationship Id="rId444" Type="http://schemas.openxmlformats.org/officeDocument/2006/relationships/hyperlink" Target="https://journaliststudio.google.com/pinpoint-extract/preview?collection=b4db47ccc48595a5&amp;job=18497e5e1665fd83&amp;docid=8884d0508c167a2_b4db47ccc48595a5&amp;schid=8001&amp;row=24&amp;page=63" TargetMode="External"/><Relationship Id="rId43" Type="http://schemas.openxmlformats.org/officeDocument/2006/relationships/hyperlink" Target="https://journaliststudio.google.com/pinpoint-extract/preview?collection=524daaefa335d538&amp;job=7c9ee60b62a58c50&amp;docid=3a84e2afec62e521_524daaefa335d538&amp;schid=8009&amp;row=20&amp;page=108" TargetMode="External"/><Relationship Id="rId139" Type="http://schemas.openxmlformats.org/officeDocument/2006/relationships/hyperlink" Target="https://journaliststudio.google.com/pinpoint-extract/preview?collection=524daaefa335d538&amp;job=5f636d3e738a0ef3&amp;docid=1f0f8b47c49b27c2_524daaefa335d538&amp;schid=8009&amp;row=7&amp;page=92" TargetMode="External"/><Relationship Id="rId290" Type="http://schemas.openxmlformats.org/officeDocument/2006/relationships/hyperlink" Target="https://journaliststudio.google.com/pinpoint-extract/preview?collection=59c534ba70c0b75b&amp;job=a5341a044fbdd001&amp;docid=f9a22023735ef321_59c534ba70c0b75b&amp;schid=8001&amp;row=13&amp;page=79" TargetMode="External"/><Relationship Id="rId304" Type="http://schemas.openxmlformats.org/officeDocument/2006/relationships/hyperlink" Target="https://journaliststudio.google.com/pinpoint-extract/preview?collection=59c534ba70c0b75b&amp;job=d1722aff98bd1426&amp;docid=f9a22023735ef321_59c534ba70c0b75b&amp;schid=8025&amp;row=1&amp;page=81" TargetMode="External"/><Relationship Id="rId346" Type="http://schemas.openxmlformats.org/officeDocument/2006/relationships/hyperlink" Target="https://journaliststudio.google.com/pinpoint-extract/preview?collection=b4db47ccc48595a5&amp;job=7a46166c988abe25&amp;docid=252734efe751c385_b4db47ccc48595a5&amp;schid=8019&amp;row=22&amp;page=81" TargetMode="External"/><Relationship Id="rId388" Type="http://schemas.openxmlformats.org/officeDocument/2006/relationships/hyperlink" Target="https://journaliststudio.google.com/pinpoint-extract/preview?collection=b4db47ccc48595a5&amp;job=895e8f817fd773a3&amp;docid=46e4f917ea989928_b4db47ccc48595a5&amp;schid=8001&amp;row=21&amp;page=91" TargetMode="External"/><Relationship Id="rId85" Type="http://schemas.openxmlformats.org/officeDocument/2006/relationships/hyperlink" Target="https://journaliststudio.google.com/pinpoint-extract/preview?collection=524daaefa335d538&amp;job=aff84f4d7f79b4bb&amp;docid=1244364dcff36f7f_524daaefa335d538&amp;schid=8009&amp;row=10&amp;page=97" TargetMode="External"/><Relationship Id="rId150" Type="http://schemas.openxmlformats.org/officeDocument/2006/relationships/hyperlink" Target="https://journaliststudio.google.com/pinpoint-extract/preview?collection=524daaefa335d538&amp;job=5f636d3e738a0ef3&amp;docid=1f0f8b47c49b27c2_524daaefa335d538&amp;schid=8009&amp;row=18&amp;page=92" TargetMode="External"/><Relationship Id="rId192" Type="http://schemas.openxmlformats.org/officeDocument/2006/relationships/hyperlink" Target="https://journaliststudio.google.com/pinpoint-extract/preview?collection=59c534ba70c0b75b&amp;job=c02b390973229d85&amp;docid=d5c6addb973fc20e_59c534ba70c0b75b&amp;schid=8011&amp;row=5&amp;page=88" TargetMode="External"/><Relationship Id="rId206" Type="http://schemas.openxmlformats.org/officeDocument/2006/relationships/hyperlink" Target="https://journaliststudio.google.com/pinpoint-extract/preview?collection=59c534ba70c0b75b&amp;job=c02b390973229d85&amp;docid=d5c6addb973fc20e_59c534ba70c0b75b&amp;schid=8011&amp;row=19&amp;page=88" TargetMode="External"/><Relationship Id="rId413" Type="http://schemas.openxmlformats.org/officeDocument/2006/relationships/hyperlink" Target="https://journaliststudio.google.com/pinpoint-extract/preview?collection=b4db47ccc48595a5&amp;job=5df64667a0f8c9c&amp;docid=46e4f917ea989928_b4db47ccc48595a5&amp;schid=8014&amp;row=9&amp;page=92" TargetMode="External"/><Relationship Id="rId248" Type="http://schemas.openxmlformats.org/officeDocument/2006/relationships/hyperlink" Target="https://journaliststudio.google.com/pinpoint-extract/preview?collection=94f5d562231d4dd6&amp;job=2903464ad73dbe5e&amp;docid=bb843fadc6314b6e_94f5d562231d4dd6&amp;schid=8009&amp;row=3&amp;page=79" TargetMode="External"/><Relationship Id="rId12" Type="http://schemas.openxmlformats.org/officeDocument/2006/relationships/hyperlink" Target="https://journaliststudio.google.com/pinpoint-extract/preview?collection=524daaefa335d538&amp;job=82bec05f3301547e&amp;docid=3a84e2afec62e521_524daaefa335d538&amp;schid=8001&amp;row=11&amp;page=107" TargetMode="External"/><Relationship Id="rId108" Type="http://schemas.openxmlformats.org/officeDocument/2006/relationships/hyperlink" Target="https://journaliststudio.google.com/pinpoint-extract/preview?collection=524daaefa335d538&amp;job=2b468061a0dc41f8&amp;docid=1f0f8b47c49b27c2_524daaefa335d538&amp;schid=8001&amp;row=1&amp;page=91" TargetMode="External"/><Relationship Id="rId315" Type="http://schemas.openxmlformats.org/officeDocument/2006/relationships/hyperlink" Target="https://journaliststudio.google.com/pinpoint-extract/preview?collection=59c534ba70c0b75b&amp;job=d1722aff98bd1426&amp;docid=f9a22023735ef321_59c534ba70c0b75b&amp;schid=8025&amp;row=12&amp;page=81" TargetMode="External"/><Relationship Id="rId357" Type="http://schemas.openxmlformats.org/officeDocument/2006/relationships/hyperlink" Target="https://journaliststudio.google.com/pinpoint-extract/preview?collection=b4db47ccc48595a5&amp;job=7a46166c988abe25&amp;docid=252734efe751c385_b4db47ccc48595a5&amp;schid=8019&amp;row=35&amp;page=82" TargetMode="External"/><Relationship Id="rId54" Type="http://schemas.openxmlformats.org/officeDocument/2006/relationships/hyperlink" Target="https://journaliststudio.google.com/pinpoint-extract/preview?collection=524daaefa335d538&amp;job=9e83ccfd51856513&amp;docid=1244364dcff36f7f_524daaefa335d538&amp;schid=8001&amp;row=0&amp;page=96" TargetMode="External"/><Relationship Id="rId96" Type="http://schemas.openxmlformats.org/officeDocument/2006/relationships/hyperlink" Target="https://journaliststudio.google.com/pinpoint-extract/preview?collection=524daaefa335d538&amp;job=7045c3f8d2ceccc6&amp;docid=1244364dcff36f7f_524daaefa335d538&amp;schid=8017&amp;row=3&amp;page=98" TargetMode="External"/><Relationship Id="rId161" Type="http://schemas.openxmlformats.org/officeDocument/2006/relationships/hyperlink" Target="https://journaliststudio.google.com/pinpoint-extract/preview?collection=524daaefa335d538&amp;job=fb089ee82906230c&amp;docid=1f0f8b47c49b27c2_524daaefa335d538&amp;schid=8015&amp;row=2&amp;page=93" TargetMode="External"/><Relationship Id="rId217" Type="http://schemas.openxmlformats.org/officeDocument/2006/relationships/hyperlink" Target="https://journaliststudio.google.com/pinpoint-extract/preview?collection=59c534ba70c0b75b&amp;job=cc936df0b964dd7e&amp;docid=d5c6addb973fc20e_59c534ba70c0b75b&amp;schid=8020&amp;row=6&amp;page=89" TargetMode="External"/><Relationship Id="rId399" Type="http://schemas.openxmlformats.org/officeDocument/2006/relationships/hyperlink" Target="https://journaliststudio.google.com/pinpoint-extract/preview?collection=b4db47ccc48595a5&amp;job=895e8f817fd773a3&amp;docid=46e4f917ea989928_b4db47ccc48595a5&amp;schid=8001&amp;row=32&amp;page=91" TargetMode="External"/><Relationship Id="rId259" Type="http://schemas.openxmlformats.org/officeDocument/2006/relationships/hyperlink" Target="https://journaliststudio.google.com/pinpoint-extract/preview?collection=94f5d562231d4dd6&amp;job=2903464ad73dbe5e&amp;docid=bb843fadc6314b6e_94f5d562231d4dd6&amp;schid=8009&amp;row=14&amp;page=79" TargetMode="External"/><Relationship Id="rId424" Type="http://schemas.openxmlformats.org/officeDocument/2006/relationships/hyperlink" Target="https://journaliststudio.google.com/pinpoint-extract/preview?collection=b4db47ccc48595a5&amp;job=18497e5e1665fd83&amp;docid=8884d0508c167a2_b4db47ccc48595a5&amp;schid=8001&amp;row=4&amp;page=62" TargetMode="External"/><Relationship Id="rId23" Type="http://schemas.openxmlformats.org/officeDocument/2006/relationships/hyperlink" Target="https://journaliststudio.google.com/pinpoint-extract/preview?collection=524daaefa335d538&amp;job=7c9ee60b62a58c50&amp;docid=3a84e2afec62e521_524daaefa335d538&amp;schid=8009&amp;row=0&amp;page=108" TargetMode="External"/><Relationship Id="rId119" Type="http://schemas.openxmlformats.org/officeDocument/2006/relationships/hyperlink" Target="https://journaliststudio.google.com/pinpoint-extract/preview?collection=524daaefa335d538&amp;job=2b468061a0dc41f8&amp;docid=1f0f8b47c49b27c2_524daaefa335d538&amp;schid=8001&amp;row=12&amp;page=91" TargetMode="External"/><Relationship Id="rId270" Type="http://schemas.openxmlformats.org/officeDocument/2006/relationships/hyperlink" Target="https://journaliststudio.google.com/pinpoint-extract/preview?collection=94f5d562231d4dd6&amp;job=2903464ad73dbe5e&amp;docid=bb843fadc6314b6e_94f5d562231d4dd6&amp;schid=8009&amp;row=25&amp;page=80" TargetMode="External"/><Relationship Id="rId326" Type="http://schemas.openxmlformats.org/officeDocument/2006/relationships/hyperlink" Target="https://journaliststudio.google.com/pinpoint-extract/preview?collection=59c534ba70c0b75b&amp;job=d9e8db0be651c98d&amp;docid=f9a22023735ef321_59c534ba70c0b75b&amp;schid=8033&amp;row=9&amp;page=82" TargetMode="External"/><Relationship Id="rId65" Type="http://schemas.openxmlformats.org/officeDocument/2006/relationships/hyperlink" Target="https://journaliststudio.google.com/pinpoint-extract/preview?collection=524daaefa335d538&amp;job=9e83ccfd51856513&amp;docid=1244364dcff36f7f_524daaefa335d538&amp;schid=8001&amp;row=11&amp;page=96" TargetMode="External"/><Relationship Id="rId130" Type="http://schemas.openxmlformats.org/officeDocument/2006/relationships/hyperlink" Target="https://journaliststudio.google.com/pinpoint-extract/preview?collection=524daaefa335d538&amp;job=2b468061a0dc41f8&amp;docid=1f0f8b47c49b27c2_524daaefa335d538&amp;schid=8001&amp;row=23&amp;page=91" TargetMode="External"/><Relationship Id="rId368" Type="http://schemas.openxmlformats.org/officeDocument/2006/relationships/hyperlink" Target="https://journaliststudio.google.com/pinpoint-extract/preview?collection=b4db47ccc48595a5&amp;job=6534cb6435b3b5b3&amp;docid=252734efe751c385_b4db47ccc48595a5&amp;schid=8025&amp;row=11&amp;page=82" TargetMode="External"/><Relationship Id="rId172" Type="http://schemas.openxmlformats.org/officeDocument/2006/relationships/hyperlink" Target="https://journaliststudio.google.com/pinpoint-extract/preview?collection=59c534ba70c0b75b&amp;job=4c523ebcf60a55b&amp;docid=d5c6addb973fc20e_59c534ba70c0b75b&amp;schid=8001&amp;row=7&amp;page=87" TargetMode="External"/><Relationship Id="rId228" Type="http://schemas.openxmlformats.org/officeDocument/2006/relationships/hyperlink" Target="https://journaliststudio.google.com/pinpoint-extract/preview?collection=94f5d562231d4dd6&amp;job=fff7789bceade090&amp;docid=bb843fadc6314b6e_94f5d562231d4dd6&amp;schid=8001&amp;row=5&amp;page=78" TargetMode="External"/><Relationship Id="rId435" Type="http://schemas.openxmlformats.org/officeDocument/2006/relationships/hyperlink" Target="https://journaliststudio.google.com/pinpoint-extract/preview?collection=b4db47ccc48595a5&amp;job=18497e5e1665fd83&amp;docid=8884d0508c167a2_b4db47ccc48595a5&amp;schid=8001&amp;row=15&amp;page=63" TargetMode="External"/><Relationship Id="rId281" Type="http://schemas.openxmlformats.org/officeDocument/2006/relationships/hyperlink" Target="https://journaliststudio.google.com/pinpoint-extract/preview?collection=59c534ba70c0b75b&amp;job=a5341a044fbdd001&amp;docid=f9a22023735ef321_59c534ba70c0b75b&amp;schid=8001&amp;row=4&amp;page=79" TargetMode="External"/><Relationship Id="rId337" Type="http://schemas.openxmlformats.org/officeDocument/2006/relationships/hyperlink" Target="https://journaliststudio.google.com/pinpoint-extract/preview?collection=b4db47ccc48595a5&amp;job=7a46166c988abe25&amp;docid=252734efe751c385_b4db47ccc48595a5&amp;schid=8019&amp;row=11&amp;page=80" TargetMode="External"/><Relationship Id="rId34" Type="http://schemas.openxmlformats.org/officeDocument/2006/relationships/hyperlink" Target="https://journaliststudio.google.com/pinpoint-extract/preview?collection=524daaefa335d538&amp;job=7c9ee60b62a58c50&amp;docid=3a84e2afec62e521_524daaefa335d538&amp;schid=8009&amp;row=11&amp;page=108" TargetMode="External"/><Relationship Id="rId76" Type="http://schemas.openxmlformats.org/officeDocument/2006/relationships/hyperlink" Target="https://journaliststudio.google.com/pinpoint-extract/preview?collection=524daaefa335d538&amp;job=aff84f4d7f79b4bb&amp;docid=1244364dcff36f7f_524daaefa335d538&amp;schid=8009&amp;row=1&amp;page=97" TargetMode="External"/><Relationship Id="rId141" Type="http://schemas.openxmlformats.org/officeDocument/2006/relationships/hyperlink" Target="https://journaliststudio.google.com/pinpoint-extract/preview?collection=524daaefa335d538&amp;job=5f636d3e738a0ef3&amp;docid=1f0f8b47c49b27c2_524daaefa335d538&amp;schid=8009&amp;row=9&amp;page=92" TargetMode="External"/><Relationship Id="rId379" Type="http://schemas.openxmlformats.org/officeDocument/2006/relationships/hyperlink" Target="https://journaliststudio.google.com/pinpoint-extract/preview?collection=b4db47ccc48595a5&amp;job=895e8f817fd773a3&amp;docid=46e4f917ea989928_b4db47ccc48595a5&amp;schid=8001&amp;row=10&amp;page=90" TargetMode="External"/><Relationship Id="rId7" Type="http://schemas.openxmlformats.org/officeDocument/2006/relationships/hyperlink" Target="https://journaliststudio.google.com/pinpoint-extract/preview?collection=524daaefa335d538&amp;job=82bec05f3301547e&amp;docid=3a84e2afec62e521_524daaefa335d538&amp;schid=8001&amp;row=6&amp;page=107" TargetMode="External"/><Relationship Id="rId183" Type="http://schemas.openxmlformats.org/officeDocument/2006/relationships/hyperlink" Target="https://journaliststudio.google.com/pinpoint-extract/preview?collection=59c534ba70c0b75b&amp;job=4c523ebcf60a55b&amp;docid=d5c6addb973fc20e_59c534ba70c0b75b&amp;schid=8001&amp;row=18&amp;page=87" TargetMode="External"/><Relationship Id="rId239" Type="http://schemas.openxmlformats.org/officeDocument/2006/relationships/hyperlink" Target="https://journaliststudio.google.com/pinpoint-extract/preview?collection=94f5d562231d4dd6&amp;job=fff7789bceade090&amp;docid=bb843fadc6314b6e_94f5d562231d4dd6&amp;schid=8001&amp;row=16&amp;page=78" TargetMode="External"/><Relationship Id="rId390" Type="http://schemas.openxmlformats.org/officeDocument/2006/relationships/hyperlink" Target="https://journaliststudio.google.com/pinpoint-extract/preview?collection=b4db47ccc48595a5&amp;job=895e8f817fd773a3&amp;docid=46e4f917ea989928_b4db47ccc48595a5&amp;schid=8001&amp;row=23&amp;page=91" TargetMode="External"/><Relationship Id="rId404" Type="http://schemas.openxmlformats.org/officeDocument/2006/relationships/hyperlink" Target="https://journaliststudio.google.com/pinpoint-extract/preview?collection=b4db47ccc48595a5&amp;job=5df64667a0f8c9c&amp;docid=46e4f917ea989928_b4db47ccc48595a5&amp;schid=8014&amp;row=0&amp;page=92" TargetMode="External"/><Relationship Id="rId250" Type="http://schemas.openxmlformats.org/officeDocument/2006/relationships/hyperlink" Target="https://journaliststudio.google.com/pinpoint-extract/preview?collection=94f5d562231d4dd6&amp;job=2903464ad73dbe5e&amp;docid=bb843fadc6314b6e_94f5d562231d4dd6&amp;schid=8009&amp;row=5&amp;page=79" TargetMode="External"/><Relationship Id="rId292" Type="http://schemas.openxmlformats.org/officeDocument/2006/relationships/hyperlink" Target="https://journaliststudio.google.com/pinpoint-extract/preview?collection=59c534ba70c0b75b&amp;job=fe598a2fe5f62708&amp;docid=f9a22023735ef321_59c534ba70c0b75b&amp;schid=8017&amp;row=15&amp;page=80" TargetMode="External"/><Relationship Id="rId306" Type="http://schemas.openxmlformats.org/officeDocument/2006/relationships/hyperlink" Target="https://journaliststudio.google.com/pinpoint-extract/preview?collection=59c534ba70c0b75b&amp;job=d1722aff98bd1426&amp;docid=f9a22023735ef321_59c534ba70c0b75b&amp;schid=8025&amp;row=3&amp;page=81" TargetMode="External"/><Relationship Id="rId45" Type="http://schemas.openxmlformats.org/officeDocument/2006/relationships/hyperlink" Target="https://journaliststudio.google.com/pinpoint-extract/preview?collection=524daaefa335d538&amp;job=7c9ee60b62a58c50&amp;docid=3a84e2afec62e521_524daaefa335d538&amp;schid=8009&amp;row=22&amp;page=108" TargetMode="External"/><Relationship Id="rId87" Type="http://schemas.openxmlformats.org/officeDocument/2006/relationships/hyperlink" Target="https://journaliststudio.google.com/pinpoint-extract/preview?collection=524daaefa335d538&amp;job=aff84f4d7f79b4bb&amp;docid=1244364dcff36f7f_524daaefa335d538&amp;schid=8009&amp;row=12&amp;page=97" TargetMode="External"/><Relationship Id="rId110" Type="http://schemas.openxmlformats.org/officeDocument/2006/relationships/hyperlink" Target="https://journaliststudio.google.com/pinpoint-extract/preview?collection=524daaefa335d538&amp;job=2b468061a0dc41f8&amp;docid=1f0f8b47c49b27c2_524daaefa335d538&amp;schid=8001&amp;row=3&amp;page=91" TargetMode="External"/><Relationship Id="rId348" Type="http://schemas.openxmlformats.org/officeDocument/2006/relationships/hyperlink" Target="https://journaliststudio.google.com/pinpoint-extract/preview?collection=b4db47ccc48595a5&amp;job=7a46166c988abe25&amp;docid=252734efe751c385_b4db47ccc48595a5&amp;schid=8019&amp;row=24&amp;page=81" TargetMode="External"/><Relationship Id="rId152" Type="http://schemas.openxmlformats.org/officeDocument/2006/relationships/hyperlink" Target="https://journaliststudio.google.com/pinpoint-extract/preview?collection=524daaefa335d538&amp;job=5f636d3e738a0ef3&amp;docid=1f0f8b47c49b27c2_524daaefa335d538&amp;schid=8009&amp;row=20&amp;page=92" TargetMode="External"/><Relationship Id="rId194" Type="http://schemas.openxmlformats.org/officeDocument/2006/relationships/hyperlink" Target="https://journaliststudio.google.com/pinpoint-extract/preview?collection=59c534ba70c0b75b&amp;job=c02b390973229d85&amp;docid=d5c6addb973fc20e_59c534ba70c0b75b&amp;schid=8011&amp;row=7&amp;page=88" TargetMode="External"/><Relationship Id="rId208" Type="http://schemas.openxmlformats.org/officeDocument/2006/relationships/hyperlink" Target="https://journaliststudio.google.com/pinpoint-extract/preview?collection=59c534ba70c0b75b&amp;job=c02b390973229d85&amp;docid=d5c6addb973fc20e_59c534ba70c0b75b&amp;schid=8011&amp;row=21&amp;page=88" TargetMode="External"/><Relationship Id="rId415" Type="http://schemas.openxmlformats.org/officeDocument/2006/relationships/hyperlink" Target="https://journaliststudio.google.com/pinpoint-extract/preview?collection=b4db47ccc48595a5&amp;job=5df64667a0f8c9c&amp;docid=46e4f917ea989928_b4db47ccc48595a5&amp;schid=8014&amp;row=11&amp;page=92" TargetMode="External"/><Relationship Id="rId261" Type="http://schemas.openxmlformats.org/officeDocument/2006/relationships/hyperlink" Target="https://journaliststudio.google.com/pinpoint-extract/preview?collection=94f5d562231d4dd6&amp;job=2903464ad73dbe5e&amp;docid=bb843fadc6314b6e_94f5d562231d4dd6&amp;schid=8009&amp;row=16&amp;page=79" TargetMode="External"/><Relationship Id="rId14" Type="http://schemas.openxmlformats.org/officeDocument/2006/relationships/hyperlink" Target="https://journaliststudio.google.com/pinpoint-extract/preview?collection=524daaefa335d538&amp;job=82bec05f3301547e&amp;docid=3a84e2afec62e521_524daaefa335d538&amp;schid=8001&amp;row=13&amp;page=107" TargetMode="External"/><Relationship Id="rId56" Type="http://schemas.openxmlformats.org/officeDocument/2006/relationships/hyperlink" Target="https://journaliststudio.google.com/pinpoint-extract/preview?collection=524daaefa335d538&amp;job=9e83ccfd51856513&amp;docid=1244364dcff36f7f_524daaefa335d538&amp;schid=8001&amp;row=2&amp;page=96" TargetMode="External"/><Relationship Id="rId317" Type="http://schemas.openxmlformats.org/officeDocument/2006/relationships/hyperlink" Target="https://journaliststudio.google.com/pinpoint-extract/preview?collection=59c534ba70c0b75b&amp;job=d9e8db0be651c98d&amp;docid=f9a22023735ef321_59c534ba70c0b75b&amp;schid=8033&amp;row=0&amp;page=82" TargetMode="External"/><Relationship Id="rId359" Type="http://schemas.openxmlformats.org/officeDocument/2006/relationships/hyperlink" Target="https://journaliststudio.google.com/pinpoint-extract/preview?collection=b4db47ccc48595a5&amp;job=6534cb6435b3b5b3&amp;docid=252734efe751c385_b4db47ccc48595a5&amp;schid=8025&amp;row=2&amp;page=82" TargetMode="External"/><Relationship Id="rId98" Type="http://schemas.openxmlformats.org/officeDocument/2006/relationships/hyperlink" Target="https://journaliststudio.google.com/pinpoint-extract/preview?collection=524daaefa335d538&amp;job=7045c3f8d2ceccc6&amp;docid=1244364dcff36f7f_524daaefa335d538&amp;schid=8017&amp;row=5&amp;page=98" TargetMode="External"/><Relationship Id="rId121" Type="http://schemas.openxmlformats.org/officeDocument/2006/relationships/hyperlink" Target="https://journaliststudio.google.com/pinpoint-extract/preview?collection=524daaefa335d538&amp;job=2b468061a0dc41f8&amp;docid=1f0f8b47c49b27c2_524daaefa335d538&amp;schid=8001&amp;row=14&amp;page=91" TargetMode="External"/><Relationship Id="rId163" Type="http://schemas.openxmlformats.org/officeDocument/2006/relationships/hyperlink" Target="https://journaliststudio.google.com/pinpoint-extract/preview?collection=524daaefa335d538&amp;job=fb089ee82906230c&amp;docid=1f0f8b47c49b27c2_524daaefa335d538&amp;schid=8015&amp;row=4&amp;page=93" TargetMode="External"/><Relationship Id="rId219" Type="http://schemas.openxmlformats.org/officeDocument/2006/relationships/hyperlink" Target="https://journaliststudio.google.com/pinpoint-extract/preview?collection=59c534ba70c0b75b&amp;job=cc936df0b964dd7e&amp;docid=d5c6addb973fc20e_59c534ba70c0b75b&amp;schid=8020&amp;row=8&amp;page=89" TargetMode="External"/><Relationship Id="rId370" Type="http://schemas.openxmlformats.org/officeDocument/2006/relationships/hyperlink" Target="https://journaliststudio.google.com/pinpoint-extract/preview?collection=b4db47ccc48595a5&amp;job=895e8f817fd773a3&amp;docid=46e4f917ea989928_b4db47ccc48595a5&amp;schid=8001&amp;row=1&amp;page=90" TargetMode="External"/><Relationship Id="rId426" Type="http://schemas.openxmlformats.org/officeDocument/2006/relationships/hyperlink" Target="https://journaliststudio.google.com/pinpoint-extract/preview?collection=b4db47ccc48595a5&amp;job=18497e5e1665fd83&amp;docid=8884d0508c167a2_b4db47ccc48595a5&amp;schid=8001&amp;row=6&amp;page=62" TargetMode="External"/><Relationship Id="rId230" Type="http://schemas.openxmlformats.org/officeDocument/2006/relationships/hyperlink" Target="https://journaliststudio.google.com/pinpoint-extract/preview?collection=94f5d562231d4dd6&amp;job=fff7789bceade090&amp;docid=bb843fadc6314b6e_94f5d562231d4dd6&amp;schid=8001&amp;row=7&amp;page=78" TargetMode="External"/><Relationship Id="rId25" Type="http://schemas.openxmlformats.org/officeDocument/2006/relationships/hyperlink" Target="https://journaliststudio.google.com/pinpoint-extract/preview?collection=524daaefa335d538&amp;job=7c9ee60b62a58c50&amp;docid=3a84e2afec62e521_524daaefa335d538&amp;schid=8009&amp;row=2&amp;page=108" TargetMode="External"/><Relationship Id="rId67" Type="http://schemas.openxmlformats.org/officeDocument/2006/relationships/hyperlink" Target="https://journaliststudio.google.com/pinpoint-extract/preview?collection=524daaefa335d538&amp;job=9e83ccfd51856513&amp;docid=1244364dcff36f7f_524daaefa335d538&amp;schid=8001&amp;row=13&amp;page=96" TargetMode="External"/><Relationship Id="rId272" Type="http://schemas.openxmlformats.org/officeDocument/2006/relationships/hyperlink" Target="https://journaliststudio.google.com/pinpoint-extract/preview?collection=94f5d562231d4dd6&amp;job=2903464ad73dbe5e&amp;docid=bb843fadc6314b6e_94f5d562231d4dd6&amp;schid=8009&amp;row=27&amp;page=80" TargetMode="External"/><Relationship Id="rId328" Type="http://schemas.openxmlformats.org/officeDocument/2006/relationships/hyperlink" Target="https://journaliststudio.google.com/pinpoint-extract/preview?collection=59c534ba70c0b75b&amp;job=d9e8db0be651c98d&amp;docid=f9a22023735ef321_59c534ba70c0b75b&amp;schid=8033&amp;row=11&amp;page=82" TargetMode="External"/><Relationship Id="rId132" Type="http://schemas.openxmlformats.org/officeDocument/2006/relationships/hyperlink" Target="https://journaliststudio.google.com/pinpoint-extract/preview?collection=524daaefa335d538&amp;job=5f636d3e738a0ef3&amp;docid=1f0f8b47c49b27c2_524daaefa335d538&amp;schid=8009&amp;row=0&amp;page=92" TargetMode="External"/><Relationship Id="rId174" Type="http://schemas.openxmlformats.org/officeDocument/2006/relationships/hyperlink" Target="https://journaliststudio.google.com/pinpoint-extract/preview?collection=59c534ba70c0b75b&amp;job=4c523ebcf60a55b&amp;docid=d5c6addb973fc20e_59c534ba70c0b75b&amp;schid=8001&amp;row=9&amp;page=87" TargetMode="External"/><Relationship Id="rId381" Type="http://schemas.openxmlformats.org/officeDocument/2006/relationships/hyperlink" Target="https://journaliststudio.google.com/pinpoint-extract/preview?collection=b4db47ccc48595a5&amp;job=895e8f817fd773a3&amp;docid=46e4f917ea989928_b4db47ccc48595a5&amp;schid=8001&amp;row=12&amp;page=90" TargetMode="External"/><Relationship Id="rId241" Type="http://schemas.openxmlformats.org/officeDocument/2006/relationships/hyperlink" Target="https://journaliststudio.google.com/pinpoint-extract/preview?collection=94f5d562231d4dd6&amp;job=fff7789bceade090&amp;docid=bb843fadc6314b6e_94f5d562231d4dd6&amp;schid=8001&amp;row=18&amp;page=78" TargetMode="External"/><Relationship Id="rId437" Type="http://schemas.openxmlformats.org/officeDocument/2006/relationships/hyperlink" Target="https://journaliststudio.google.com/pinpoint-extract/preview?collection=b4db47ccc48595a5&amp;job=18497e5e1665fd83&amp;docid=8884d0508c167a2_b4db47ccc48595a5&amp;schid=8001&amp;row=17&amp;page=63" TargetMode="External"/><Relationship Id="rId36" Type="http://schemas.openxmlformats.org/officeDocument/2006/relationships/hyperlink" Target="https://journaliststudio.google.com/pinpoint-extract/preview?collection=524daaefa335d538&amp;job=7c9ee60b62a58c50&amp;docid=3a84e2afec62e521_524daaefa335d538&amp;schid=8009&amp;row=13&amp;page=108" TargetMode="External"/><Relationship Id="rId283" Type="http://schemas.openxmlformats.org/officeDocument/2006/relationships/hyperlink" Target="https://journaliststudio.google.com/pinpoint-extract/preview?collection=59c534ba70c0b75b&amp;job=a5341a044fbdd001&amp;docid=f9a22023735ef321_59c534ba70c0b75b&amp;schid=8001&amp;row=6&amp;page=79" TargetMode="External"/><Relationship Id="rId339" Type="http://schemas.openxmlformats.org/officeDocument/2006/relationships/hyperlink" Target="https://journaliststudio.google.com/pinpoint-extract/preview?collection=b4db47ccc48595a5&amp;job=7a46166c988abe25&amp;docid=252734efe751c385_b4db47ccc48595a5&amp;schid=8019&amp;row=13&amp;page=80" TargetMode="External"/><Relationship Id="rId78" Type="http://schemas.openxmlformats.org/officeDocument/2006/relationships/hyperlink" Target="https://journaliststudio.google.com/pinpoint-extract/preview?collection=524daaefa335d538&amp;job=aff84f4d7f79b4bb&amp;docid=1244364dcff36f7f_524daaefa335d538&amp;schid=8009&amp;row=3&amp;page=97" TargetMode="External"/><Relationship Id="rId101" Type="http://schemas.openxmlformats.org/officeDocument/2006/relationships/hyperlink" Target="https://journaliststudio.google.com/pinpoint-extract/preview?collection=524daaefa335d538&amp;job=7045c3f8d2ceccc6&amp;docid=1244364dcff36f7f_524daaefa335d538&amp;schid=8017&amp;row=8&amp;page=98" TargetMode="External"/><Relationship Id="rId143" Type="http://schemas.openxmlformats.org/officeDocument/2006/relationships/hyperlink" Target="https://journaliststudio.google.com/pinpoint-extract/preview?collection=524daaefa335d538&amp;job=5f636d3e738a0ef3&amp;docid=1f0f8b47c49b27c2_524daaefa335d538&amp;schid=8009&amp;row=11&amp;page=92" TargetMode="External"/><Relationship Id="rId185" Type="http://schemas.openxmlformats.org/officeDocument/2006/relationships/hyperlink" Target="https://journaliststudio.google.com/pinpoint-extract/preview?collection=59c534ba70c0b75b&amp;job=4c523ebcf60a55b&amp;docid=d5c6addb973fc20e_59c534ba70c0b75b&amp;schid=8001&amp;row=20&amp;page=87" TargetMode="External"/><Relationship Id="rId350" Type="http://schemas.openxmlformats.org/officeDocument/2006/relationships/hyperlink" Target="https://journaliststudio.google.com/pinpoint-extract/preview?collection=b4db47ccc48595a5&amp;job=7a46166c988abe25&amp;docid=252734efe751c385_b4db47ccc48595a5&amp;schid=8019&amp;row=26&amp;page=81" TargetMode="External"/><Relationship Id="rId406" Type="http://schemas.openxmlformats.org/officeDocument/2006/relationships/hyperlink" Target="https://journaliststudio.google.com/pinpoint-extract/preview?collection=b4db47ccc48595a5&amp;job=5df64667a0f8c9c&amp;docid=46e4f917ea989928_b4db47ccc48595a5&amp;schid=8014&amp;row=2&amp;page=92" TargetMode="External"/><Relationship Id="rId9" Type="http://schemas.openxmlformats.org/officeDocument/2006/relationships/hyperlink" Target="https://journaliststudio.google.com/pinpoint-extract/preview?collection=524daaefa335d538&amp;job=82bec05f3301547e&amp;docid=3a84e2afec62e521_524daaefa335d538&amp;schid=8001&amp;row=8&amp;page=107" TargetMode="External"/><Relationship Id="rId210" Type="http://schemas.openxmlformats.org/officeDocument/2006/relationships/hyperlink" Target="https://journaliststudio.google.com/pinpoint-extract/preview?collection=59c534ba70c0b75b&amp;job=c02b390973229d85&amp;docid=d5c6addb973fc20e_59c534ba70c0b75b&amp;schid=8011&amp;row=23&amp;page=88" TargetMode="External"/><Relationship Id="rId392" Type="http://schemas.openxmlformats.org/officeDocument/2006/relationships/hyperlink" Target="https://journaliststudio.google.com/pinpoint-extract/preview?collection=b4db47ccc48595a5&amp;job=895e8f817fd773a3&amp;docid=46e4f917ea989928_b4db47ccc48595a5&amp;schid=8001&amp;row=25&amp;page=91" TargetMode="External"/><Relationship Id="rId252" Type="http://schemas.openxmlformats.org/officeDocument/2006/relationships/hyperlink" Target="https://journaliststudio.google.com/pinpoint-extract/preview?collection=94f5d562231d4dd6&amp;job=2903464ad73dbe5e&amp;docid=bb843fadc6314b6e_94f5d562231d4dd6&amp;schid=8009&amp;row=7&amp;page=79" TargetMode="External"/><Relationship Id="rId294" Type="http://schemas.openxmlformats.org/officeDocument/2006/relationships/hyperlink" Target="https://journaliststudio.google.com/pinpoint-extract/preview?collection=59c534ba70c0b75b&amp;job=fe598a2fe5f62708&amp;docid=f9a22023735ef321_59c534ba70c0b75b&amp;schid=8017&amp;row=17&amp;page=80" TargetMode="External"/><Relationship Id="rId308" Type="http://schemas.openxmlformats.org/officeDocument/2006/relationships/hyperlink" Target="https://journaliststudio.google.com/pinpoint-extract/preview?collection=59c534ba70c0b75b&amp;job=d1722aff98bd1426&amp;docid=f9a22023735ef321_59c534ba70c0b75b&amp;schid=8025&amp;row=5&amp;page=81" TargetMode="External"/><Relationship Id="rId47" Type="http://schemas.openxmlformats.org/officeDocument/2006/relationships/hyperlink" Target="https://journaliststudio.google.com/pinpoint-extract/preview?collection=524daaefa335d538&amp;job=8e63a69ee74905&amp;docid=3a84e2afec62e521_524daaefa335d538&amp;schid=8017&amp;row=1&amp;page=109" TargetMode="External"/><Relationship Id="rId89" Type="http://schemas.openxmlformats.org/officeDocument/2006/relationships/hyperlink" Target="https://journaliststudio.google.com/pinpoint-extract/preview?collection=524daaefa335d538&amp;job=aff84f4d7f79b4bb&amp;docid=1244364dcff36f7f_524daaefa335d538&amp;schid=8009&amp;row=14&amp;page=97" TargetMode="External"/><Relationship Id="rId112" Type="http://schemas.openxmlformats.org/officeDocument/2006/relationships/hyperlink" Target="https://journaliststudio.google.com/pinpoint-extract/preview?collection=524daaefa335d538&amp;job=2b468061a0dc41f8&amp;docid=1f0f8b47c49b27c2_524daaefa335d538&amp;schid=8001&amp;row=5&amp;page=91" TargetMode="External"/><Relationship Id="rId154" Type="http://schemas.openxmlformats.org/officeDocument/2006/relationships/hyperlink" Target="https://journaliststudio.google.com/pinpoint-extract/preview?collection=524daaefa335d538&amp;job=5f636d3e738a0ef3&amp;docid=1f0f8b47c49b27c2_524daaefa335d538&amp;schid=8009&amp;row=22&amp;page=92" TargetMode="External"/><Relationship Id="rId361" Type="http://schemas.openxmlformats.org/officeDocument/2006/relationships/hyperlink" Target="https://journaliststudio.google.com/pinpoint-extract/preview?collection=b4db47ccc48595a5&amp;job=6534cb6435b3b5b3&amp;docid=252734efe751c385_b4db47ccc48595a5&amp;schid=8025&amp;row=4&amp;page=82" TargetMode="External"/><Relationship Id="rId196" Type="http://schemas.openxmlformats.org/officeDocument/2006/relationships/hyperlink" Target="https://journaliststudio.google.com/pinpoint-extract/preview?collection=59c534ba70c0b75b&amp;job=c02b390973229d85&amp;docid=d5c6addb973fc20e_59c534ba70c0b75b&amp;schid=8011&amp;row=9&amp;page=88" TargetMode="External"/><Relationship Id="rId417" Type="http://schemas.openxmlformats.org/officeDocument/2006/relationships/hyperlink" Target="https://journaliststudio.google.com/pinpoint-extract/preview?collection=b4db47ccc48595a5&amp;job=5df64667a0f8c9c&amp;docid=46e4f917ea989928_b4db47ccc48595a5&amp;schid=8014&amp;row=13&amp;page=92" TargetMode="External"/><Relationship Id="rId16" Type="http://schemas.openxmlformats.org/officeDocument/2006/relationships/hyperlink" Target="https://journaliststudio.google.com/pinpoint-extract/preview?collection=524daaefa335d538&amp;job=82bec05f3301547e&amp;docid=3a84e2afec62e521_524daaefa335d538&amp;schid=8001&amp;row=15&amp;page=107" TargetMode="External"/><Relationship Id="rId221" Type="http://schemas.openxmlformats.org/officeDocument/2006/relationships/hyperlink" Target="https://journaliststudio.google.com/pinpoint-extract/preview?collection=59c534ba70c0b75b&amp;job=cc936df0b964dd7e&amp;docid=d5c6addb973fc20e_59c534ba70c0b75b&amp;schid=8020&amp;row=10&amp;page=89" TargetMode="External"/><Relationship Id="rId263" Type="http://schemas.openxmlformats.org/officeDocument/2006/relationships/hyperlink" Target="https://journaliststudio.google.com/pinpoint-extract/preview?collection=94f5d562231d4dd6&amp;job=2903464ad73dbe5e&amp;docid=bb843fadc6314b6e_94f5d562231d4dd6&amp;schid=8009&amp;row=18&amp;page=79" TargetMode="External"/><Relationship Id="rId319" Type="http://schemas.openxmlformats.org/officeDocument/2006/relationships/hyperlink" Target="https://journaliststudio.google.com/pinpoint-extract/preview?collection=59c534ba70c0b75b&amp;job=d9e8db0be651c98d&amp;docid=f9a22023735ef321_59c534ba70c0b75b&amp;schid=8033&amp;row=2&amp;page=82" TargetMode="External"/><Relationship Id="rId58" Type="http://schemas.openxmlformats.org/officeDocument/2006/relationships/hyperlink" Target="https://journaliststudio.google.com/pinpoint-extract/preview?collection=524daaefa335d538&amp;job=9e83ccfd51856513&amp;docid=1244364dcff36f7f_524daaefa335d538&amp;schid=8001&amp;row=4&amp;page=96" TargetMode="External"/><Relationship Id="rId123" Type="http://schemas.openxmlformats.org/officeDocument/2006/relationships/hyperlink" Target="https://journaliststudio.google.com/pinpoint-extract/preview?collection=524daaefa335d538&amp;job=2b468061a0dc41f8&amp;docid=1f0f8b47c49b27c2_524daaefa335d538&amp;schid=8001&amp;row=16&amp;page=91" TargetMode="External"/><Relationship Id="rId330" Type="http://schemas.openxmlformats.org/officeDocument/2006/relationships/hyperlink" Target="https://journaliststudio.google.com/pinpoint-extract/preview?collection=b4db47ccc48595a5&amp;job=7a46166c988abe25&amp;docid=252734efe751c385_b4db47ccc48595a5&amp;schid=8019&amp;row=4&amp;page=80" TargetMode="External"/><Relationship Id="rId165" Type="http://schemas.openxmlformats.org/officeDocument/2006/relationships/hyperlink" Target="https://journaliststudio.google.com/pinpoint-extract/preview?collection=59c534ba70c0b75b&amp;job=4c523ebcf60a55b&amp;docid=d5c6addb973fc20e_59c534ba70c0b75b&amp;schid=8001&amp;row=0&amp;page=87" TargetMode="External"/><Relationship Id="rId372" Type="http://schemas.openxmlformats.org/officeDocument/2006/relationships/hyperlink" Target="https://journaliststudio.google.com/pinpoint-extract/preview?collection=b4db47ccc48595a5&amp;job=895e8f817fd773a3&amp;docid=46e4f917ea989928_b4db47ccc48595a5&amp;schid=8001&amp;row=3&amp;page=90" TargetMode="External"/><Relationship Id="rId428" Type="http://schemas.openxmlformats.org/officeDocument/2006/relationships/hyperlink" Target="https://journaliststudio.google.com/pinpoint-extract/preview?collection=b4db47ccc48595a5&amp;job=18497e5e1665fd83&amp;docid=8884d0508c167a2_b4db47ccc48595a5&amp;schid=8001&amp;row=8&amp;page=62" TargetMode="External"/><Relationship Id="rId232" Type="http://schemas.openxmlformats.org/officeDocument/2006/relationships/hyperlink" Target="https://journaliststudio.google.com/pinpoint-extract/preview?collection=94f5d562231d4dd6&amp;job=fff7789bceade090&amp;docid=bb843fadc6314b6e_94f5d562231d4dd6&amp;schid=8001&amp;row=9&amp;page=78" TargetMode="External"/><Relationship Id="rId274" Type="http://schemas.openxmlformats.org/officeDocument/2006/relationships/hyperlink" Target="https://journaliststudio.google.com/pinpoint-extract/preview?collection=94f5d562231d4dd6&amp;job=2903464ad73dbe5e&amp;docid=bb843fadc6314b6e_94f5d562231d4dd6&amp;schid=8009&amp;row=29&amp;page=80" TargetMode="External"/><Relationship Id="rId27" Type="http://schemas.openxmlformats.org/officeDocument/2006/relationships/hyperlink" Target="https://journaliststudio.google.com/pinpoint-extract/preview?collection=524daaefa335d538&amp;job=7c9ee60b62a58c50&amp;docid=3a84e2afec62e521_524daaefa335d538&amp;schid=8009&amp;row=4&amp;page=108" TargetMode="External"/><Relationship Id="rId69" Type="http://schemas.openxmlformats.org/officeDocument/2006/relationships/hyperlink" Target="https://journaliststudio.google.com/pinpoint-extract/preview?collection=524daaefa335d538&amp;job=9e83ccfd51856513&amp;docid=1244364dcff36f7f_524daaefa335d538&amp;schid=8001&amp;row=15&amp;page=96" TargetMode="External"/><Relationship Id="rId134" Type="http://schemas.openxmlformats.org/officeDocument/2006/relationships/hyperlink" Target="https://journaliststudio.google.com/pinpoint-extract/preview?collection=524daaefa335d538&amp;job=5f636d3e738a0ef3&amp;docid=1f0f8b47c49b27c2_524daaefa335d538&amp;schid=8009&amp;row=2&amp;page=92" TargetMode="External"/><Relationship Id="rId80" Type="http://schemas.openxmlformats.org/officeDocument/2006/relationships/hyperlink" Target="https://journaliststudio.google.com/pinpoint-extract/preview?collection=524daaefa335d538&amp;job=aff84f4d7f79b4bb&amp;docid=1244364dcff36f7f_524daaefa335d538&amp;schid=8009&amp;row=5&amp;page=97" TargetMode="External"/><Relationship Id="rId176" Type="http://schemas.openxmlformats.org/officeDocument/2006/relationships/hyperlink" Target="https://journaliststudio.google.com/pinpoint-extract/preview?collection=59c534ba70c0b75b&amp;job=4c523ebcf60a55b&amp;docid=d5c6addb973fc20e_59c534ba70c0b75b&amp;schid=8001&amp;row=11&amp;page=87" TargetMode="External"/><Relationship Id="rId341" Type="http://schemas.openxmlformats.org/officeDocument/2006/relationships/hyperlink" Target="https://journaliststudio.google.com/pinpoint-extract/preview?collection=b4db47ccc48595a5&amp;job=7a46166c988abe25&amp;docid=252734efe751c385_b4db47ccc48595a5&amp;schid=8019&amp;row=15&amp;page=80" TargetMode="External"/><Relationship Id="rId383" Type="http://schemas.openxmlformats.org/officeDocument/2006/relationships/hyperlink" Target="https://journaliststudio.google.com/pinpoint-extract/preview?collection=b4db47ccc48595a5&amp;job=895e8f817fd773a3&amp;docid=46e4f917ea989928_b4db47ccc48595a5&amp;schid=8001&amp;row=14&amp;page=90" TargetMode="External"/><Relationship Id="rId439" Type="http://schemas.openxmlformats.org/officeDocument/2006/relationships/hyperlink" Target="https://journaliststudio.google.com/pinpoint-extract/preview?collection=b4db47ccc48595a5&amp;job=18497e5e1665fd83&amp;docid=8884d0508c167a2_b4db47ccc48595a5&amp;schid=8001&amp;row=19&amp;page=63" TargetMode="External"/><Relationship Id="rId201" Type="http://schemas.openxmlformats.org/officeDocument/2006/relationships/hyperlink" Target="https://journaliststudio.google.com/pinpoint-extract/preview?collection=59c534ba70c0b75b&amp;job=c02b390973229d85&amp;docid=d5c6addb973fc20e_59c534ba70c0b75b&amp;schid=8011&amp;row=14&amp;page=88" TargetMode="External"/><Relationship Id="rId243" Type="http://schemas.openxmlformats.org/officeDocument/2006/relationships/hyperlink" Target="https://journaliststudio.google.com/pinpoint-extract/preview?collection=94f5d562231d4dd6&amp;job=fff7789bceade090&amp;docid=bb843fadc6314b6e_94f5d562231d4dd6&amp;schid=8001&amp;row=20&amp;page=78" TargetMode="External"/><Relationship Id="rId285" Type="http://schemas.openxmlformats.org/officeDocument/2006/relationships/hyperlink" Target="https://journaliststudio.google.com/pinpoint-extract/preview?collection=59c534ba70c0b75b&amp;job=a5341a044fbdd001&amp;docid=f9a22023735ef321_59c534ba70c0b75b&amp;schid=8001&amp;row=8&amp;page=79" TargetMode="External"/><Relationship Id="rId38" Type="http://schemas.openxmlformats.org/officeDocument/2006/relationships/hyperlink" Target="https://journaliststudio.google.com/pinpoint-extract/preview?collection=524daaefa335d538&amp;job=7c9ee60b62a58c50&amp;docid=3a84e2afec62e521_524daaefa335d538&amp;schid=8009&amp;row=15&amp;page=108" TargetMode="External"/><Relationship Id="rId103" Type="http://schemas.openxmlformats.org/officeDocument/2006/relationships/hyperlink" Target="https://journaliststudio.google.com/pinpoint-extract/preview?collection=524daaefa335d538&amp;job=7045c3f8d2ceccc6&amp;docid=1244364dcff36f7f_524daaefa335d538&amp;schid=8017&amp;row=10&amp;page=98" TargetMode="External"/><Relationship Id="rId310" Type="http://schemas.openxmlformats.org/officeDocument/2006/relationships/hyperlink" Target="https://journaliststudio.google.com/pinpoint-extract/preview?collection=59c534ba70c0b75b&amp;job=d1722aff98bd1426&amp;docid=f9a22023735ef321_59c534ba70c0b75b&amp;schid=8025&amp;row=7&amp;page=81" TargetMode="External"/><Relationship Id="rId91" Type="http://schemas.openxmlformats.org/officeDocument/2006/relationships/hyperlink" Target="https://journaliststudio.google.com/pinpoint-extract/preview?collection=524daaefa335d538&amp;job=aff84f4d7f79b4bb&amp;docid=1244364dcff36f7f_524daaefa335d538&amp;schid=8009&amp;row=16&amp;page=97" TargetMode="External"/><Relationship Id="rId145" Type="http://schemas.openxmlformats.org/officeDocument/2006/relationships/hyperlink" Target="https://journaliststudio.google.com/pinpoint-extract/preview?collection=524daaefa335d538&amp;job=5f636d3e738a0ef3&amp;docid=1f0f8b47c49b27c2_524daaefa335d538&amp;schid=8009&amp;row=13&amp;page=92" TargetMode="External"/><Relationship Id="rId187" Type="http://schemas.openxmlformats.org/officeDocument/2006/relationships/hyperlink" Target="https://journaliststudio.google.com/pinpoint-extract/preview?collection=59c534ba70c0b75b&amp;job=c02b390973229d85&amp;docid=d5c6addb973fc20e_59c534ba70c0b75b&amp;schid=8011&amp;row=0&amp;page=88" TargetMode="External"/><Relationship Id="rId352" Type="http://schemas.openxmlformats.org/officeDocument/2006/relationships/hyperlink" Target="https://journaliststudio.google.com/pinpoint-extract/preview?collection=b4db47ccc48595a5&amp;job=7a46166c988abe25&amp;docid=252734efe751c385_b4db47ccc48595a5&amp;schid=8019&amp;row=28&amp;page=81" TargetMode="External"/><Relationship Id="rId394" Type="http://schemas.openxmlformats.org/officeDocument/2006/relationships/hyperlink" Target="https://journaliststudio.google.com/pinpoint-extract/preview?collection=b4db47ccc48595a5&amp;job=895e8f817fd773a3&amp;docid=46e4f917ea989928_b4db47ccc48595a5&amp;schid=8001&amp;row=27&amp;page=91" TargetMode="External"/><Relationship Id="rId408" Type="http://schemas.openxmlformats.org/officeDocument/2006/relationships/hyperlink" Target="https://journaliststudio.google.com/pinpoint-extract/preview?collection=b4db47ccc48595a5&amp;job=5df64667a0f8c9c&amp;docid=46e4f917ea989928_b4db47ccc48595a5&amp;schid=8014&amp;row=4&amp;page=92" TargetMode="External"/><Relationship Id="rId212" Type="http://schemas.openxmlformats.org/officeDocument/2006/relationships/hyperlink" Target="https://journaliststudio.google.com/pinpoint-extract/preview?collection=59c534ba70c0b75b&amp;job=cc936df0b964dd7e&amp;docid=d5c6addb973fc20e_59c534ba70c0b75b&amp;schid=8020&amp;row=1&amp;page=89" TargetMode="External"/><Relationship Id="rId254" Type="http://schemas.openxmlformats.org/officeDocument/2006/relationships/hyperlink" Target="https://journaliststudio.google.com/pinpoint-extract/preview?collection=94f5d562231d4dd6&amp;job=2903464ad73dbe5e&amp;docid=bb843fadc6314b6e_94f5d562231d4dd6&amp;schid=8009&amp;row=9&amp;page=79" TargetMode="External"/><Relationship Id="rId49" Type="http://schemas.openxmlformats.org/officeDocument/2006/relationships/hyperlink" Target="https://journaliststudio.google.com/pinpoint-extract/preview?collection=524daaefa335d538&amp;job=8e63a69ee74905&amp;docid=3a84e2afec62e521_524daaefa335d538&amp;schid=8017&amp;row=3&amp;page=109" TargetMode="External"/><Relationship Id="rId114" Type="http://schemas.openxmlformats.org/officeDocument/2006/relationships/hyperlink" Target="https://journaliststudio.google.com/pinpoint-extract/preview?collection=524daaefa335d538&amp;job=2b468061a0dc41f8&amp;docid=1f0f8b47c49b27c2_524daaefa335d538&amp;schid=8001&amp;row=7&amp;page=91" TargetMode="External"/><Relationship Id="rId296" Type="http://schemas.openxmlformats.org/officeDocument/2006/relationships/hyperlink" Target="https://journaliststudio.google.com/pinpoint-extract/preview?collection=59c534ba70c0b75b&amp;job=fe598a2fe5f62708&amp;docid=f9a22023735ef321_59c534ba70c0b75b&amp;schid=8017&amp;row=19&amp;page=80" TargetMode="External"/><Relationship Id="rId60" Type="http://schemas.openxmlformats.org/officeDocument/2006/relationships/hyperlink" Target="https://journaliststudio.google.com/pinpoint-extract/preview?collection=524daaefa335d538&amp;job=9e83ccfd51856513&amp;docid=1244364dcff36f7f_524daaefa335d538&amp;schid=8001&amp;row=6&amp;page=96" TargetMode="External"/><Relationship Id="rId156" Type="http://schemas.openxmlformats.org/officeDocument/2006/relationships/hyperlink" Target="https://journaliststudio.google.com/pinpoint-extract/preview?collection=524daaefa335d538&amp;job=5f636d3e738a0ef3&amp;docid=1f0f8b47c49b27c2_524daaefa335d538&amp;schid=8009&amp;row=24&amp;page=92" TargetMode="External"/><Relationship Id="rId198" Type="http://schemas.openxmlformats.org/officeDocument/2006/relationships/hyperlink" Target="https://journaliststudio.google.com/pinpoint-extract/preview?collection=59c534ba70c0b75b&amp;job=c02b390973229d85&amp;docid=d5c6addb973fc20e_59c534ba70c0b75b&amp;schid=8011&amp;row=11&amp;page=88" TargetMode="External"/><Relationship Id="rId321" Type="http://schemas.openxmlformats.org/officeDocument/2006/relationships/hyperlink" Target="https://journaliststudio.google.com/pinpoint-extract/preview?collection=59c534ba70c0b75b&amp;job=d9e8db0be651c98d&amp;docid=f9a22023735ef321_59c534ba70c0b75b&amp;schid=8033&amp;row=4&amp;page=82" TargetMode="External"/><Relationship Id="rId363" Type="http://schemas.openxmlformats.org/officeDocument/2006/relationships/hyperlink" Target="https://journaliststudio.google.com/pinpoint-extract/preview?collection=b4db47ccc48595a5&amp;job=6534cb6435b3b5b3&amp;docid=252734efe751c385_b4db47ccc48595a5&amp;schid=8025&amp;row=6&amp;page=82" TargetMode="External"/><Relationship Id="rId419" Type="http://schemas.openxmlformats.org/officeDocument/2006/relationships/hyperlink" Target="https://journaliststudio.google.com/pinpoint-extract/preview?collection=b4db47ccc48595a5&amp;job=5df64667a0f8c9c&amp;docid=46e4f917ea989928_b4db47ccc48595a5&amp;schid=8014&amp;row=15&amp;page=92" TargetMode="External"/><Relationship Id="rId223" Type="http://schemas.openxmlformats.org/officeDocument/2006/relationships/hyperlink" Target="https://journaliststudio.google.com/pinpoint-extract/preview?collection=94f5d562231d4dd6&amp;job=fff7789bceade090&amp;docid=bb843fadc6314b6e_94f5d562231d4dd6&amp;schid=8001&amp;row=0&amp;page=78" TargetMode="External"/><Relationship Id="rId430" Type="http://schemas.openxmlformats.org/officeDocument/2006/relationships/hyperlink" Target="https://journaliststudio.google.com/pinpoint-extract/preview?collection=b4db47ccc48595a5&amp;job=18497e5e1665fd83&amp;docid=8884d0508c167a2_b4db47ccc48595a5&amp;schid=8001&amp;row=10&amp;page=62" TargetMode="External"/><Relationship Id="rId18" Type="http://schemas.openxmlformats.org/officeDocument/2006/relationships/hyperlink" Target="https://journaliststudio.google.com/pinpoint-extract/preview?collection=524daaefa335d538&amp;job=82bec05f3301547e&amp;docid=3a84e2afec62e521_524daaefa335d538&amp;schid=8001&amp;row=17&amp;page=107" TargetMode="External"/><Relationship Id="rId39" Type="http://schemas.openxmlformats.org/officeDocument/2006/relationships/hyperlink" Target="https://journaliststudio.google.com/pinpoint-extract/preview?collection=524daaefa335d538&amp;job=7c9ee60b62a58c50&amp;docid=3a84e2afec62e521_524daaefa335d538&amp;schid=8009&amp;row=16&amp;page=108" TargetMode="External"/><Relationship Id="rId265" Type="http://schemas.openxmlformats.org/officeDocument/2006/relationships/hyperlink" Target="https://journaliststudio.google.com/pinpoint-extract/preview?collection=94f5d562231d4dd6&amp;job=2903464ad73dbe5e&amp;docid=bb843fadc6314b6e_94f5d562231d4dd6&amp;schid=8009&amp;row=20&amp;page=79" TargetMode="External"/><Relationship Id="rId286" Type="http://schemas.openxmlformats.org/officeDocument/2006/relationships/hyperlink" Target="https://journaliststudio.google.com/pinpoint-extract/preview?collection=59c534ba70c0b75b&amp;job=a5341a044fbdd001&amp;docid=f9a22023735ef321_59c534ba70c0b75b&amp;schid=8001&amp;row=9&amp;page=79" TargetMode="External"/><Relationship Id="rId50" Type="http://schemas.openxmlformats.org/officeDocument/2006/relationships/hyperlink" Target="https://journaliststudio.google.com/pinpoint-extract/preview?collection=524daaefa335d538&amp;job=8e63a69ee74905&amp;docid=3a84e2afec62e521_524daaefa335d538&amp;schid=8017&amp;row=4&amp;page=109" TargetMode="External"/><Relationship Id="rId104" Type="http://schemas.openxmlformats.org/officeDocument/2006/relationships/hyperlink" Target="https://journaliststudio.google.com/pinpoint-extract/preview?collection=524daaefa335d538&amp;job=7045c3f8d2ceccc6&amp;docid=1244364dcff36f7f_524daaefa335d538&amp;schid=8017&amp;row=11&amp;page=98" TargetMode="External"/><Relationship Id="rId125" Type="http://schemas.openxmlformats.org/officeDocument/2006/relationships/hyperlink" Target="https://journaliststudio.google.com/pinpoint-extract/preview?collection=524daaefa335d538&amp;job=2b468061a0dc41f8&amp;docid=1f0f8b47c49b27c2_524daaefa335d538&amp;schid=8001&amp;row=18&amp;page=91" TargetMode="External"/><Relationship Id="rId146" Type="http://schemas.openxmlformats.org/officeDocument/2006/relationships/hyperlink" Target="https://journaliststudio.google.com/pinpoint-extract/preview?collection=524daaefa335d538&amp;job=5f636d3e738a0ef3&amp;docid=1f0f8b47c49b27c2_524daaefa335d538&amp;schid=8009&amp;row=14&amp;page=92" TargetMode="External"/><Relationship Id="rId167" Type="http://schemas.openxmlformats.org/officeDocument/2006/relationships/hyperlink" Target="https://journaliststudio.google.com/pinpoint-extract/preview?collection=59c534ba70c0b75b&amp;job=4c523ebcf60a55b&amp;docid=d5c6addb973fc20e_59c534ba70c0b75b&amp;schid=8001&amp;row=2&amp;page=87" TargetMode="External"/><Relationship Id="rId188" Type="http://schemas.openxmlformats.org/officeDocument/2006/relationships/hyperlink" Target="https://journaliststudio.google.com/pinpoint-extract/preview?collection=59c534ba70c0b75b&amp;job=c02b390973229d85&amp;docid=d5c6addb973fc20e_59c534ba70c0b75b&amp;schid=8011&amp;row=1&amp;page=88" TargetMode="External"/><Relationship Id="rId311" Type="http://schemas.openxmlformats.org/officeDocument/2006/relationships/hyperlink" Target="https://journaliststudio.google.com/pinpoint-extract/preview?collection=59c534ba70c0b75b&amp;job=d1722aff98bd1426&amp;docid=f9a22023735ef321_59c534ba70c0b75b&amp;schid=8025&amp;row=8&amp;page=81" TargetMode="External"/><Relationship Id="rId332" Type="http://schemas.openxmlformats.org/officeDocument/2006/relationships/hyperlink" Target="https://journaliststudio.google.com/pinpoint-extract/preview?collection=b4db47ccc48595a5&amp;job=7a46166c988abe25&amp;docid=252734efe751c385_b4db47ccc48595a5&amp;schid=8019&amp;row=6&amp;page=80" TargetMode="External"/><Relationship Id="rId353" Type="http://schemas.openxmlformats.org/officeDocument/2006/relationships/hyperlink" Target="https://journaliststudio.google.com/pinpoint-extract/preview?collection=b4db47ccc48595a5&amp;job=7a46166c988abe25&amp;docid=252734efe751c385_b4db47ccc48595a5&amp;schid=8019&amp;row=29&amp;page=81" TargetMode="External"/><Relationship Id="rId374" Type="http://schemas.openxmlformats.org/officeDocument/2006/relationships/hyperlink" Target="https://journaliststudio.google.com/pinpoint-extract/preview?collection=b4db47ccc48595a5&amp;job=895e8f817fd773a3&amp;docid=46e4f917ea989928_b4db47ccc48595a5&amp;schid=8001&amp;row=5&amp;page=90" TargetMode="External"/><Relationship Id="rId395" Type="http://schemas.openxmlformats.org/officeDocument/2006/relationships/hyperlink" Target="https://journaliststudio.google.com/pinpoint-extract/preview?collection=b4db47ccc48595a5&amp;job=895e8f817fd773a3&amp;docid=46e4f917ea989928_b4db47ccc48595a5&amp;schid=8001&amp;row=28&amp;page=91" TargetMode="External"/><Relationship Id="rId409" Type="http://schemas.openxmlformats.org/officeDocument/2006/relationships/hyperlink" Target="https://journaliststudio.google.com/pinpoint-extract/preview?collection=b4db47ccc48595a5&amp;job=5df64667a0f8c9c&amp;docid=46e4f917ea989928_b4db47ccc48595a5&amp;schid=8014&amp;row=5&amp;page=92" TargetMode="External"/><Relationship Id="rId71" Type="http://schemas.openxmlformats.org/officeDocument/2006/relationships/hyperlink" Target="https://journaliststudio.google.com/pinpoint-extract/preview?collection=524daaefa335d538&amp;job=9e83ccfd51856513&amp;docid=1244364dcff36f7f_524daaefa335d538&amp;schid=8001&amp;row=17&amp;page=96" TargetMode="External"/><Relationship Id="rId92" Type="http://schemas.openxmlformats.org/officeDocument/2006/relationships/hyperlink" Target="https://journaliststudio.google.com/pinpoint-extract/preview?collection=524daaefa335d538&amp;job=aff84f4d7f79b4bb&amp;docid=1244364dcff36f7f_524daaefa335d538&amp;schid=8009&amp;row=17&amp;page=97" TargetMode="External"/><Relationship Id="rId213" Type="http://schemas.openxmlformats.org/officeDocument/2006/relationships/hyperlink" Target="https://journaliststudio.google.com/pinpoint-extract/preview?collection=59c534ba70c0b75b&amp;job=cc936df0b964dd7e&amp;docid=d5c6addb973fc20e_59c534ba70c0b75b&amp;schid=8020&amp;row=2&amp;page=89" TargetMode="External"/><Relationship Id="rId234" Type="http://schemas.openxmlformats.org/officeDocument/2006/relationships/hyperlink" Target="https://journaliststudio.google.com/pinpoint-extract/preview?collection=94f5d562231d4dd6&amp;job=fff7789bceade090&amp;docid=bb843fadc6314b6e_94f5d562231d4dd6&amp;schid=8001&amp;row=11&amp;page=78" TargetMode="External"/><Relationship Id="rId420" Type="http://schemas.openxmlformats.org/officeDocument/2006/relationships/hyperlink" Target="https://journaliststudio.google.com/pinpoint-extract/preview?collection=b4db47ccc48595a5&amp;job=18497e5e1665fd83&amp;docid=8884d0508c167a2_b4db47ccc48595a5&amp;schid=8001&amp;row=0&amp;page=62" TargetMode="External"/><Relationship Id="rId2" Type="http://schemas.openxmlformats.org/officeDocument/2006/relationships/hyperlink" Target="https://journaliststudio.google.com/pinpoint-extract/preview?collection=524daaefa335d538&amp;job=82bec05f3301547e&amp;docid=3a84e2afec62e521_524daaefa335d538&amp;schid=8001&amp;row=1&amp;page=107" TargetMode="External"/><Relationship Id="rId29" Type="http://schemas.openxmlformats.org/officeDocument/2006/relationships/hyperlink" Target="https://journaliststudio.google.com/pinpoint-extract/preview?collection=524daaefa335d538&amp;job=7c9ee60b62a58c50&amp;docid=3a84e2afec62e521_524daaefa335d538&amp;schid=8009&amp;row=6&amp;page=108" TargetMode="External"/><Relationship Id="rId255" Type="http://schemas.openxmlformats.org/officeDocument/2006/relationships/hyperlink" Target="https://journaliststudio.google.com/pinpoint-extract/preview?collection=94f5d562231d4dd6&amp;job=2903464ad73dbe5e&amp;docid=bb843fadc6314b6e_94f5d562231d4dd6&amp;schid=8009&amp;row=10&amp;page=79" TargetMode="External"/><Relationship Id="rId276" Type="http://schemas.openxmlformats.org/officeDocument/2006/relationships/hyperlink" Target="https://journaliststudio.google.com/pinpoint-extract/preview?collection=94f5d562231d4dd6&amp;job=2903464ad73dbe5e&amp;docid=bb843fadc6314b6e_94f5d562231d4dd6&amp;schid=8009&amp;row=31&amp;page=80" TargetMode="External"/><Relationship Id="rId297" Type="http://schemas.openxmlformats.org/officeDocument/2006/relationships/hyperlink" Target="https://journaliststudio.google.com/pinpoint-extract/preview?collection=59c534ba70c0b75b&amp;job=fe598a2fe5f62708&amp;docid=f9a22023735ef321_59c534ba70c0b75b&amp;schid=8017&amp;row=20&amp;page=80" TargetMode="External"/><Relationship Id="rId441" Type="http://schemas.openxmlformats.org/officeDocument/2006/relationships/hyperlink" Target="https://journaliststudio.google.com/pinpoint-extract/preview?collection=b4db47ccc48595a5&amp;job=18497e5e1665fd83&amp;docid=8884d0508c167a2_b4db47ccc48595a5&amp;schid=8001&amp;row=21&amp;page=63" TargetMode="External"/><Relationship Id="rId40" Type="http://schemas.openxmlformats.org/officeDocument/2006/relationships/hyperlink" Target="https://journaliststudio.google.com/pinpoint-extract/preview?collection=524daaefa335d538&amp;job=7c9ee60b62a58c50&amp;docid=3a84e2afec62e521_524daaefa335d538&amp;schid=8009&amp;row=17&amp;page=108" TargetMode="External"/><Relationship Id="rId115" Type="http://schemas.openxmlformats.org/officeDocument/2006/relationships/hyperlink" Target="https://journaliststudio.google.com/pinpoint-extract/preview?collection=524daaefa335d538&amp;job=2b468061a0dc41f8&amp;docid=1f0f8b47c49b27c2_524daaefa335d538&amp;schid=8001&amp;row=8&amp;page=91" TargetMode="External"/><Relationship Id="rId136" Type="http://schemas.openxmlformats.org/officeDocument/2006/relationships/hyperlink" Target="https://journaliststudio.google.com/pinpoint-extract/preview?collection=524daaefa335d538&amp;job=5f636d3e738a0ef3&amp;docid=1f0f8b47c49b27c2_524daaefa335d538&amp;schid=8009&amp;row=4&amp;page=92" TargetMode="External"/><Relationship Id="rId157" Type="http://schemas.openxmlformats.org/officeDocument/2006/relationships/hyperlink" Target="https://journaliststudio.google.com/pinpoint-extract/preview?collection=524daaefa335d538&amp;job=5f636d3e738a0ef3&amp;docid=1f0f8b47c49b27c2_524daaefa335d538&amp;schid=8009&amp;row=25&amp;page=92" TargetMode="External"/><Relationship Id="rId178" Type="http://schemas.openxmlformats.org/officeDocument/2006/relationships/hyperlink" Target="https://journaliststudio.google.com/pinpoint-extract/preview?collection=59c534ba70c0b75b&amp;job=4c523ebcf60a55b&amp;docid=d5c6addb973fc20e_59c534ba70c0b75b&amp;schid=8001&amp;row=13&amp;page=87" TargetMode="External"/><Relationship Id="rId301" Type="http://schemas.openxmlformats.org/officeDocument/2006/relationships/hyperlink" Target="https://journaliststudio.google.com/pinpoint-extract/preview?collection=59c534ba70c0b75b&amp;job=fe598a2fe5f62708&amp;docid=f9a22023735ef321_59c534ba70c0b75b&amp;schid=8017&amp;row=24&amp;page=80" TargetMode="External"/><Relationship Id="rId322" Type="http://schemas.openxmlformats.org/officeDocument/2006/relationships/hyperlink" Target="https://journaliststudio.google.com/pinpoint-extract/preview?collection=59c534ba70c0b75b&amp;job=d9e8db0be651c98d&amp;docid=f9a22023735ef321_59c534ba70c0b75b&amp;schid=8033&amp;row=5&amp;page=82" TargetMode="External"/><Relationship Id="rId343" Type="http://schemas.openxmlformats.org/officeDocument/2006/relationships/hyperlink" Target="https://journaliststudio.google.com/pinpoint-extract/preview?collection=b4db47ccc48595a5&amp;job=7a46166c988abe25&amp;docid=252734efe751c385_b4db47ccc48595a5&amp;schid=8019&amp;row=19&amp;page=81" TargetMode="External"/><Relationship Id="rId364" Type="http://schemas.openxmlformats.org/officeDocument/2006/relationships/hyperlink" Target="https://journaliststudio.google.com/pinpoint-extract/preview?collection=b4db47ccc48595a5&amp;job=6534cb6435b3b5b3&amp;docid=252734efe751c385_b4db47ccc48595a5&amp;schid=8025&amp;row=7&amp;page=82" TargetMode="External"/><Relationship Id="rId61" Type="http://schemas.openxmlformats.org/officeDocument/2006/relationships/hyperlink" Target="https://journaliststudio.google.com/pinpoint-extract/preview?collection=524daaefa335d538&amp;job=9e83ccfd51856513&amp;docid=1244364dcff36f7f_524daaefa335d538&amp;schid=8001&amp;row=7&amp;page=96" TargetMode="External"/><Relationship Id="rId82" Type="http://schemas.openxmlformats.org/officeDocument/2006/relationships/hyperlink" Target="https://journaliststudio.google.com/pinpoint-extract/preview?collection=524daaefa335d538&amp;job=aff84f4d7f79b4bb&amp;docid=1244364dcff36f7f_524daaefa335d538&amp;schid=8009&amp;row=7&amp;page=97" TargetMode="External"/><Relationship Id="rId199" Type="http://schemas.openxmlformats.org/officeDocument/2006/relationships/hyperlink" Target="https://journaliststudio.google.com/pinpoint-extract/preview?collection=59c534ba70c0b75b&amp;job=c02b390973229d85&amp;docid=d5c6addb973fc20e_59c534ba70c0b75b&amp;schid=8011&amp;row=12&amp;page=88" TargetMode="External"/><Relationship Id="rId203" Type="http://schemas.openxmlformats.org/officeDocument/2006/relationships/hyperlink" Target="https://journaliststudio.google.com/pinpoint-extract/preview?collection=59c534ba70c0b75b&amp;job=c02b390973229d85&amp;docid=d5c6addb973fc20e_59c534ba70c0b75b&amp;schid=8011&amp;row=16&amp;page=88" TargetMode="External"/><Relationship Id="rId385" Type="http://schemas.openxmlformats.org/officeDocument/2006/relationships/hyperlink" Target="https://journaliststudio.google.com/pinpoint-extract/preview?collection=b4db47ccc48595a5&amp;job=895e8f817fd773a3&amp;docid=46e4f917ea989928_b4db47ccc48595a5&amp;schid=8001&amp;row=16&amp;page=90" TargetMode="External"/><Relationship Id="rId19" Type="http://schemas.openxmlformats.org/officeDocument/2006/relationships/hyperlink" Target="https://journaliststudio.google.com/pinpoint-extract/preview?collection=524daaefa335d538&amp;job=82bec05f3301547e&amp;docid=3a84e2afec62e521_524daaefa335d538&amp;schid=8001&amp;row=18&amp;page=107" TargetMode="External"/><Relationship Id="rId224" Type="http://schemas.openxmlformats.org/officeDocument/2006/relationships/hyperlink" Target="https://journaliststudio.google.com/pinpoint-extract/preview?collection=94f5d562231d4dd6&amp;job=fff7789bceade090&amp;docid=bb843fadc6314b6e_94f5d562231d4dd6&amp;schid=8001&amp;row=1&amp;page=78" TargetMode="External"/><Relationship Id="rId245" Type="http://schemas.openxmlformats.org/officeDocument/2006/relationships/hyperlink" Target="https://journaliststudio.google.com/pinpoint-extract/preview?collection=94f5d562231d4dd6&amp;job=2903464ad73dbe5e&amp;docid=bb843fadc6314b6e_94f5d562231d4dd6&amp;schid=8009&amp;row=0&amp;page=79" TargetMode="External"/><Relationship Id="rId266" Type="http://schemas.openxmlformats.org/officeDocument/2006/relationships/hyperlink" Target="https://journaliststudio.google.com/pinpoint-extract/preview?collection=94f5d562231d4dd6&amp;job=2903464ad73dbe5e&amp;docid=bb843fadc6314b6e_94f5d562231d4dd6&amp;schid=8009&amp;row=21&amp;page=80" TargetMode="External"/><Relationship Id="rId287" Type="http://schemas.openxmlformats.org/officeDocument/2006/relationships/hyperlink" Target="https://journaliststudio.google.com/pinpoint-extract/preview?collection=59c534ba70c0b75b&amp;job=a5341a044fbdd001&amp;docid=f9a22023735ef321_59c534ba70c0b75b&amp;schid=8001&amp;row=10&amp;page=79" TargetMode="External"/><Relationship Id="rId410" Type="http://schemas.openxmlformats.org/officeDocument/2006/relationships/hyperlink" Target="https://journaliststudio.google.com/pinpoint-extract/preview?collection=b4db47ccc48595a5&amp;job=5df64667a0f8c9c&amp;docid=46e4f917ea989928_b4db47ccc48595a5&amp;schid=8014&amp;row=6&amp;page=92" TargetMode="External"/><Relationship Id="rId431" Type="http://schemas.openxmlformats.org/officeDocument/2006/relationships/hyperlink" Target="https://journaliststudio.google.com/pinpoint-extract/preview?collection=b4db47ccc48595a5&amp;job=18497e5e1665fd83&amp;docid=8884d0508c167a2_b4db47ccc48595a5&amp;schid=8001&amp;row=11&amp;page=62" TargetMode="External"/><Relationship Id="rId30" Type="http://schemas.openxmlformats.org/officeDocument/2006/relationships/hyperlink" Target="https://journaliststudio.google.com/pinpoint-extract/preview?collection=524daaefa335d538&amp;job=7c9ee60b62a58c50&amp;docid=3a84e2afec62e521_524daaefa335d538&amp;schid=8009&amp;row=7&amp;page=108" TargetMode="External"/><Relationship Id="rId105" Type="http://schemas.openxmlformats.org/officeDocument/2006/relationships/hyperlink" Target="https://journaliststudio.google.com/pinpoint-extract/preview?collection=524daaefa335d538&amp;job=7045c3f8d2ceccc6&amp;docid=1244364dcff36f7f_524daaefa335d538&amp;schid=8017&amp;row=12&amp;page=98" TargetMode="External"/><Relationship Id="rId126" Type="http://schemas.openxmlformats.org/officeDocument/2006/relationships/hyperlink" Target="https://journaliststudio.google.com/pinpoint-extract/preview?collection=524daaefa335d538&amp;job=2b468061a0dc41f8&amp;docid=1f0f8b47c49b27c2_524daaefa335d538&amp;schid=8001&amp;row=19&amp;page=91" TargetMode="External"/><Relationship Id="rId147" Type="http://schemas.openxmlformats.org/officeDocument/2006/relationships/hyperlink" Target="https://journaliststudio.google.com/pinpoint-extract/preview?collection=524daaefa335d538&amp;job=5f636d3e738a0ef3&amp;docid=1f0f8b47c49b27c2_524daaefa335d538&amp;schid=8009&amp;row=15&amp;page=92" TargetMode="External"/><Relationship Id="rId168" Type="http://schemas.openxmlformats.org/officeDocument/2006/relationships/hyperlink" Target="https://journaliststudio.google.com/pinpoint-extract/preview?collection=59c534ba70c0b75b&amp;job=4c523ebcf60a55b&amp;docid=d5c6addb973fc20e_59c534ba70c0b75b&amp;schid=8001&amp;row=3&amp;page=87" TargetMode="External"/><Relationship Id="rId312" Type="http://schemas.openxmlformats.org/officeDocument/2006/relationships/hyperlink" Target="https://journaliststudio.google.com/pinpoint-extract/preview?collection=59c534ba70c0b75b&amp;job=d1722aff98bd1426&amp;docid=f9a22023735ef321_59c534ba70c0b75b&amp;schid=8025&amp;row=9&amp;page=81" TargetMode="External"/><Relationship Id="rId333" Type="http://schemas.openxmlformats.org/officeDocument/2006/relationships/hyperlink" Target="https://journaliststudio.google.com/pinpoint-extract/preview?collection=b4db47ccc48595a5&amp;job=7a46166c988abe25&amp;docid=252734efe751c385_b4db47ccc48595a5&amp;schid=8019&amp;row=7&amp;page=80" TargetMode="External"/><Relationship Id="rId354" Type="http://schemas.openxmlformats.org/officeDocument/2006/relationships/hyperlink" Target="https://journaliststudio.google.com/pinpoint-extract/preview?collection=b4db47ccc48595a5&amp;job=7a46166c988abe25&amp;docid=252734efe751c385_b4db47ccc48595a5&amp;schid=8019&amp;row=30&amp;page=81" TargetMode="External"/><Relationship Id="rId51" Type="http://schemas.openxmlformats.org/officeDocument/2006/relationships/hyperlink" Target="https://journaliststudio.google.com/pinpoint-extract/preview?collection=524daaefa335d538&amp;job=8e63a69ee74905&amp;docid=3a84e2afec62e521_524daaefa335d538&amp;schid=8017&amp;row=5&amp;page=109" TargetMode="External"/><Relationship Id="rId72" Type="http://schemas.openxmlformats.org/officeDocument/2006/relationships/hyperlink" Target="https://journaliststudio.google.com/pinpoint-extract/preview?collection=524daaefa335d538&amp;job=9e83ccfd51856513&amp;docid=1244364dcff36f7f_524daaefa335d538&amp;schid=8001&amp;row=18&amp;page=96" TargetMode="External"/><Relationship Id="rId93" Type="http://schemas.openxmlformats.org/officeDocument/2006/relationships/hyperlink" Target="https://journaliststudio.google.com/pinpoint-extract/preview?collection=524daaefa335d538&amp;job=7045c3f8d2ceccc6&amp;docid=1244364dcff36f7f_524daaefa335d538&amp;schid=8017&amp;row=0&amp;page=98" TargetMode="External"/><Relationship Id="rId189" Type="http://schemas.openxmlformats.org/officeDocument/2006/relationships/hyperlink" Target="https://journaliststudio.google.com/pinpoint-extract/preview?collection=59c534ba70c0b75b&amp;job=c02b390973229d85&amp;docid=d5c6addb973fc20e_59c534ba70c0b75b&amp;schid=8011&amp;row=2&amp;page=88" TargetMode="External"/><Relationship Id="rId375" Type="http://schemas.openxmlformats.org/officeDocument/2006/relationships/hyperlink" Target="https://journaliststudio.google.com/pinpoint-extract/preview?collection=b4db47ccc48595a5&amp;job=895e8f817fd773a3&amp;docid=46e4f917ea989928_b4db47ccc48595a5&amp;schid=8001&amp;row=6&amp;page=90" TargetMode="External"/><Relationship Id="rId396" Type="http://schemas.openxmlformats.org/officeDocument/2006/relationships/hyperlink" Target="https://journaliststudio.google.com/pinpoint-extract/preview?collection=b4db47ccc48595a5&amp;job=895e8f817fd773a3&amp;docid=46e4f917ea989928_b4db47ccc48595a5&amp;schid=8001&amp;row=29&amp;page=91" TargetMode="External"/><Relationship Id="rId3" Type="http://schemas.openxmlformats.org/officeDocument/2006/relationships/hyperlink" Target="https://journaliststudio.google.com/pinpoint-extract/preview?collection=524daaefa335d538&amp;job=82bec05f3301547e&amp;docid=3a84e2afec62e521_524daaefa335d538&amp;schid=8001&amp;row=2&amp;page=107" TargetMode="External"/><Relationship Id="rId214" Type="http://schemas.openxmlformats.org/officeDocument/2006/relationships/hyperlink" Target="https://journaliststudio.google.com/pinpoint-extract/preview?collection=59c534ba70c0b75b&amp;job=cc936df0b964dd7e&amp;docid=d5c6addb973fc20e_59c534ba70c0b75b&amp;schid=8020&amp;row=3&amp;page=89" TargetMode="External"/><Relationship Id="rId235" Type="http://schemas.openxmlformats.org/officeDocument/2006/relationships/hyperlink" Target="https://journaliststudio.google.com/pinpoint-extract/preview?collection=94f5d562231d4dd6&amp;job=fff7789bceade090&amp;docid=bb843fadc6314b6e_94f5d562231d4dd6&amp;schid=8001&amp;row=12&amp;page=78" TargetMode="External"/><Relationship Id="rId256" Type="http://schemas.openxmlformats.org/officeDocument/2006/relationships/hyperlink" Target="https://journaliststudio.google.com/pinpoint-extract/preview?collection=94f5d562231d4dd6&amp;job=2903464ad73dbe5e&amp;docid=bb843fadc6314b6e_94f5d562231d4dd6&amp;schid=8009&amp;row=11&amp;page=79" TargetMode="External"/><Relationship Id="rId277" Type="http://schemas.openxmlformats.org/officeDocument/2006/relationships/hyperlink" Target="https://journaliststudio.google.com/pinpoint-extract/preview?collection=59c534ba70c0b75b&amp;job=a5341a044fbdd001&amp;docid=f9a22023735ef321_59c534ba70c0b75b&amp;schid=8001&amp;row=0&amp;page=79" TargetMode="External"/><Relationship Id="rId298" Type="http://schemas.openxmlformats.org/officeDocument/2006/relationships/hyperlink" Target="https://journaliststudio.google.com/pinpoint-extract/preview?collection=59c534ba70c0b75b&amp;job=fe598a2fe5f62708&amp;docid=f9a22023735ef321_59c534ba70c0b75b&amp;schid=8017&amp;row=21&amp;page=80" TargetMode="External"/><Relationship Id="rId400" Type="http://schemas.openxmlformats.org/officeDocument/2006/relationships/hyperlink" Target="https://journaliststudio.google.com/pinpoint-extract/preview?collection=b4db47ccc48595a5&amp;job=895e8f817fd773a3&amp;docid=46e4f917ea989928_b4db47ccc48595a5&amp;schid=8001&amp;row=33&amp;page=91" TargetMode="External"/><Relationship Id="rId421" Type="http://schemas.openxmlformats.org/officeDocument/2006/relationships/hyperlink" Target="https://journaliststudio.google.com/pinpoint-extract/preview?collection=b4db47ccc48595a5&amp;job=18497e5e1665fd83&amp;docid=8884d0508c167a2_b4db47ccc48595a5&amp;schid=8001&amp;row=1&amp;page=62" TargetMode="External"/><Relationship Id="rId442" Type="http://schemas.openxmlformats.org/officeDocument/2006/relationships/hyperlink" Target="https://journaliststudio.google.com/pinpoint-extract/preview?collection=b4db47ccc48595a5&amp;job=18497e5e1665fd83&amp;docid=8884d0508c167a2_b4db47ccc48595a5&amp;schid=8001&amp;row=22&amp;page=63" TargetMode="External"/><Relationship Id="rId116" Type="http://schemas.openxmlformats.org/officeDocument/2006/relationships/hyperlink" Target="https://journaliststudio.google.com/pinpoint-extract/preview?collection=524daaefa335d538&amp;job=2b468061a0dc41f8&amp;docid=1f0f8b47c49b27c2_524daaefa335d538&amp;schid=8001&amp;row=9&amp;page=91" TargetMode="External"/><Relationship Id="rId137" Type="http://schemas.openxmlformats.org/officeDocument/2006/relationships/hyperlink" Target="https://journaliststudio.google.com/pinpoint-extract/preview?collection=524daaefa335d538&amp;job=5f636d3e738a0ef3&amp;docid=1f0f8b47c49b27c2_524daaefa335d538&amp;schid=8009&amp;row=5&amp;page=92" TargetMode="External"/><Relationship Id="rId158" Type="http://schemas.openxmlformats.org/officeDocument/2006/relationships/hyperlink" Target="https://journaliststudio.google.com/pinpoint-extract/preview?collection=524daaefa335d538&amp;job=5f636d3e738a0ef3&amp;docid=1f0f8b47c49b27c2_524daaefa335d538&amp;schid=8009&amp;row=26&amp;page=92" TargetMode="External"/><Relationship Id="rId302" Type="http://schemas.openxmlformats.org/officeDocument/2006/relationships/hyperlink" Target="https://journaliststudio.google.com/pinpoint-extract/preview?collection=59c534ba70c0b75b&amp;job=fe598a2fe5f62708&amp;docid=f9a22023735ef321_59c534ba70c0b75b&amp;schid=8017&amp;row=25&amp;page=80" TargetMode="External"/><Relationship Id="rId323" Type="http://schemas.openxmlformats.org/officeDocument/2006/relationships/hyperlink" Target="https://journaliststudio.google.com/pinpoint-extract/preview?collection=59c534ba70c0b75b&amp;job=d9e8db0be651c98d&amp;docid=f9a22023735ef321_59c534ba70c0b75b&amp;schid=8033&amp;row=6&amp;page=82" TargetMode="External"/><Relationship Id="rId344" Type="http://schemas.openxmlformats.org/officeDocument/2006/relationships/hyperlink" Target="https://journaliststudio.google.com/pinpoint-extract/preview?collection=b4db47ccc48595a5&amp;job=7a46166c988abe25&amp;docid=252734efe751c385_b4db47ccc48595a5&amp;schid=8019&amp;row=20&amp;page=81" TargetMode="External"/><Relationship Id="rId20" Type="http://schemas.openxmlformats.org/officeDocument/2006/relationships/hyperlink" Target="https://journaliststudio.google.com/pinpoint-extract/preview?collection=524daaefa335d538&amp;job=82bec05f3301547e&amp;docid=3a84e2afec62e521_524daaefa335d538&amp;schid=8001&amp;row=19&amp;page=107" TargetMode="External"/><Relationship Id="rId41" Type="http://schemas.openxmlformats.org/officeDocument/2006/relationships/hyperlink" Target="https://journaliststudio.google.com/pinpoint-extract/preview?collection=524daaefa335d538&amp;job=7c9ee60b62a58c50&amp;docid=3a84e2afec62e521_524daaefa335d538&amp;schid=8009&amp;row=18&amp;page=108" TargetMode="External"/><Relationship Id="rId62" Type="http://schemas.openxmlformats.org/officeDocument/2006/relationships/hyperlink" Target="https://journaliststudio.google.com/pinpoint-extract/preview?collection=524daaefa335d538&amp;job=9e83ccfd51856513&amp;docid=1244364dcff36f7f_524daaefa335d538&amp;schid=8001&amp;row=8&amp;page=96" TargetMode="External"/><Relationship Id="rId83" Type="http://schemas.openxmlformats.org/officeDocument/2006/relationships/hyperlink" Target="https://journaliststudio.google.com/pinpoint-extract/preview?collection=524daaefa335d538&amp;job=aff84f4d7f79b4bb&amp;docid=1244364dcff36f7f_524daaefa335d538&amp;schid=8009&amp;row=8&amp;page=97" TargetMode="External"/><Relationship Id="rId179" Type="http://schemas.openxmlformats.org/officeDocument/2006/relationships/hyperlink" Target="https://journaliststudio.google.com/pinpoint-extract/preview?collection=59c534ba70c0b75b&amp;job=4c523ebcf60a55b&amp;docid=d5c6addb973fc20e_59c534ba70c0b75b&amp;schid=8001&amp;row=14&amp;page=87" TargetMode="External"/><Relationship Id="rId365" Type="http://schemas.openxmlformats.org/officeDocument/2006/relationships/hyperlink" Target="https://journaliststudio.google.com/pinpoint-extract/preview?collection=b4db47ccc48595a5&amp;job=6534cb6435b3b5b3&amp;docid=252734efe751c385_b4db47ccc48595a5&amp;schid=8025&amp;row=8&amp;page=82" TargetMode="External"/><Relationship Id="rId386" Type="http://schemas.openxmlformats.org/officeDocument/2006/relationships/hyperlink" Target="https://journaliststudio.google.com/pinpoint-extract/preview?collection=b4db47ccc48595a5&amp;job=895e8f817fd773a3&amp;docid=46e4f917ea989928_b4db47ccc48595a5&amp;schid=8001&amp;row=19&amp;page=91" TargetMode="External"/><Relationship Id="rId190" Type="http://schemas.openxmlformats.org/officeDocument/2006/relationships/hyperlink" Target="https://journaliststudio.google.com/pinpoint-extract/preview?collection=59c534ba70c0b75b&amp;job=c02b390973229d85&amp;docid=d5c6addb973fc20e_59c534ba70c0b75b&amp;schid=8011&amp;row=3&amp;page=88" TargetMode="External"/><Relationship Id="rId204" Type="http://schemas.openxmlformats.org/officeDocument/2006/relationships/hyperlink" Target="https://journaliststudio.google.com/pinpoint-extract/preview?collection=59c534ba70c0b75b&amp;job=c02b390973229d85&amp;docid=d5c6addb973fc20e_59c534ba70c0b75b&amp;schid=8011&amp;row=17&amp;page=88" TargetMode="External"/><Relationship Id="rId225" Type="http://schemas.openxmlformats.org/officeDocument/2006/relationships/hyperlink" Target="https://journaliststudio.google.com/pinpoint-extract/preview?collection=94f5d562231d4dd6&amp;job=fff7789bceade090&amp;docid=bb843fadc6314b6e_94f5d562231d4dd6&amp;schid=8001&amp;row=2&amp;page=78" TargetMode="External"/><Relationship Id="rId246" Type="http://schemas.openxmlformats.org/officeDocument/2006/relationships/hyperlink" Target="https://journaliststudio.google.com/pinpoint-extract/preview?collection=94f5d562231d4dd6&amp;job=2903464ad73dbe5e&amp;docid=bb843fadc6314b6e_94f5d562231d4dd6&amp;schid=8009&amp;row=1&amp;page=79" TargetMode="External"/><Relationship Id="rId267" Type="http://schemas.openxmlformats.org/officeDocument/2006/relationships/hyperlink" Target="https://journaliststudio.google.com/pinpoint-extract/preview?collection=94f5d562231d4dd6&amp;job=2903464ad73dbe5e&amp;docid=bb843fadc6314b6e_94f5d562231d4dd6&amp;schid=8009&amp;row=22&amp;page=80" TargetMode="External"/><Relationship Id="rId288" Type="http://schemas.openxmlformats.org/officeDocument/2006/relationships/hyperlink" Target="https://journaliststudio.google.com/pinpoint-extract/preview?collection=59c534ba70c0b75b&amp;job=a5341a044fbdd001&amp;docid=f9a22023735ef321_59c534ba70c0b75b&amp;schid=8001&amp;row=11&amp;page=79" TargetMode="External"/><Relationship Id="rId411" Type="http://schemas.openxmlformats.org/officeDocument/2006/relationships/hyperlink" Target="https://journaliststudio.google.com/pinpoint-extract/preview?collection=b4db47ccc48595a5&amp;job=5df64667a0f8c9c&amp;docid=46e4f917ea989928_b4db47ccc48595a5&amp;schid=8014&amp;row=7&amp;page=92" TargetMode="External"/><Relationship Id="rId432" Type="http://schemas.openxmlformats.org/officeDocument/2006/relationships/hyperlink" Target="https://journaliststudio.google.com/pinpoint-extract/preview?collection=b4db47ccc48595a5&amp;job=18497e5e1665fd83&amp;docid=8884d0508c167a2_b4db47ccc48595a5&amp;schid=8001&amp;row=12&amp;page=63" TargetMode="External"/><Relationship Id="rId106" Type="http://schemas.openxmlformats.org/officeDocument/2006/relationships/hyperlink" Target="https://journaliststudio.google.com/pinpoint-extract/preview?collection=524daaefa335d538&amp;job=7045c3f8d2ceccc6&amp;docid=1244364dcff36f7f_524daaefa335d538&amp;schid=8017&amp;row=13&amp;page=98" TargetMode="External"/><Relationship Id="rId127" Type="http://schemas.openxmlformats.org/officeDocument/2006/relationships/hyperlink" Target="https://journaliststudio.google.com/pinpoint-extract/preview?collection=524daaefa335d538&amp;job=2b468061a0dc41f8&amp;docid=1f0f8b47c49b27c2_524daaefa335d538&amp;schid=8001&amp;row=20&amp;page=91" TargetMode="External"/><Relationship Id="rId313" Type="http://schemas.openxmlformats.org/officeDocument/2006/relationships/hyperlink" Target="https://journaliststudio.google.com/pinpoint-extract/preview?collection=59c534ba70c0b75b&amp;job=d1722aff98bd1426&amp;docid=f9a22023735ef321_59c534ba70c0b75b&amp;schid=8025&amp;row=10&amp;page=81" TargetMode="External"/><Relationship Id="rId10" Type="http://schemas.openxmlformats.org/officeDocument/2006/relationships/hyperlink" Target="https://journaliststudio.google.com/pinpoint-extract/preview?collection=524daaefa335d538&amp;job=82bec05f3301547e&amp;docid=3a84e2afec62e521_524daaefa335d538&amp;schid=8001&amp;row=9&amp;page=107" TargetMode="External"/><Relationship Id="rId31" Type="http://schemas.openxmlformats.org/officeDocument/2006/relationships/hyperlink" Target="https://journaliststudio.google.com/pinpoint-extract/preview?collection=524daaefa335d538&amp;job=7c9ee60b62a58c50&amp;docid=3a84e2afec62e521_524daaefa335d538&amp;schid=8009&amp;row=8&amp;page=108" TargetMode="External"/><Relationship Id="rId52" Type="http://schemas.openxmlformats.org/officeDocument/2006/relationships/hyperlink" Target="https://journaliststudio.google.com/pinpoint-extract/preview?collection=524daaefa335d538&amp;job=8e63a69ee74905&amp;docid=3a84e2afec62e521_524daaefa335d538&amp;schid=8017&amp;row=6&amp;page=109" TargetMode="External"/><Relationship Id="rId73" Type="http://schemas.openxmlformats.org/officeDocument/2006/relationships/hyperlink" Target="https://journaliststudio.google.com/pinpoint-extract/preview?collection=524daaefa335d538&amp;job=9e83ccfd51856513&amp;docid=1244364dcff36f7f_524daaefa335d538&amp;schid=8001&amp;row=19&amp;page=96" TargetMode="External"/><Relationship Id="rId94" Type="http://schemas.openxmlformats.org/officeDocument/2006/relationships/hyperlink" Target="https://journaliststudio.google.com/pinpoint-extract/preview?collection=524daaefa335d538&amp;job=7045c3f8d2ceccc6&amp;docid=1244364dcff36f7f_524daaefa335d538&amp;schid=8017&amp;row=1&amp;page=98" TargetMode="External"/><Relationship Id="rId148" Type="http://schemas.openxmlformats.org/officeDocument/2006/relationships/hyperlink" Target="https://journaliststudio.google.com/pinpoint-extract/preview?collection=524daaefa335d538&amp;job=5f636d3e738a0ef3&amp;docid=1f0f8b47c49b27c2_524daaefa335d538&amp;schid=8009&amp;row=16&amp;page=92" TargetMode="External"/><Relationship Id="rId169" Type="http://schemas.openxmlformats.org/officeDocument/2006/relationships/hyperlink" Target="https://journaliststudio.google.com/pinpoint-extract/preview?collection=59c534ba70c0b75b&amp;job=4c523ebcf60a55b&amp;docid=d5c6addb973fc20e_59c534ba70c0b75b&amp;schid=8001&amp;row=4&amp;page=87" TargetMode="External"/><Relationship Id="rId334" Type="http://schemas.openxmlformats.org/officeDocument/2006/relationships/hyperlink" Target="https://journaliststudio.google.com/pinpoint-extract/preview?collection=b4db47ccc48595a5&amp;job=7a46166c988abe25&amp;docid=252734efe751c385_b4db47ccc48595a5&amp;schid=8019&amp;row=8&amp;page=80" TargetMode="External"/><Relationship Id="rId355" Type="http://schemas.openxmlformats.org/officeDocument/2006/relationships/hyperlink" Target="https://journaliststudio.google.com/pinpoint-extract/preview?collection=b4db47ccc48595a5&amp;job=7a46166c988abe25&amp;docid=252734efe751c385_b4db47ccc48595a5&amp;schid=8019&amp;row=31&amp;page=81" TargetMode="External"/><Relationship Id="rId376" Type="http://schemas.openxmlformats.org/officeDocument/2006/relationships/hyperlink" Target="https://journaliststudio.google.com/pinpoint-extract/preview?collection=b4db47ccc48595a5&amp;job=895e8f817fd773a3&amp;docid=46e4f917ea989928_b4db47ccc48595a5&amp;schid=8001&amp;row=7&amp;page=90" TargetMode="External"/><Relationship Id="rId397" Type="http://schemas.openxmlformats.org/officeDocument/2006/relationships/hyperlink" Target="https://journaliststudio.google.com/pinpoint-extract/preview?collection=b4db47ccc48595a5&amp;job=895e8f817fd773a3&amp;docid=46e4f917ea989928_b4db47ccc48595a5&amp;schid=8001&amp;row=30&amp;page=91" TargetMode="External"/><Relationship Id="rId4" Type="http://schemas.openxmlformats.org/officeDocument/2006/relationships/hyperlink" Target="https://journaliststudio.google.com/pinpoint-extract/preview?collection=524daaefa335d538&amp;job=82bec05f3301547e&amp;docid=3a84e2afec62e521_524daaefa335d538&amp;schid=8001&amp;row=3&amp;page=107" TargetMode="External"/><Relationship Id="rId180" Type="http://schemas.openxmlformats.org/officeDocument/2006/relationships/hyperlink" Target="https://journaliststudio.google.com/pinpoint-extract/preview?collection=59c534ba70c0b75b&amp;job=4c523ebcf60a55b&amp;docid=d5c6addb973fc20e_59c534ba70c0b75b&amp;schid=8001&amp;row=15&amp;page=87" TargetMode="External"/><Relationship Id="rId215" Type="http://schemas.openxmlformats.org/officeDocument/2006/relationships/hyperlink" Target="https://journaliststudio.google.com/pinpoint-extract/preview?collection=59c534ba70c0b75b&amp;job=cc936df0b964dd7e&amp;docid=d5c6addb973fc20e_59c534ba70c0b75b&amp;schid=8020&amp;row=4&amp;page=89" TargetMode="External"/><Relationship Id="rId236" Type="http://schemas.openxmlformats.org/officeDocument/2006/relationships/hyperlink" Target="https://journaliststudio.google.com/pinpoint-extract/preview?collection=94f5d562231d4dd6&amp;job=fff7789bceade090&amp;docid=bb843fadc6314b6e_94f5d562231d4dd6&amp;schid=8001&amp;row=13&amp;page=78" TargetMode="External"/><Relationship Id="rId257" Type="http://schemas.openxmlformats.org/officeDocument/2006/relationships/hyperlink" Target="https://journaliststudio.google.com/pinpoint-extract/preview?collection=94f5d562231d4dd6&amp;job=2903464ad73dbe5e&amp;docid=bb843fadc6314b6e_94f5d562231d4dd6&amp;schid=8009&amp;row=12&amp;page=79" TargetMode="External"/><Relationship Id="rId278" Type="http://schemas.openxmlformats.org/officeDocument/2006/relationships/hyperlink" Target="https://journaliststudio.google.com/pinpoint-extract/preview?collection=59c534ba70c0b75b&amp;job=a5341a044fbdd001&amp;docid=f9a22023735ef321_59c534ba70c0b75b&amp;schid=8001&amp;row=1&amp;page=79" TargetMode="External"/><Relationship Id="rId401" Type="http://schemas.openxmlformats.org/officeDocument/2006/relationships/hyperlink" Target="https://journaliststudio.google.com/pinpoint-extract/preview?collection=b4db47ccc48595a5&amp;job=895e8f817fd773a3&amp;docid=46e4f917ea989928_b4db47ccc48595a5&amp;schid=8001&amp;row=34&amp;page=91" TargetMode="External"/><Relationship Id="rId422" Type="http://schemas.openxmlformats.org/officeDocument/2006/relationships/hyperlink" Target="https://journaliststudio.google.com/pinpoint-extract/preview?collection=b4db47ccc48595a5&amp;job=18497e5e1665fd83&amp;docid=8884d0508c167a2_b4db47ccc48595a5&amp;schid=8001&amp;row=2&amp;page=62" TargetMode="External"/><Relationship Id="rId443" Type="http://schemas.openxmlformats.org/officeDocument/2006/relationships/hyperlink" Target="https://journaliststudio.google.com/pinpoint-extract/preview?collection=b4db47ccc48595a5&amp;job=18497e5e1665fd83&amp;docid=8884d0508c167a2_b4db47ccc48595a5&amp;schid=8001&amp;row=23&amp;page=63" TargetMode="External"/><Relationship Id="rId303" Type="http://schemas.openxmlformats.org/officeDocument/2006/relationships/hyperlink" Target="https://journaliststudio.google.com/pinpoint-extract/preview?collection=59c534ba70c0b75b&amp;job=d1722aff98bd1426&amp;docid=f9a22023735ef321_59c534ba70c0b75b&amp;schid=8025&amp;row=0&amp;page=81" TargetMode="External"/><Relationship Id="rId42" Type="http://schemas.openxmlformats.org/officeDocument/2006/relationships/hyperlink" Target="https://journaliststudio.google.com/pinpoint-extract/preview?collection=524daaefa335d538&amp;job=7c9ee60b62a58c50&amp;docid=3a84e2afec62e521_524daaefa335d538&amp;schid=8009&amp;row=19&amp;page=108" TargetMode="External"/><Relationship Id="rId84" Type="http://schemas.openxmlformats.org/officeDocument/2006/relationships/hyperlink" Target="https://journaliststudio.google.com/pinpoint-extract/preview?collection=524daaefa335d538&amp;job=aff84f4d7f79b4bb&amp;docid=1244364dcff36f7f_524daaefa335d538&amp;schid=8009&amp;row=9&amp;page=97" TargetMode="External"/><Relationship Id="rId138" Type="http://schemas.openxmlformats.org/officeDocument/2006/relationships/hyperlink" Target="https://journaliststudio.google.com/pinpoint-extract/preview?collection=524daaefa335d538&amp;job=5f636d3e738a0ef3&amp;docid=1f0f8b47c49b27c2_524daaefa335d538&amp;schid=8009&amp;row=6&amp;page=92" TargetMode="External"/><Relationship Id="rId345" Type="http://schemas.openxmlformats.org/officeDocument/2006/relationships/hyperlink" Target="https://journaliststudio.google.com/pinpoint-extract/preview?collection=b4db47ccc48595a5&amp;job=7a46166c988abe25&amp;docid=252734efe751c385_b4db47ccc48595a5&amp;schid=8019&amp;row=21&amp;page=81" TargetMode="External"/><Relationship Id="rId387" Type="http://schemas.openxmlformats.org/officeDocument/2006/relationships/hyperlink" Target="https://journaliststudio.google.com/pinpoint-extract/preview?collection=b4db47ccc48595a5&amp;job=895e8f817fd773a3&amp;docid=46e4f917ea989928_b4db47ccc48595a5&amp;schid=8001&amp;row=20&amp;page=91" TargetMode="External"/><Relationship Id="rId191" Type="http://schemas.openxmlformats.org/officeDocument/2006/relationships/hyperlink" Target="https://journaliststudio.google.com/pinpoint-extract/preview?collection=59c534ba70c0b75b&amp;job=c02b390973229d85&amp;docid=d5c6addb973fc20e_59c534ba70c0b75b&amp;schid=8011&amp;row=4&amp;page=88" TargetMode="External"/><Relationship Id="rId205" Type="http://schemas.openxmlformats.org/officeDocument/2006/relationships/hyperlink" Target="https://journaliststudio.google.com/pinpoint-extract/preview?collection=59c534ba70c0b75b&amp;job=c02b390973229d85&amp;docid=d5c6addb973fc20e_59c534ba70c0b75b&amp;schid=8011&amp;row=18&amp;page=88" TargetMode="External"/><Relationship Id="rId247" Type="http://schemas.openxmlformats.org/officeDocument/2006/relationships/hyperlink" Target="https://journaliststudio.google.com/pinpoint-extract/preview?collection=94f5d562231d4dd6&amp;job=2903464ad73dbe5e&amp;docid=bb843fadc6314b6e_94f5d562231d4dd6&amp;schid=8009&amp;row=2&amp;page=79" TargetMode="External"/><Relationship Id="rId412" Type="http://schemas.openxmlformats.org/officeDocument/2006/relationships/hyperlink" Target="https://journaliststudio.google.com/pinpoint-extract/preview?collection=b4db47ccc48595a5&amp;job=5df64667a0f8c9c&amp;docid=46e4f917ea989928_b4db47ccc48595a5&amp;schid=8014&amp;row=8&amp;page=92" TargetMode="External"/><Relationship Id="rId107" Type="http://schemas.openxmlformats.org/officeDocument/2006/relationships/hyperlink" Target="https://journaliststudio.google.com/pinpoint-extract/preview?collection=524daaefa335d538&amp;job=2b468061a0dc41f8&amp;docid=1f0f8b47c49b27c2_524daaefa335d538&amp;schid=8001&amp;row=0&amp;page=91" TargetMode="External"/><Relationship Id="rId289" Type="http://schemas.openxmlformats.org/officeDocument/2006/relationships/hyperlink" Target="https://journaliststudio.google.com/pinpoint-extract/preview?collection=59c534ba70c0b75b&amp;job=a5341a044fbdd001&amp;docid=f9a22023735ef321_59c534ba70c0b75b&amp;schid=8001&amp;row=12&amp;page=79" TargetMode="External"/><Relationship Id="rId11" Type="http://schemas.openxmlformats.org/officeDocument/2006/relationships/hyperlink" Target="https://journaliststudio.google.com/pinpoint-extract/preview?collection=524daaefa335d538&amp;job=82bec05f3301547e&amp;docid=3a84e2afec62e521_524daaefa335d538&amp;schid=8001&amp;row=10&amp;page=107" TargetMode="External"/><Relationship Id="rId53" Type="http://schemas.openxmlformats.org/officeDocument/2006/relationships/hyperlink" Target="https://journaliststudio.google.com/pinpoint-extract/preview?collection=524daaefa335d538&amp;job=8e63a69ee74905&amp;docid=3a84e2afec62e521_524daaefa335d538&amp;schid=8017&amp;row=7&amp;page=109" TargetMode="External"/><Relationship Id="rId149" Type="http://schemas.openxmlformats.org/officeDocument/2006/relationships/hyperlink" Target="https://journaliststudio.google.com/pinpoint-extract/preview?collection=524daaefa335d538&amp;job=5f636d3e738a0ef3&amp;docid=1f0f8b47c49b27c2_524daaefa335d538&amp;schid=8009&amp;row=17&amp;page=92" TargetMode="External"/><Relationship Id="rId314" Type="http://schemas.openxmlformats.org/officeDocument/2006/relationships/hyperlink" Target="https://journaliststudio.google.com/pinpoint-extract/preview?collection=59c534ba70c0b75b&amp;job=d1722aff98bd1426&amp;docid=f9a22023735ef321_59c534ba70c0b75b&amp;schid=8025&amp;row=11&amp;page=81" TargetMode="External"/><Relationship Id="rId356" Type="http://schemas.openxmlformats.org/officeDocument/2006/relationships/hyperlink" Target="https://journaliststudio.google.com/pinpoint-extract/preview?collection=b4db47ccc48595a5&amp;job=6534cb6435b3b5b3&amp;docid=252734efe751c385_b4db47ccc48595a5&amp;schid=8025&amp;row=0&amp;page=82" TargetMode="External"/><Relationship Id="rId398" Type="http://schemas.openxmlformats.org/officeDocument/2006/relationships/hyperlink" Target="https://journaliststudio.google.com/pinpoint-extract/preview?collection=b4db47ccc48595a5&amp;job=895e8f817fd773a3&amp;docid=46e4f917ea989928_b4db47ccc48595a5&amp;schid=8001&amp;row=31&amp;page=91" TargetMode="External"/><Relationship Id="rId95" Type="http://schemas.openxmlformats.org/officeDocument/2006/relationships/hyperlink" Target="https://journaliststudio.google.com/pinpoint-extract/preview?collection=524daaefa335d538&amp;job=7045c3f8d2ceccc6&amp;docid=1244364dcff36f7f_524daaefa335d538&amp;schid=8017&amp;row=2&amp;page=98" TargetMode="External"/><Relationship Id="rId160" Type="http://schemas.openxmlformats.org/officeDocument/2006/relationships/hyperlink" Target="https://journaliststudio.google.com/pinpoint-extract/preview?collection=524daaefa335d538&amp;job=fb089ee82906230c&amp;docid=1f0f8b47c49b27c2_524daaefa335d538&amp;schid=8015&amp;row=1&amp;page=93" TargetMode="External"/><Relationship Id="rId216" Type="http://schemas.openxmlformats.org/officeDocument/2006/relationships/hyperlink" Target="https://journaliststudio.google.com/pinpoint-extract/preview?collection=59c534ba70c0b75b&amp;job=cc936df0b964dd7e&amp;docid=d5c6addb973fc20e_59c534ba70c0b75b&amp;schid=8020&amp;row=5&amp;page=89" TargetMode="External"/><Relationship Id="rId423" Type="http://schemas.openxmlformats.org/officeDocument/2006/relationships/hyperlink" Target="https://journaliststudio.google.com/pinpoint-extract/preview?collection=b4db47ccc48595a5&amp;job=18497e5e1665fd83&amp;docid=8884d0508c167a2_b4db47ccc48595a5&amp;schid=8001&amp;row=3&amp;page=62" TargetMode="External"/><Relationship Id="rId258" Type="http://schemas.openxmlformats.org/officeDocument/2006/relationships/hyperlink" Target="https://journaliststudio.google.com/pinpoint-extract/preview?collection=94f5d562231d4dd6&amp;job=2903464ad73dbe5e&amp;docid=bb843fadc6314b6e_94f5d562231d4dd6&amp;schid=8009&amp;row=13&amp;page=79" TargetMode="External"/><Relationship Id="rId22" Type="http://schemas.openxmlformats.org/officeDocument/2006/relationships/hyperlink" Target="https://journaliststudio.google.com/pinpoint-extract/preview?collection=524daaefa335d538&amp;job=82bec05f3301547e&amp;docid=3a84e2afec62e521_524daaefa335d538&amp;schid=8001&amp;row=21&amp;page=107" TargetMode="External"/><Relationship Id="rId64" Type="http://schemas.openxmlformats.org/officeDocument/2006/relationships/hyperlink" Target="https://journaliststudio.google.com/pinpoint-extract/preview?collection=524daaefa335d538&amp;job=9e83ccfd51856513&amp;docid=1244364dcff36f7f_524daaefa335d538&amp;schid=8001&amp;row=10&amp;page=96" TargetMode="External"/><Relationship Id="rId118" Type="http://schemas.openxmlformats.org/officeDocument/2006/relationships/hyperlink" Target="https://journaliststudio.google.com/pinpoint-extract/preview?collection=524daaefa335d538&amp;job=2b468061a0dc41f8&amp;docid=1f0f8b47c49b27c2_524daaefa335d538&amp;schid=8001&amp;row=11&amp;page=91" TargetMode="External"/><Relationship Id="rId325" Type="http://schemas.openxmlformats.org/officeDocument/2006/relationships/hyperlink" Target="https://journaliststudio.google.com/pinpoint-extract/preview?collection=59c534ba70c0b75b&amp;job=d9e8db0be651c98d&amp;docid=f9a22023735ef321_59c534ba70c0b75b&amp;schid=8033&amp;row=8&amp;page=82" TargetMode="External"/><Relationship Id="rId367" Type="http://schemas.openxmlformats.org/officeDocument/2006/relationships/hyperlink" Target="https://journaliststudio.google.com/pinpoint-extract/preview?collection=b4db47ccc48595a5&amp;job=6534cb6435b3b5b3&amp;docid=252734efe751c385_b4db47ccc48595a5&amp;schid=8025&amp;row=10&amp;page=82" TargetMode="External"/><Relationship Id="rId171" Type="http://schemas.openxmlformats.org/officeDocument/2006/relationships/hyperlink" Target="https://journaliststudio.google.com/pinpoint-extract/preview?collection=59c534ba70c0b75b&amp;job=4c523ebcf60a55b&amp;docid=d5c6addb973fc20e_59c534ba70c0b75b&amp;schid=8001&amp;row=6&amp;page=87" TargetMode="External"/><Relationship Id="rId227" Type="http://schemas.openxmlformats.org/officeDocument/2006/relationships/hyperlink" Target="https://journaliststudio.google.com/pinpoint-extract/preview?collection=94f5d562231d4dd6&amp;job=fff7789bceade090&amp;docid=bb843fadc6314b6e_94f5d562231d4dd6&amp;schid=8001&amp;row=4&amp;page=78" TargetMode="External"/><Relationship Id="rId269" Type="http://schemas.openxmlformats.org/officeDocument/2006/relationships/hyperlink" Target="https://journaliststudio.google.com/pinpoint-extract/preview?collection=94f5d562231d4dd6&amp;job=2903464ad73dbe5e&amp;docid=bb843fadc6314b6e_94f5d562231d4dd6&amp;schid=8009&amp;row=24&amp;page=80" TargetMode="External"/><Relationship Id="rId434" Type="http://schemas.openxmlformats.org/officeDocument/2006/relationships/hyperlink" Target="https://journaliststudio.google.com/pinpoint-extract/preview?collection=b4db47ccc48595a5&amp;job=18497e5e1665fd83&amp;docid=8884d0508c167a2_b4db47ccc48595a5&amp;schid=8001&amp;row=14&amp;page=63" TargetMode="External"/><Relationship Id="rId33" Type="http://schemas.openxmlformats.org/officeDocument/2006/relationships/hyperlink" Target="https://journaliststudio.google.com/pinpoint-extract/preview?collection=524daaefa335d538&amp;job=7c9ee60b62a58c50&amp;docid=3a84e2afec62e521_524daaefa335d538&amp;schid=8009&amp;row=10&amp;page=108" TargetMode="External"/><Relationship Id="rId129" Type="http://schemas.openxmlformats.org/officeDocument/2006/relationships/hyperlink" Target="https://journaliststudio.google.com/pinpoint-extract/preview?collection=524daaefa335d538&amp;job=2b468061a0dc41f8&amp;docid=1f0f8b47c49b27c2_524daaefa335d538&amp;schid=8001&amp;row=22&amp;page=91" TargetMode="External"/><Relationship Id="rId280" Type="http://schemas.openxmlformats.org/officeDocument/2006/relationships/hyperlink" Target="https://journaliststudio.google.com/pinpoint-extract/preview?collection=59c534ba70c0b75b&amp;job=a5341a044fbdd001&amp;docid=f9a22023735ef321_59c534ba70c0b75b&amp;schid=8001&amp;row=3&amp;page=79" TargetMode="External"/><Relationship Id="rId336" Type="http://schemas.openxmlformats.org/officeDocument/2006/relationships/hyperlink" Target="https://journaliststudio.google.com/pinpoint-extract/preview?collection=b4db47ccc48595a5&amp;job=7a46166c988abe25&amp;docid=252734efe751c385_b4db47ccc48595a5&amp;schid=8019&amp;row=10&amp;page=80" TargetMode="External"/><Relationship Id="rId75" Type="http://schemas.openxmlformats.org/officeDocument/2006/relationships/hyperlink" Target="https://journaliststudio.google.com/pinpoint-extract/preview?collection=524daaefa335d538&amp;job=aff84f4d7f79b4bb&amp;docid=1244364dcff36f7f_524daaefa335d538&amp;schid=8009&amp;row=0&amp;page=97" TargetMode="External"/><Relationship Id="rId140" Type="http://schemas.openxmlformats.org/officeDocument/2006/relationships/hyperlink" Target="https://journaliststudio.google.com/pinpoint-extract/preview?collection=524daaefa335d538&amp;job=5f636d3e738a0ef3&amp;docid=1f0f8b47c49b27c2_524daaefa335d538&amp;schid=8009&amp;row=8&amp;page=92" TargetMode="External"/><Relationship Id="rId182" Type="http://schemas.openxmlformats.org/officeDocument/2006/relationships/hyperlink" Target="https://journaliststudio.google.com/pinpoint-extract/preview?collection=59c534ba70c0b75b&amp;job=4c523ebcf60a55b&amp;docid=d5c6addb973fc20e_59c534ba70c0b75b&amp;schid=8001&amp;row=17&amp;page=87" TargetMode="External"/><Relationship Id="rId378" Type="http://schemas.openxmlformats.org/officeDocument/2006/relationships/hyperlink" Target="https://journaliststudio.google.com/pinpoint-extract/preview?collection=b4db47ccc48595a5&amp;job=895e8f817fd773a3&amp;docid=46e4f917ea989928_b4db47ccc48595a5&amp;schid=8001&amp;row=9&amp;page=90" TargetMode="External"/><Relationship Id="rId403" Type="http://schemas.openxmlformats.org/officeDocument/2006/relationships/hyperlink" Target="https://journaliststudio.google.com/pinpoint-extract/preview?collection=b4db47ccc48595a5&amp;job=895e8f817fd773a3&amp;docid=46e4f917ea989928_b4db47ccc48595a5&amp;schid=8001&amp;row=36&amp;page=91" TargetMode="External"/><Relationship Id="rId6" Type="http://schemas.openxmlformats.org/officeDocument/2006/relationships/hyperlink" Target="https://journaliststudio.google.com/pinpoint-extract/preview?collection=524daaefa335d538&amp;job=82bec05f3301547e&amp;docid=3a84e2afec62e521_524daaefa335d538&amp;schid=8001&amp;row=5&amp;page=107" TargetMode="External"/><Relationship Id="rId238" Type="http://schemas.openxmlformats.org/officeDocument/2006/relationships/hyperlink" Target="https://journaliststudio.google.com/pinpoint-extract/preview?collection=94f5d562231d4dd6&amp;job=fff7789bceade090&amp;docid=bb843fadc6314b6e_94f5d562231d4dd6&amp;schid=8001&amp;row=15&amp;page=78" TargetMode="External"/><Relationship Id="rId445" Type="http://schemas.openxmlformats.org/officeDocument/2006/relationships/hyperlink" Target="https://journaliststudio.google.com/pinpoint-extract/preview?collection=b4db47ccc48595a5&amp;job=18497e5e1665fd83&amp;docid=8884d0508c167a2_b4db47ccc48595a5&amp;schid=8001&amp;row=25&amp;page=63" TargetMode="External"/><Relationship Id="rId291" Type="http://schemas.openxmlformats.org/officeDocument/2006/relationships/hyperlink" Target="https://journaliststudio.google.com/pinpoint-extract/preview?collection=59c534ba70c0b75b&amp;job=fe598a2fe5f62708&amp;docid=f9a22023735ef321_59c534ba70c0b75b&amp;schid=8017&amp;row=14&amp;page=80" TargetMode="External"/><Relationship Id="rId305" Type="http://schemas.openxmlformats.org/officeDocument/2006/relationships/hyperlink" Target="https://journaliststudio.google.com/pinpoint-extract/preview?collection=59c534ba70c0b75b&amp;job=d1722aff98bd1426&amp;docid=f9a22023735ef321_59c534ba70c0b75b&amp;schid=8025&amp;row=2&amp;page=81" TargetMode="External"/><Relationship Id="rId347" Type="http://schemas.openxmlformats.org/officeDocument/2006/relationships/hyperlink" Target="https://journaliststudio.google.com/pinpoint-extract/preview?collection=b4db47ccc48595a5&amp;job=7a46166c988abe25&amp;docid=252734efe751c385_b4db47ccc48595a5&amp;schid=8019&amp;row=23&amp;page=81" TargetMode="External"/><Relationship Id="rId44" Type="http://schemas.openxmlformats.org/officeDocument/2006/relationships/hyperlink" Target="https://journaliststudio.google.com/pinpoint-extract/preview?collection=524daaefa335d538&amp;job=7c9ee60b62a58c50&amp;docid=3a84e2afec62e521_524daaefa335d538&amp;schid=8009&amp;row=21&amp;page=108" TargetMode="External"/><Relationship Id="rId86" Type="http://schemas.openxmlformats.org/officeDocument/2006/relationships/hyperlink" Target="https://journaliststudio.google.com/pinpoint-extract/preview?collection=524daaefa335d538&amp;job=aff84f4d7f79b4bb&amp;docid=1244364dcff36f7f_524daaefa335d538&amp;schid=8009&amp;row=11&amp;page=97" TargetMode="External"/><Relationship Id="rId151" Type="http://schemas.openxmlformats.org/officeDocument/2006/relationships/hyperlink" Target="https://journaliststudio.google.com/pinpoint-extract/preview?collection=524daaefa335d538&amp;job=5f636d3e738a0ef3&amp;docid=1f0f8b47c49b27c2_524daaefa335d538&amp;schid=8009&amp;row=19&amp;page=92" TargetMode="External"/><Relationship Id="rId389" Type="http://schemas.openxmlformats.org/officeDocument/2006/relationships/hyperlink" Target="https://journaliststudio.google.com/pinpoint-extract/preview?collection=b4db47ccc48595a5&amp;job=895e8f817fd773a3&amp;docid=46e4f917ea989928_b4db47ccc48595a5&amp;schid=8001&amp;row=22&amp;page=91" TargetMode="External"/><Relationship Id="rId193" Type="http://schemas.openxmlformats.org/officeDocument/2006/relationships/hyperlink" Target="https://journaliststudio.google.com/pinpoint-extract/preview?collection=59c534ba70c0b75b&amp;job=c02b390973229d85&amp;docid=d5c6addb973fc20e_59c534ba70c0b75b&amp;schid=8011&amp;row=6&amp;page=88" TargetMode="External"/><Relationship Id="rId207" Type="http://schemas.openxmlformats.org/officeDocument/2006/relationships/hyperlink" Target="https://journaliststudio.google.com/pinpoint-extract/preview?collection=59c534ba70c0b75b&amp;job=c02b390973229d85&amp;docid=d5c6addb973fc20e_59c534ba70c0b75b&amp;schid=8011&amp;row=20&amp;page=88" TargetMode="External"/><Relationship Id="rId249" Type="http://schemas.openxmlformats.org/officeDocument/2006/relationships/hyperlink" Target="https://journaliststudio.google.com/pinpoint-extract/preview?collection=94f5d562231d4dd6&amp;job=2903464ad73dbe5e&amp;docid=bb843fadc6314b6e_94f5d562231d4dd6&amp;schid=8009&amp;row=4&amp;page=79" TargetMode="External"/><Relationship Id="rId414" Type="http://schemas.openxmlformats.org/officeDocument/2006/relationships/hyperlink" Target="https://journaliststudio.google.com/pinpoint-extract/preview?collection=b4db47ccc48595a5&amp;job=5df64667a0f8c9c&amp;docid=46e4f917ea989928_b4db47ccc48595a5&amp;schid=8014&amp;row=10&amp;page=92" TargetMode="External"/><Relationship Id="rId13" Type="http://schemas.openxmlformats.org/officeDocument/2006/relationships/hyperlink" Target="https://journaliststudio.google.com/pinpoint-extract/preview?collection=524daaefa335d538&amp;job=82bec05f3301547e&amp;docid=3a84e2afec62e521_524daaefa335d538&amp;schid=8001&amp;row=12&amp;page=107" TargetMode="External"/><Relationship Id="rId109" Type="http://schemas.openxmlformats.org/officeDocument/2006/relationships/hyperlink" Target="https://journaliststudio.google.com/pinpoint-extract/preview?collection=524daaefa335d538&amp;job=2b468061a0dc41f8&amp;docid=1f0f8b47c49b27c2_524daaefa335d538&amp;schid=8001&amp;row=2&amp;page=91" TargetMode="External"/><Relationship Id="rId260" Type="http://schemas.openxmlformats.org/officeDocument/2006/relationships/hyperlink" Target="https://journaliststudio.google.com/pinpoint-extract/preview?collection=94f5d562231d4dd6&amp;job=2903464ad73dbe5e&amp;docid=bb843fadc6314b6e_94f5d562231d4dd6&amp;schid=8009&amp;row=15&amp;page=79" TargetMode="External"/><Relationship Id="rId316" Type="http://schemas.openxmlformats.org/officeDocument/2006/relationships/hyperlink" Target="https://journaliststudio.google.com/pinpoint-extract/preview?collection=59c534ba70c0b75b&amp;job=d1722aff98bd1426&amp;docid=f9a22023735ef321_59c534ba70c0b75b&amp;schid=8025&amp;row=13&amp;page=81" TargetMode="External"/><Relationship Id="rId55" Type="http://schemas.openxmlformats.org/officeDocument/2006/relationships/hyperlink" Target="https://journaliststudio.google.com/pinpoint-extract/preview?collection=524daaefa335d538&amp;job=9e83ccfd51856513&amp;docid=1244364dcff36f7f_524daaefa335d538&amp;schid=8001&amp;row=1&amp;page=96" TargetMode="External"/><Relationship Id="rId97" Type="http://schemas.openxmlformats.org/officeDocument/2006/relationships/hyperlink" Target="https://journaliststudio.google.com/pinpoint-extract/preview?collection=524daaefa335d538&amp;job=7045c3f8d2ceccc6&amp;docid=1244364dcff36f7f_524daaefa335d538&amp;schid=8017&amp;row=4&amp;page=98" TargetMode="External"/><Relationship Id="rId120" Type="http://schemas.openxmlformats.org/officeDocument/2006/relationships/hyperlink" Target="https://journaliststudio.google.com/pinpoint-extract/preview?collection=524daaefa335d538&amp;job=2b468061a0dc41f8&amp;docid=1f0f8b47c49b27c2_524daaefa335d538&amp;schid=8001&amp;row=13&amp;page=91" TargetMode="External"/><Relationship Id="rId358" Type="http://schemas.openxmlformats.org/officeDocument/2006/relationships/hyperlink" Target="https://journaliststudio.google.com/pinpoint-extract/preview?collection=b4db47ccc48595a5&amp;job=6534cb6435b3b5b3&amp;docid=252734efe751c385_b4db47ccc48595a5&amp;schid=8025&amp;row=1&amp;page=82" TargetMode="External"/><Relationship Id="rId162" Type="http://schemas.openxmlformats.org/officeDocument/2006/relationships/hyperlink" Target="https://journaliststudio.google.com/pinpoint-extract/preview?collection=524daaefa335d538&amp;job=fb089ee82906230c&amp;docid=1f0f8b47c49b27c2_524daaefa335d538&amp;schid=8015&amp;row=3&amp;page=93" TargetMode="External"/><Relationship Id="rId218" Type="http://schemas.openxmlformats.org/officeDocument/2006/relationships/hyperlink" Target="https://journaliststudio.google.com/pinpoint-extract/preview?collection=59c534ba70c0b75b&amp;job=cc936df0b964dd7e&amp;docid=d5c6addb973fc20e_59c534ba70c0b75b&amp;schid=8020&amp;row=7&amp;page=89" TargetMode="External"/><Relationship Id="rId425" Type="http://schemas.openxmlformats.org/officeDocument/2006/relationships/hyperlink" Target="https://journaliststudio.google.com/pinpoint-extract/preview?collection=b4db47ccc48595a5&amp;job=18497e5e1665fd83&amp;docid=8884d0508c167a2_b4db47ccc48595a5&amp;schid=8001&amp;row=5&amp;page=62" TargetMode="External"/><Relationship Id="rId271" Type="http://schemas.openxmlformats.org/officeDocument/2006/relationships/hyperlink" Target="https://journaliststudio.google.com/pinpoint-extract/preview?collection=94f5d562231d4dd6&amp;job=2903464ad73dbe5e&amp;docid=bb843fadc6314b6e_94f5d562231d4dd6&amp;schid=8009&amp;row=26&amp;page=80" TargetMode="External"/><Relationship Id="rId24" Type="http://schemas.openxmlformats.org/officeDocument/2006/relationships/hyperlink" Target="https://journaliststudio.google.com/pinpoint-extract/preview?collection=524daaefa335d538&amp;job=7c9ee60b62a58c50&amp;docid=3a84e2afec62e521_524daaefa335d538&amp;schid=8009&amp;row=1&amp;page=108" TargetMode="External"/><Relationship Id="rId66" Type="http://schemas.openxmlformats.org/officeDocument/2006/relationships/hyperlink" Target="https://journaliststudio.google.com/pinpoint-extract/preview?collection=524daaefa335d538&amp;job=9e83ccfd51856513&amp;docid=1244364dcff36f7f_524daaefa335d538&amp;schid=8001&amp;row=12&amp;page=96" TargetMode="External"/><Relationship Id="rId131" Type="http://schemas.openxmlformats.org/officeDocument/2006/relationships/hyperlink" Target="https://journaliststudio.google.com/pinpoint-extract/preview?collection=524daaefa335d538&amp;job=2b468061a0dc41f8&amp;docid=1f0f8b47c49b27c2_524daaefa335d538&amp;schid=8001&amp;row=24&amp;page=91" TargetMode="External"/><Relationship Id="rId327" Type="http://schemas.openxmlformats.org/officeDocument/2006/relationships/hyperlink" Target="https://journaliststudio.google.com/pinpoint-extract/preview?collection=59c534ba70c0b75b&amp;job=d9e8db0be651c98d&amp;docid=f9a22023735ef321_59c534ba70c0b75b&amp;schid=8033&amp;row=10&amp;page=82" TargetMode="External"/><Relationship Id="rId369" Type="http://schemas.openxmlformats.org/officeDocument/2006/relationships/hyperlink" Target="https://journaliststudio.google.com/pinpoint-extract/preview?collection=b4db47ccc48595a5&amp;job=895e8f817fd773a3&amp;docid=46e4f917ea989928_b4db47ccc48595a5&amp;schid=8001&amp;row=0&amp;page=90" TargetMode="External"/><Relationship Id="rId173" Type="http://schemas.openxmlformats.org/officeDocument/2006/relationships/hyperlink" Target="https://journaliststudio.google.com/pinpoint-extract/preview?collection=59c534ba70c0b75b&amp;job=4c523ebcf60a55b&amp;docid=d5c6addb973fc20e_59c534ba70c0b75b&amp;schid=8001&amp;row=8&amp;page=87" TargetMode="External"/><Relationship Id="rId229" Type="http://schemas.openxmlformats.org/officeDocument/2006/relationships/hyperlink" Target="https://journaliststudio.google.com/pinpoint-extract/preview?collection=94f5d562231d4dd6&amp;job=fff7789bceade090&amp;docid=bb843fadc6314b6e_94f5d562231d4dd6&amp;schid=8001&amp;row=6&amp;page=78" TargetMode="External"/><Relationship Id="rId380" Type="http://schemas.openxmlformats.org/officeDocument/2006/relationships/hyperlink" Target="https://journaliststudio.google.com/pinpoint-extract/preview?collection=b4db47ccc48595a5&amp;job=895e8f817fd773a3&amp;docid=46e4f917ea989928_b4db47ccc48595a5&amp;schid=8001&amp;row=11&amp;page=90" TargetMode="External"/><Relationship Id="rId436" Type="http://schemas.openxmlformats.org/officeDocument/2006/relationships/hyperlink" Target="https://journaliststudio.google.com/pinpoint-extract/preview?collection=b4db47ccc48595a5&amp;job=18497e5e1665fd83&amp;docid=8884d0508c167a2_b4db47ccc48595a5&amp;schid=8001&amp;row=16&amp;page=63" TargetMode="External"/><Relationship Id="rId240" Type="http://schemas.openxmlformats.org/officeDocument/2006/relationships/hyperlink" Target="https://journaliststudio.google.com/pinpoint-extract/preview?collection=94f5d562231d4dd6&amp;job=fff7789bceade090&amp;docid=bb843fadc6314b6e_94f5d562231d4dd6&amp;schid=8001&amp;row=17&amp;page=78" TargetMode="External"/><Relationship Id="rId35" Type="http://schemas.openxmlformats.org/officeDocument/2006/relationships/hyperlink" Target="https://journaliststudio.google.com/pinpoint-extract/preview?collection=524daaefa335d538&amp;job=7c9ee60b62a58c50&amp;docid=3a84e2afec62e521_524daaefa335d538&amp;schid=8009&amp;row=12&amp;page=108" TargetMode="External"/><Relationship Id="rId77" Type="http://schemas.openxmlformats.org/officeDocument/2006/relationships/hyperlink" Target="https://journaliststudio.google.com/pinpoint-extract/preview?collection=524daaefa335d538&amp;job=aff84f4d7f79b4bb&amp;docid=1244364dcff36f7f_524daaefa335d538&amp;schid=8009&amp;row=2&amp;page=97" TargetMode="External"/><Relationship Id="rId100" Type="http://schemas.openxmlformats.org/officeDocument/2006/relationships/hyperlink" Target="https://journaliststudio.google.com/pinpoint-extract/preview?collection=524daaefa335d538&amp;job=7045c3f8d2ceccc6&amp;docid=1244364dcff36f7f_524daaefa335d538&amp;schid=8017&amp;row=7&amp;page=98" TargetMode="External"/><Relationship Id="rId282" Type="http://schemas.openxmlformats.org/officeDocument/2006/relationships/hyperlink" Target="https://journaliststudio.google.com/pinpoint-extract/preview?collection=59c534ba70c0b75b&amp;job=a5341a044fbdd001&amp;docid=f9a22023735ef321_59c534ba70c0b75b&amp;schid=8001&amp;row=5&amp;page=79" TargetMode="External"/><Relationship Id="rId338" Type="http://schemas.openxmlformats.org/officeDocument/2006/relationships/hyperlink" Target="https://journaliststudio.google.com/pinpoint-extract/preview?collection=b4db47ccc48595a5&amp;job=7a46166c988abe25&amp;docid=252734efe751c385_b4db47ccc48595a5&amp;schid=8019&amp;row=12&amp;page=80" TargetMode="External"/><Relationship Id="rId8" Type="http://schemas.openxmlformats.org/officeDocument/2006/relationships/hyperlink" Target="https://journaliststudio.google.com/pinpoint-extract/preview?collection=524daaefa335d538&amp;job=82bec05f3301547e&amp;docid=3a84e2afec62e521_524daaefa335d538&amp;schid=8001&amp;row=7&amp;page=107" TargetMode="External"/><Relationship Id="rId142" Type="http://schemas.openxmlformats.org/officeDocument/2006/relationships/hyperlink" Target="https://journaliststudio.google.com/pinpoint-extract/preview?collection=524daaefa335d538&amp;job=5f636d3e738a0ef3&amp;docid=1f0f8b47c49b27c2_524daaefa335d538&amp;schid=8009&amp;row=10&amp;page=92" TargetMode="External"/><Relationship Id="rId184" Type="http://schemas.openxmlformats.org/officeDocument/2006/relationships/hyperlink" Target="https://journaliststudio.google.com/pinpoint-extract/preview?collection=59c534ba70c0b75b&amp;job=4c523ebcf60a55b&amp;docid=d5c6addb973fc20e_59c534ba70c0b75b&amp;schid=8001&amp;row=19&amp;page=87" TargetMode="External"/><Relationship Id="rId391" Type="http://schemas.openxmlformats.org/officeDocument/2006/relationships/hyperlink" Target="https://journaliststudio.google.com/pinpoint-extract/preview?collection=b4db47ccc48595a5&amp;job=895e8f817fd773a3&amp;docid=46e4f917ea989928_b4db47ccc48595a5&amp;schid=8001&amp;row=24&amp;page=91" TargetMode="External"/><Relationship Id="rId405" Type="http://schemas.openxmlformats.org/officeDocument/2006/relationships/hyperlink" Target="https://journaliststudio.google.com/pinpoint-extract/preview?collection=b4db47ccc48595a5&amp;job=5df64667a0f8c9c&amp;docid=46e4f917ea989928_b4db47ccc48595a5&amp;schid=8014&amp;row=1&amp;page=92" TargetMode="External"/><Relationship Id="rId251" Type="http://schemas.openxmlformats.org/officeDocument/2006/relationships/hyperlink" Target="https://journaliststudio.google.com/pinpoint-extract/preview?collection=94f5d562231d4dd6&amp;job=2903464ad73dbe5e&amp;docid=bb843fadc6314b6e_94f5d562231d4dd6&amp;schid=8009&amp;row=6&amp;page=79" TargetMode="External"/><Relationship Id="rId46" Type="http://schemas.openxmlformats.org/officeDocument/2006/relationships/hyperlink" Target="https://journaliststudio.google.com/pinpoint-extract/preview?collection=524daaefa335d538&amp;job=8e63a69ee74905&amp;docid=3a84e2afec62e521_524daaefa335d538&amp;schid=8017&amp;row=0&amp;page=109" TargetMode="External"/><Relationship Id="rId293" Type="http://schemas.openxmlformats.org/officeDocument/2006/relationships/hyperlink" Target="https://journaliststudio.google.com/pinpoint-extract/preview?collection=59c534ba70c0b75b&amp;job=fe598a2fe5f62708&amp;docid=f9a22023735ef321_59c534ba70c0b75b&amp;schid=8017&amp;row=16&amp;page=80" TargetMode="External"/><Relationship Id="rId307" Type="http://schemas.openxmlformats.org/officeDocument/2006/relationships/hyperlink" Target="https://journaliststudio.google.com/pinpoint-extract/preview?collection=59c534ba70c0b75b&amp;job=d1722aff98bd1426&amp;docid=f9a22023735ef321_59c534ba70c0b75b&amp;schid=8025&amp;row=4&amp;page=81" TargetMode="External"/><Relationship Id="rId349" Type="http://schemas.openxmlformats.org/officeDocument/2006/relationships/hyperlink" Target="https://journaliststudio.google.com/pinpoint-extract/preview?collection=b4db47ccc48595a5&amp;job=7a46166c988abe25&amp;docid=252734efe751c385_b4db47ccc48595a5&amp;schid=8019&amp;row=25&amp;page=81" TargetMode="External"/><Relationship Id="rId88" Type="http://schemas.openxmlformats.org/officeDocument/2006/relationships/hyperlink" Target="https://journaliststudio.google.com/pinpoint-extract/preview?collection=524daaefa335d538&amp;job=aff84f4d7f79b4bb&amp;docid=1244364dcff36f7f_524daaefa335d538&amp;schid=8009&amp;row=13&amp;page=97" TargetMode="External"/><Relationship Id="rId111" Type="http://schemas.openxmlformats.org/officeDocument/2006/relationships/hyperlink" Target="https://journaliststudio.google.com/pinpoint-extract/preview?collection=524daaefa335d538&amp;job=2b468061a0dc41f8&amp;docid=1f0f8b47c49b27c2_524daaefa335d538&amp;schid=8001&amp;row=4&amp;page=91" TargetMode="External"/><Relationship Id="rId153" Type="http://schemas.openxmlformats.org/officeDocument/2006/relationships/hyperlink" Target="https://journaliststudio.google.com/pinpoint-extract/preview?collection=524daaefa335d538&amp;job=5f636d3e738a0ef3&amp;docid=1f0f8b47c49b27c2_524daaefa335d538&amp;schid=8009&amp;row=21&amp;page=92" TargetMode="External"/><Relationship Id="rId195" Type="http://schemas.openxmlformats.org/officeDocument/2006/relationships/hyperlink" Target="https://journaliststudio.google.com/pinpoint-extract/preview?collection=59c534ba70c0b75b&amp;job=c02b390973229d85&amp;docid=d5c6addb973fc20e_59c534ba70c0b75b&amp;schid=8011&amp;row=8&amp;page=88" TargetMode="External"/><Relationship Id="rId209" Type="http://schemas.openxmlformats.org/officeDocument/2006/relationships/hyperlink" Target="https://journaliststudio.google.com/pinpoint-extract/preview?collection=59c534ba70c0b75b&amp;job=c02b390973229d85&amp;docid=d5c6addb973fc20e_59c534ba70c0b75b&amp;schid=8011&amp;row=22&amp;page=88" TargetMode="External"/><Relationship Id="rId360" Type="http://schemas.openxmlformats.org/officeDocument/2006/relationships/hyperlink" Target="https://journaliststudio.google.com/pinpoint-extract/preview?collection=b4db47ccc48595a5&amp;job=6534cb6435b3b5b3&amp;docid=252734efe751c385_b4db47ccc48595a5&amp;schid=8025&amp;row=3&amp;page=82" TargetMode="External"/><Relationship Id="rId416" Type="http://schemas.openxmlformats.org/officeDocument/2006/relationships/hyperlink" Target="https://journaliststudio.google.com/pinpoint-extract/preview?collection=b4db47ccc48595a5&amp;job=5df64667a0f8c9c&amp;docid=46e4f917ea989928_b4db47ccc48595a5&amp;schid=8014&amp;row=12&amp;page=92" TargetMode="External"/><Relationship Id="rId220" Type="http://schemas.openxmlformats.org/officeDocument/2006/relationships/hyperlink" Target="https://journaliststudio.google.com/pinpoint-extract/preview?collection=59c534ba70c0b75b&amp;job=cc936df0b964dd7e&amp;docid=d5c6addb973fc20e_59c534ba70c0b75b&amp;schid=8020&amp;row=9&amp;page=89" TargetMode="External"/><Relationship Id="rId15" Type="http://schemas.openxmlformats.org/officeDocument/2006/relationships/hyperlink" Target="https://journaliststudio.google.com/pinpoint-extract/preview?collection=524daaefa335d538&amp;job=82bec05f3301547e&amp;docid=3a84e2afec62e521_524daaefa335d538&amp;schid=8001&amp;row=14&amp;page=107" TargetMode="External"/><Relationship Id="rId57" Type="http://schemas.openxmlformats.org/officeDocument/2006/relationships/hyperlink" Target="https://journaliststudio.google.com/pinpoint-extract/preview?collection=524daaefa335d538&amp;job=9e83ccfd51856513&amp;docid=1244364dcff36f7f_524daaefa335d538&amp;schid=8001&amp;row=3&amp;page=96" TargetMode="External"/><Relationship Id="rId262" Type="http://schemas.openxmlformats.org/officeDocument/2006/relationships/hyperlink" Target="https://journaliststudio.google.com/pinpoint-extract/preview?collection=94f5d562231d4dd6&amp;job=2903464ad73dbe5e&amp;docid=bb843fadc6314b6e_94f5d562231d4dd6&amp;schid=8009&amp;row=17&amp;page=79" TargetMode="External"/><Relationship Id="rId318" Type="http://schemas.openxmlformats.org/officeDocument/2006/relationships/hyperlink" Target="https://journaliststudio.google.com/pinpoint-extract/preview?collection=59c534ba70c0b75b&amp;job=d9e8db0be651c98d&amp;docid=f9a22023735ef321_59c534ba70c0b75b&amp;schid=8033&amp;row=1&amp;page=82" TargetMode="External"/><Relationship Id="rId99" Type="http://schemas.openxmlformats.org/officeDocument/2006/relationships/hyperlink" Target="https://journaliststudio.google.com/pinpoint-extract/preview?collection=524daaefa335d538&amp;job=7045c3f8d2ceccc6&amp;docid=1244364dcff36f7f_524daaefa335d538&amp;schid=8017&amp;row=6&amp;page=98" TargetMode="External"/><Relationship Id="rId122" Type="http://schemas.openxmlformats.org/officeDocument/2006/relationships/hyperlink" Target="https://journaliststudio.google.com/pinpoint-extract/preview?collection=524daaefa335d538&amp;job=2b468061a0dc41f8&amp;docid=1f0f8b47c49b27c2_524daaefa335d538&amp;schid=8001&amp;row=15&amp;page=91" TargetMode="External"/><Relationship Id="rId164" Type="http://schemas.openxmlformats.org/officeDocument/2006/relationships/hyperlink" Target="https://journaliststudio.google.com/pinpoint-extract/preview?collection=524daaefa335d538&amp;job=fb089ee82906230c&amp;docid=1f0f8b47c49b27c2_524daaefa335d538&amp;schid=8015&amp;row=5&amp;page=93" TargetMode="External"/><Relationship Id="rId371" Type="http://schemas.openxmlformats.org/officeDocument/2006/relationships/hyperlink" Target="https://journaliststudio.google.com/pinpoint-extract/preview?collection=b4db47ccc48595a5&amp;job=895e8f817fd773a3&amp;docid=46e4f917ea989928_b4db47ccc48595a5&amp;schid=8001&amp;row=2&amp;page=90" TargetMode="External"/><Relationship Id="rId427" Type="http://schemas.openxmlformats.org/officeDocument/2006/relationships/hyperlink" Target="https://journaliststudio.google.com/pinpoint-extract/preview?collection=b4db47ccc48595a5&amp;job=18497e5e1665fd83&amp;docid=8884d0508c167a2_b4db47ccc48595a5&amp;schid=8001&amp;row=7&amp;page=62" TargetMode="External"/><Relationship Id="rId26" Type="http://schemas.openxmlformats.org/officeDocument/2006/relationships/hyperlink" Target="https://journaliststudio.google.com/pinpoint-extract/preview?collection=524daaefa335d538&amp;job=7c9ee60b62a58c50&amp;docid=3a84e2afec62e521_524daaefa335d538&amp;schid=8009&amp;row=3&amp;page=108" TargetMode="External"/><Relationship Id="rId231" Type="http://schemas.openxmlformats.org/officeDocument/2006/relationships/hyperlink" Target="https://journaliststudio.google.com/pinpoint-extract/preview?collection=94f5d562231d4dd6&amp;job=fff7789bceade090&amp;docid=bb843fadc6314b6e_94f5d562231d4dd6&amp;schid=8001&amp;row=8&amp;page=78" TargetMode="External"/><Relationship Id="rId273" Type="http://schemas.openxmlformats.org/officeDocument/2006/relationships/hyperlink" Target="https://journaliststudio.google.com/pinpoint-extract/preview?collection=94f5d562231d4dd6&amp;job=2903464ad73dbe5e&amp;docid=bb843fadc6314b6e_94f5d562231d4dd6&amp;schid=8009&amp;row=28&amp;page=80" TargetMode="External"/><Relationship Id="rId329" Type="http://schemas.openxmlformats.org/officeDocument/2006/relationships/hyperlink" Target="https://journaliststudio.google.com/pinpoint-extract/preview?collection=b4db47ccc48595a5&amp;job=7a46166c988abe25&amp;docid=252734efe751c385_b4db47ccc48595a5&amp;schid=8019&amp;row=3&amp;page=80" TargetMode="External"/><Relationship Id="rId68" Type="http://schemas.openxmlformats.org/officeDocument/2006/relationships/hyperlink" Target="https://journaliststudio.google.com/pinpoint-extract/preview?collection=524daaefa335d538&amp;job=9e83ccfd51856513&amp;docid=1244364dcff36f7f_524daaefa335d538&amp;schid=8001&amp;row=14&amp;page=96" TargetMode="External"/><Relationship Id="rId133" Type="http://schemas.openxmlformats.org/officeDocument/2006/relationships/hyperlink" Target="https://journaliststudio.google.com/pinpoint-extract/preview?collection=524daaefa335d538&amp;job=5f636d3e738a0ef3&amp;docid=1f0f8b47c49b27c2_524daaefa335d538&amp;schid=8009&amp;row=1&amp;page=92" TargetMode="External"/><Relationship Id="rId175" Type="http://schemas.openxmlformats.org/officeDocument/2006/relationships/hyperlink" Target="https://journaliststudio.google.com/pinpoint-extract/preview?collection=59c534ba70c0b75b&amp;job=4c523ebcf60a55b&amp;docid=d5c6addb973fc20e_59c534ba70c0b75b&amp;schid=8001&amp;row=10&amp;page=87" TargetMode="External"/><Relationship Id="rId340" Type="http://schemas.openxmlformats.org/officeDocument/2006/relationships/hyperlink" Target="https://journaliststudio.google.com/pinpoint-extract/preview?collection=b4db47ccc48595a5&amp;job=7a46166c988abe25&amp;docid=252734efe751c385_b4db47ccc48595a5&amp;schid=8019&amp;row=14&amp;page=80" TargetMode="External"/><Relationship Id="rId200" Type="http://schemas.openxmlformats.org/officeDocument/2006/relationships/hyperlink" Target="https://journaliststudio.google.com/pinpoint-extract/preview?collection=59c534ba70c0b75b&amp;job=c02b390973229d85&amp;docid=d5c6addb973fc20e_59c534ba70c0b75b&amp;schid=8011&amp;row=13&amp;page=88" TargetMode="External"/><Relationship Id="rId382" Type="http://schemas.openxmlformats.org/officeDocument/2006/relationships/hyperlink" Target="https://journaliststudio.google.com/pinpoint-extract/preview?collection=b4db47ccc48595a5&amp;job=895e8f817fd773a3&amp;docid=46e4f917ea989928_b4db47ccc48595a5&amp;schid=8001&amp;row=13&amp;page=90" TargetMode="External"/><Relationship Id="rId438" Type="http://schemas.openxmlformats.org/officeDocument/2006/relationships/hyperlink" Target="https://journaliststudio.google.com/pinpoint-extract/preview?collection=b4db47ccc48595a5&amp;job=18497e5e1665fd83&amp;docid=8884d0508c167a2_b4db47ccc48595a5&amp;schid=8001&amp;row=18&amp;page=63" TargetMode="External"/><Relationship Id="rId242" Type="http://schemas.openxmlformats.org/officeDocument/2006/relationships/hyperlink" Target="https://journaliststudio.google.com/pinpoint-extract/preview?collection=94f5d562231d4dd6&amp;job=fff7789bceade090&amp;docid=bb843fadc6314b6e_94f5d562231d4dd6&amp;schid=8001&amp;row=19&amp;page=78" TargetMode="External"/><Relationship Id="rId284" Type="http://schemas.openxmlformats.org/officeDocument/2006/relationships/hyperlink" Target="https://journaliststudio.google.com/pinpoint-extract/preview?collection=59c534ba70c0b75b&amp;job=a5341a044fbdd001&amp;docid=f9a22023735ef321_59c534ba70c0b75b&amp;schid=8001&amp;row=7&amp;page=79" TargetMode="External"/><Relationship Id="rId37" Type="http://schemas.openxmlformats.org/officeDocument/2006/relationships/hyperlink" Target="https://journaliststudio.google.com/pinpoint-extract/preview?collection=524daaefa335d538&amp;job=7c9ee60b62a58c50&amp;docid=3a84e2afec62e521_524daaefa335d538&amp;schid=8009&amp;row=14&amp;page=108" TargetMode="External"/><Relationship Id="rId79" Type="http://schemas.openxmlformats.org/officeDocument/2006/relationships/hyperlink" Target="https://journaliststudio.google.com/pinpoint-extract/preview?collection=524daaefa335d538&amp;job=aff84f4d7f79b4bb&amp;docid=1244364dcff36f7f_524daaefa335d538&amp;schid=8009&amp;row=4&amp;page=97" TargetMode="External"/><Relationship Id="rId102" Type="http://schemas.openxmlformats.org/officeDocument/2006/relationships/hyperlink" Target="https://journaliststudio.google.com/pinpoint-extract/preview?collection=524daaefa335d538&amp;job=7045c3f8d2ceccc6&amp;docid=1244364dcff36f7f_524daaefa335d538&amp;schid=8017&amp;row=9&amp;page=98" TargetMode="External"/><Relationship Id="rId144" Type="http://schemas.openxmlformats.org/officeDocument/2006/relationships/hyperlink" Target="https://journaliststudio.google.com/pinpoint-extract/preview?collection=524daaefa335d538&amp;job=5f636d3e738a0ef3&amp;docid=1f0f8b47c49b27c2_524daaefa335d538&amp;schid=8009&amp;row=12&amp;page=92" TargetMode="External"/><Relationship Id="rId90" Type="http://schemas.openxmlformats.org/officeDocument/2006/relationships/hyperlink" Target="https://journaliststudio.google.com/pinpoint-extract/preview?collection=524daaefa335d538&amp;job=aff84f4d7f79b4bb&amp;docid=1244364dcff36f7f_524daaefa335d538&amp;schid=8009&amp;row=15&amp;page=97" TargetMode="External"/><Relationship Id="rId186" Type="http://schemas.openxmlformats.org/officeDocument/2006/relationships/hyperlink" Target="https://journaliststudio.google.com/pinpoint-extract/preview?collection=59c534ba70c0b75b&amp;job=4c523ebcf60a55b&amp;docid=d5c6addb973fc20e_59c534ba70c0b75b&amp;schid=8001&amp;row=21&amp;page=87" TargetMode="External"/><Relationship Id="rId351" Type="http://schemas.openxmlformats.org/officeDocument/2006/relationships/hyperlink" Target="https://journaliststudio.google.com/pinpoint-extract/preview?collection=b4db47ccc48595a5&amp;job=7a46166c988abe25&amp;docid=252734efe751c385_b4db47ccc48595a5&amp;schid=8019&amp;row=27&amp;page=81" TargetMode="External"/><Relationship Id="rId393" Type="http://schemas.openxmlformats.org/officeDocument/2006/relationships/hyperlink" Target="https://journaliststudio.google.com/pinpoint-extract/preview?collection=b4db47ccc48595a5&amp;job=895e8f817fd773a3&amp;docid=46e4f917ea989928_b4db47ccc48595a5&amp;schid=8001&amp;row=26&amp;page=91" TargetMode="External"/><Relationship Id="rId407" Type="http://schemas.openxmlformats.org/officeDocument/2006/relationships/hyperlink" Target="https://journaliststudio.google.com/pinpoint-extract/preview?collection=b4db47ccc48595a5&amp;job=5df64667a0f8c9c&amp;docid=46e4f917ea989928_b4db47ccc48595a5&amp;schid=8014&amp;row=3&amp;page=92" TargetMode="External"/><Relationship Id="rId211" Type="http://schemas.openxmlformats.org/officeDocument/2006/relationships/hyperlink" Target="https://journaliststudio.google.com/pinpoint-extract/preview?collection=59c534ba70c0b75b&amp;job=cc936df0b964dd7e&amp;docid=d5c6addb973fc20e_59c534ba70c0b75b&amp;schid=8020&amp;row=0&amp;page=89" TargetMode="External"/><Relationship Id="rId253" Type="http://schemas.openxmlformats.org/officeDocument/2006/relationships/hyperlink" Target="https://journaliststudio.google.com/pinpoint-extract/preview?collection=94f5d562231d4dd6&amp;job=2903464ad73dbe5e&amp;docid=bb843fadc6314b6e_94f5d562231d4dd6&amp;schid=8009&amp;row=8&amp;page=79" TargetMode="External"/><Relationship Id="rId295" Type="http://schemas.openxmlformats.org/officeDocument/2006/relationships/hyperlink" Target="https://journaliststudio.google.com/pinpoint-extract/preview?collection=59c534ba70c0b75b&amp;job=fe598a2fe5f62708&amp;docid=f9a22023735ef321_59c534ba70c0b75b&amp;schid=8017&amp;row=18&amp;page=80" TargetMode="External"/><Relationship Id="rId309" Type="http://schemas.openxmlformats.org/officeDocument/2006/relationships/hyperlink" Target="https://journaliststudio.google.com/pinpoint-extract/preview?collection=59c534ba70c0b75b&amp;job=d1722aff98bd1426&amp;docid=f9a22023735ef321_59c534ba70c0b75b&amp;schid=8025&amp;row=6&amp;page=81" TargetMode="External"/><Relationship Id="rId48" Type="http://schemas.openxmlformats.org/officeDocument/2006/relationships/hyperlink" Target="https://journaliststudio.google.com/pinpoint-extract/preview?collection=524daaefa335d538&amp;job=8e63a69ee74905&amp;docid=3a84e2afec62e521_524daaefa335d538&amp;schid=8017&amp;row=2&amp;page=109" TargetMode="External"/><Relationship Id="rId113" Type="http://schemas.openxmlformats.org/officeDocument/2006/relationships/hyperlink" Target="https://journaliststudio.google.com/pinpoint-extract/preview?collection=524daaefa335d538&amp;job=2b468061a0dc41f8&amp;docid=1f0f8b47c49b27c2_524daaefa335d538&amp;schid=8001&amp;row=6&amp;page=91" TargetMode="External"/><Relationship Id="rId320" Type="http://schemas.openxmlformats.org/officeDocument/2006/relationships/hyperlink" Target="https://journaliststudio.google.com/pinpoint-extract/preview?collection=59c534ba70c0b75b&amp;job=d9e8db0be651c98d&amp;docid=f9a22023735ef321_59c534ba70c0b75b&amp;schid=8033&amp;row=3&amp;page=82" TargetMode="External"/><Relationship Id="rId155" Type="http://schemas.openxmlformats.org/officeDocument/2006/relationships/hyperlink" Target="https://journaliststudio.google.com/pinpoint-extract/preview?collection=524daaefa335d538&amp;job=5f636d3e738a0ef3&amp;docid=1f0f8b47c49b27c2_524daaefa335d538&amp;schid=8009&amp;row=23&amp;page=92" TargetMode="External"/><Relationship Id="rId197" Type="http://schemas.openxmlformats.org/officeDocument/2006/relationships/hyperlink" Target="https://journaliststudio.google.com/pinpoint-extract/preview?collection=59c534ba70c0b75b&amp;job=c02b390973229d85&amp;docid=d5c6addb973fc20e_59c534ba70c0b75b&amp;schid=8011&amp;row=10&amp;page=88" TargetMode="External"/><Relationship Id="rId362" Type="http://schemas.openxmlformats.org/officeDocument/2006/relationships/hyperlink" Target="https://journaliststudio.google.com/pinpoint-extract/preview?collection=b4db47ccc48595a5&amp;job=6534cb6435b3b5b3&amp;docid=252734efe751c385_b4db47ccc48595a5&amp;schid=8025&amp;row=5&amp;page=82" TargetMode="External"/><Relationship Id="rId418" Type="http://schemas.openxmlformats.org/officeDocument/2006/relationships/hyperlink" Target="https://journaliststudio.google.com/pinpoint-extract/preview?collection=b4db47ccc48595a5&amp;job=5df64667a0f8c9c&amp;docid=46e4f917ea989928_b4db47ccc48595a5&amp;schid=8014&amp;row=14&amp;page=92" TargetMode="External"/><Relationship Id="rId222" Type="http://schemas.openxmlformats.org/officeDocument/2006/relationships/hyperlink" Target="https://journaliststudio.google.com/pinpoint-extract/preview?collection=59c534ba70c0b75b&amp;job=cc936df0b964dd7e&amp;docid=d5c6addb973fc20e_59c534ba70c0b75b&amp;schid=8020&amp;row=11&amp;page=89" TargetMode="External"/><Relationship Id="rId264" Type="http://schemas.openxmlformats.org/officeDocument/2006/relationships/hyperlink" Target="https://journaliststudio.google.com/pinpoint-extract/preview?collection=94f5d562231d4dd6&amp;job=2903464ad73dbe5e&amp;docid=bb843fadc6314b6e_94f5d562231d4dd6&amp;schid=8009&amp;row=19&amp;page=79" TargetMode="External"/><Relationship Id="rId17" Type="http://schemas.openxmlformats.org/officeDocument/2006/relationships/hyperlink" Target="https://journaliststudio.google.com/pinpoint-extract/preview?collection=524daaefa335d538&amp;job=82bec05f3301547e&amp;docid=3a84e2afec62e521_524daaefa335d538&amp;schid=8001&amp;row=16&amp;page=107" TargetMode="External"/><Relationship Id="rId59" Type="http://schemas.openxmlformats.org/officeDocument/2006/relationships/hyperlink" Target="https://journaliststudio.google.com/pinpoint-extract/preview?collection=524daaefa335d538&amp;job=9e83ccfd51856513&amp;docid=1244364dcff36f7f_524daaefa335d538&amp;schid=8001&amp;row=5&amp;page=96" TargetMode="External"/><Relationship Id="rId124" Type="http://schemas.openxmlformats.org/officeDocument/2006/relationships/hyperlink" Target="https://journaliststudio.google.com/pinpoint-extract/preview?collection=524daaefa335d538&amp;job=2b468061a0dc41f8&amp;docid=1f0f8b47c49b27c2_524daaefa335d538&amp;schid=8001&amp;row=17&amp;page=91" TargetMode="External"/><Relationship Id="rId70" Type="http://schemas.openxmlformats.org/officeDocument/2006/relationships/hyperlink" Target="https://journaliststudio.google.com/pinpoint-extract/preview?collection=524daaefa335d538&amp;job=9e83ccfd51856513&amp;docid=1244364dcff36f7f_524daaefa335d538&amp;schid=8001&amp;row=16&amp;page=96" TargetMode="External"/><Relationship Id="rId166" Type="http://schemas.openxmlformats.org/officeDocument/2006/relationships/hyperlink" Target="https://journaliststudio.google.com/pinpoint-extract/preview?collection=59c534ba70c0b75b&amp;job=4c523ebcf60a55b&amp;docid=d5c6addb973fc20e_59c534ba70c0b75b&amp;schid=8001&amp;row=1&amp;page=87" TargetMode="External"/><Relationship Id="rId331" Type="http://schemas.openxmlformats.org/officeDocument/2006/relationships/hyperlink" Target="https://journaliststudio.google.com/pinpoint-extract/preview?collection=b4db47ccc48595a5&amp;job=7a46166c988abe25&amp;docid=252734efe751c385_b4db47ccc48595a5&amp;schid=8019&amp;row=5&amp;page=80" TargetMode="External"/><Relationship Id="rId373" Type="http://schemas.openxmlformats.org/officeDocument/2006/relationships/hyperlink" Target="https://journaliststudio.google.com/pinpoint-extract/preview?collection=b4db47ccc48595a5&amp;job=895e8f817fd773a3&amp;docid=46e4f917ea989928_b4db47ccc48595a5&amp;schid=8001&amp;row=4&amp;page=90" TargetMode="External"/><Relationship Id="rId429" Type="http://schemas.openxmlformats.org/officeDocument/2006/relationships/hyperlink" Target="https://journaliststudio.google.com/pinpoint-extract/preview?collection=b4db47ccc48595a5&amp;job=18497e5e1665fd83&amp;docid=8884d0508c167a2_b4db47ccc48595a5&amp;schid=8001&amp;row=9&amp;page=62" TargetMode="External"/><Relationship Id="rId1" Type="http://schemas.openxmlformats.org/officeDocument/2006/relationships/hyperlink" Target="https://journaliststudio.google.com/pinpoint-extract/preview?collection=524daaefa335d538&amp;job=82bec05f3301547e&amp;docid=3a84e2afec62e521_524daaefa335d538&amp;schid=8001&amp;row=0&amp;page=107" TargetMode="External"/><Relationship Id="rId233" Type="http://schemas.openxmlformats.org/officeDocument/2006/relationships/hyperlink" Target="https://journaliststudio.google.com/pinpoint-extract/preview?collection=94f5d562231d4dd6&amp;job=fff7789bceade090&amp;docid=bb843fadc6314b6e_94f5d562231d4dd6&amp;schid=8001&amp;row=10&amp;page=78" TargetMode="External"/><Relationship Id="rId440" Type="http://schemas.openxmlformats.org/officeDocument/2006/relationships/hyperlink" Target="https://journaliststudio.google.com/pinpoint-extract/preview?collection=b4db47ccc48595a5&amp;job=18497e5e1665fd83&amp;docid=8884d0508c167a2_b4db47ccc48595a5&amp;schid=8001&amp;row=20&amp;page=63" TargetMode="External"/><Relationship Id="rId28" Type="http://schemas.openxmlformats.org/officeDocument/2006/relationships/hyperlink" Target="https://journaliststudio.google.com/pinpoint-extract/preview?collection=524daaefa335d538&amp;job=7c9ee60b62a58c50&amp;docid=3a84e2afec62e521_524daaefa335d538&amp;schid=8009&amp;row=5&amp;page=108" TargetMode="External"/><Relationship Id="rId275" Type="http://schemas.openxmlformats.org/officeDocument/2006/relationships/hyperlink" Target="https://journaliststudio.google.com/pinpoint-extract/preview?collection=94f5d562231d4dd6&amp;job=2903464ad73dbe5e&amp;docid=bb843fadc6314b6e_94f5d562231d4dd6&amp;schid=8009&amp;row=30&amp;page=80" TargetMode="External"/><Relationship Id="rId300" Type="http://schemas.openxmlformats.org/officeDocument/2006/relationships/hyperlink" Target="https://journaliststudio.google.com/pinpoint-extract/preview?collection=59c534ba70c0b75b&amp;job=fe598a2fe5f62708&amp;docid=f9a22023735ef321_59c534ba70c0b75b&amp;schid=8017&amp;row=23&amp;page=80" TargetMode="External"/><Relationship Id="rId81" Type="http://schemas.openxmlformats.org/officeDocument/2006/relationships/hyperlink" Target="https://journaliststudio.google.com/pinpoint-extract/preview?collection=524daaefa335d538&amp;job=aff84f4d7f79b4bb&amp;docid=1244364dcff36f7f_524daaefa335d538&amp;schid=8009&amp;row=6&amp;page=97" TargetMode="External"/><Relationship Id="rId135" Type="http://schemas.openxmlformats.org/officeDocument/2006/relationships/hyperlink" Target="https://journaliststudio.google.com/pinpoint-extract/preview?collection=524daaefa335d538&amp;job=5f636d3e738a0ef3&amp;docid=1f0f8b47c49b27c2_524daaefa335d538&amp;schid=8009&amp;row=3&amp;page=92" TargetMode="External"/><Relationship Id="rId177" Type="http://schemas.openxmlformats.org/officeDocument/2006/relationships/hyperlink" Target="https://journaliststudio.google.com/pinpoint-extract/preview?collection=59c534ba70c0b75b&amp;job=4c523ebcf60a55b&amp;docid=d5c6addb973fc20e_59c534ba70c0b75b&amp;schid=8001&amp;row=12&amp;page=87" TargetMode="External"/><Relationship Id="rId342" Type="http://schemas.openxmlformats.org/officeDocument/2006/relationships/hyperlink" Target="https://journaliststudio.google.com/pinpoint-extract/preview?collection=b4db47ccc48595a5&amp;job=7a46166c988abe25&amp;docid=252734efe751c385_b4db47ccc48595a5&amp;schid=8019&amp;row=18&amp;page=81" TargetMode="External"/><Relationship Id="rId384" Type="http://schemas.openxmlformats.org/officeDocument/2006/relationships/hyperlink" Target="https://journaliststudio.google.com/pinpoint-extract/preview?collection=b4db47ccc48595a5&amp;job=895e8f817fd773a3&amp;docid=46e4f917ea989928_b4db47ccc48595a5&amp;schid=8001&amp;row=15&amp;page=90" TargetMode="External"/><Relationship Id="rId202" Type="http://schemas.openxmlformats.org/officeDocument/2006/relationships/hyperlink" Target="https://journaliststudio.google.com/pinpoint-extract/preview?collection=59c534ba70c0b75b&amp;job=c02b390973229d85&amp;docid=d5c6addb973fc20e_59c534ba70c0b75b&amp;schid=8011&amp;row=15&amp;page=88" TargetMode="External"/><Relationship Id="rId244" Type="http://schemas.openxmlformats.org/officeDocument/2006/relationships/hyperlink" Target="https://journaliststudio.google.com/pinpoint-extract/preview?collection=94f5d562231d4dd6&amp;job=fff7789bceade090&amp;docid=bb843fadc6314b6e_94f5d562231d4dd6&amp;schid=8001&amp;row=21&amp;page=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509"/>
  <sheetViews>
    <sheetView tabSelected="1" workbookViewId="0">
      <selection activeCell="A2" sqref="A2"/>
    </sheetView>
  </sheetViews>
  <sheetFormatPr defaultColWidth="12.6328125" defaultRowHeight="15.75" customHeight="1"/>
  <cols>
    <col min="1" max="1" width="25.26953125" customWidth="1"/>
    <col min="2" max="2" width="31.6328125" customWidth="1"/>
    <col min="3" max="11" width="12.6328125" customWidth="1"/>
    <col min="12" max="12" width="12.7265625" customWidth="1"/>
    <col min="13" max="13" width="12.6328125" customWidth="1"/>
    <col min="14" max="14" width="20.90625" customWidth="1"/>
    <col min="15" max="17" width="12.6328125" customWidth="1"/>
    <col min="18" max="18" width="14.453125" customWidth="1"/>
    <col min="19" max="21" width="12.6328125" customWidth="1"/>
    <col min="22" max="22" width="9.08984375" customWidth="1"/>
    <col min="23" max="34" width="12.6328125" customWidth="1"/>
    <col min="35" max="35" width="15.26953125" customWidth="1"/>
    <col min="36" max="37" width="12.6328125" customWidth="1"/>
    <col min="38" max="44" width="47" customWidth="1"/>
  </cols>
  <sheetData>
    <row r="1" spans="1:44" ht="39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5" t="s">
        <v>32</v>
      </c>
      <c r="AH1" s="6" t="s">
        <v>33</v>
      </c>
      <c r="AI1" s="6" t="s">
        <v>34</v>
      </c>
      <c r="AJ1" s="3" t="s">
        <v>35</v>
      </c>
      <c r="AK1" s="2" t="s">
        <v>36</v>
      </c>
      <c r="AL1" s="3" t="s">
        <v>37</v>
      </c>
      <c r="AM1" s="2"/>
      <c r="AN1" s="2"/>
      <c r="AO1" s="2"/>
      <c r="AP1" s="2"/>
      <c r="AQ1" s="2"/>
      <c r="AR1" s="7"/>
    </row>
    <row r="2" spans="1:44" ht="15.75" customHeight="1">
      <c r="A2" s="8" t="s">
        <v>38</v>
      </c>
      <c r="B2" s="9" t="s">
        <v>39</v>
      </c>
      <c r="C2" s="10" t="s">
        <v>40</v>
      </c>
      <c r="D2" s="11">
        <v>1516.64</v>
      </c>
      <c r="E2" s="11">
        <v>23</v>
      </c>
      <c r="F2" s="11">
        <v>13.94</v>
      </c>
      <c r="G2" s="11">
        <v>65.88</v>
      </c>
      <c r="H2" s="11">
        <v>36.65</v>
      </c>
      <c r="I2" s="11">
        <v>6.52</v>
      </c>
      <c r="J2" s="11">
        <v>187.76</v>
      </c>
      <c r="K2" s="11">
        <v>19.2</v>
      </c>
      <c r="L2" s="11">
        <v>305.12</v>
      </c>
      <c r="M2" s="11">
        <v>103.44</v>
      </c>
      <c r="N2" s="11">
        <v>19.5</v>
      </c>
      <c r="O2" s="11">
        <v>31.47</v>
      </c>
      <c r="P2" s="11">
        <v>1.02</v>
      </c>
      <c r="Q2" s="11">
        <v>24.01</v>
      </c>
      <c r="R2" s="11">
        <v>28.4</v>
      </c>
      <c r="S2" s="11">
        <v>1499.3</v>
      </c>
      <c r="T2" s="9" t="s">
        <v>41</v>
      </c>
      <c r="U2" s="9" t="s">
        <v>41</v>
      </c>
      <c r="V2" s="12">
        <v>16.59</v>
      </c>
      <c r="W2" s="9" t="s">
        <v>41</v>
      </c>
      <c r="X2" s="9" t="s">
        <v>41</v>
      </c>
      <c r="Y2" s="9" t="s">
        <v>41</v>
      </c>
      <c r="Z2" s="11">
        <v>40.14</v>
      </c>
      <c r="AA2" s="9" t="s">
        <v>41</v>
      </c>
      <c r="AB2" s="11">
        <v>9.94</v>
      </c>
      <c r="AC2" s="11">
        <v>103.95</v>
      </c>
      <c r="AD2" s="11">
        <v>21.68</v>
      </c>
      <c r="AE2" s="11">
        <v>46.14</v>
      </c>
      <c r="AF2" s="11">
        <v>181.71</v>
      </c>
      <c r="AJ2" s="11">
        <v>4120.29</v>
      </c>
      <c r="AK2" s="11">
        <v>12.21</v>
      </c>
      <c r="AL2" s="11">
        <v>4108.08</v>
      </c>
      <c r="AM2" s="9"/>
      <c r="AN2" s="9"/>
      <c r="AO2" s="9"/>
      <c r="AP2" s="9"/>
      <c r="AQ2" s="13"/>
      <c r="AR2" s="13"/>
    </row>
    <row r="3" spans="1:44" ht="15.75" customHeight="1">
      <c r="A3" s="9" t="s">
        <v>42</v>
      </c>
      <c r="B3" s="9" t="s">
        <v>43</v>
      </c>
      <c r="C3" s="10" t="s">
        <v>40</v>
      </c>
      <c r="D3" s="11">
        <v>758.54</v>
      </c>
      <c r="E3" s="11">
        <v>32.090000000000003</v>
      </c>
      <c r="F3" s="11">
        <v>42.01</v>
      </c>
      <c r="G3" s="11">
        <v>441.73</v>
      </c>
      <c r="H3" s="11">
        <v>114.92</v>
      </c>
      <c r="I3" s="11">
        <v>11.45</v>
      </c>
      <c r="J3" s="11">
        <v>52.19</v>
      </c>
      <c r="K3" s="11">
        <v>222.49</v>
      </c>
      <c r="L3" s="11">
        <v>746.02</v>
      </c>
      <c r="M3" s="11">
        <v>24.41</v>
      </c>
      <c r="N3" s="11">
        <v>114.64</v>
      </c>
      <c r="O3" s="11">
        <v>48.33</v>
      </c>
      <c r="P3" s="9" t="s">
        <v>41</v>
      </c>
      <c r="Q3" s="11">
        <v>52.67</v>
      </c>
      <c r="R3" s="11">
        <v>158.51</v>
      </c>
      <c r="S3" s="11">
        <v>1048.97</v>
      </c>
      <c r="T3" s="9" t="s">
        <v>41</v>
      </c>
      <c r="U3" s="9" t="s">
        <v>41</v>
      </c>
      <c r="V3" s="12">
        <v>11.7</v>
      </c>
      <c r="W3" s="9" t="s">
        <v>41</v>
      </c>
      <c r="X3" s="9" t="s">
        <v>41</v>
      </c>
      <c r="Y3" s="9" t="s">
        <v>41</v>
      </c>
      <c r="Z3" s="9" t="s">
        <v>41</v>
      </c>
      <c r="AA3" s="9" t="s">
        <v>41</v>
      </c>
      <c r="AB3" s="11">
        <v>9.59</v>
      </c>
      <c r="AC3" s="11">
        <v>139.65</v>
      </c>
      <c r="AD3" s="11">
        <v>51.34</v>
      </c>
      <c r="AE3" s="11">
        <v>192.79</v>
      </c>
      <c r="AF3" s="11">
        <v>393.37</v>
      </c>
      <c r="AJ3" s="11">
        <v>4274.05</v>
      </c>
      <c r="AK3" s="9" t="s">
        <v>41</v>
      </c>
      <c r="AL3" s="11">
        <v>4274.05</v>
      </c>
      <c r="AM3" s="9"/>
      <c r="AN3" s="9"/>
      <c r="AO3" s="9"/>
      <c r="AP3" s="9"/>
      <c r="AQ3" s="13"/>
      <c r="AR3" s="13"/>
    </row>
    <row r="4" spans="1:44" ht="15.75" customHeight="1">
      <c r="A4" s="9" t="s">
        <v>44</v>
      </c>
      <c r="B4" s="9" t="s">
        <v>45</v>
      </c>
      <c r="C4" s="10" t="s">
        <v>40</v>
      </c>
      <c r="D4" s="11">
        <v>382.47</v>
      </c>
      <c r="E4" s="9" t="s">
        <v>41</v>
      </c>
      <c r="F4" s="11">
        <v>14.89</v>
      </c>
      <c r="G4" s="11">
        <v>110.15</v>
      </c>
      <c r="H4" s="11">
        <v>44.33</v>
      </c>
      <c r="I4" s="11">
        <v>5.69</v>
      </c>
      <c r="J4" s="11">
        <v>111.54</v>
      </c>
      <c r="K4" s="11">
        <v>19.37</v>
      </c>
      <c r="L4" s="11">
        <v>62.56</v>
      </c>
      <c r="M4" s="11">
        <v>3.73</v>
      </c>
      <c r="N4" s="11">
        <v>22.38</v>
      </c>
      <c r="O4" s="11">
        <v>2.97</v>
      </c>
      <c r="P4" s="11">
        <v>1.1200000000000001</v>
      </c>
      <c r="Q4" s="11">
        <v>28.98</v>
      </c>
      <c r="R4" s="11">
        <v>36.68</v>
      </c>
      <c r="S4" s="11">
        <v>230.53</v>
      </c>
      <c r="T4" s="9" t="s">
        <v>41</v>
      </c>
      <c r="U4" s="9" t="s">
        <v>41</v>
      </c>
      <c r="V4" s="12">
        <v>36.89</v>
      </c>
      <c r="W4" s="9" t="s">
        <v>41</v>
      </c>
      <c r="X4" s="9" t="s">
        <v>41</v>
      </c>
      <c r="Y4" s="9" t="s">
        <v>41</v>
      </c>
      <c r="Z4" s="9" t="s">
        <v>41</v>
      </c>
      <c r="AA4" s="9" t="s">
        <v>41</v>
      </c>
      <c r="AB4" s="11">
        <v>170</v>
      </c>
      <c r="AC4" s="11">
        <v>50</v>
      </c>
      <c r="AD4" s="11">
        <v>10.210000000000001</v>
      </c>
      <c r="AE4" s="11">
        <v>23.13</v>
      </c>
      <c r="AF4" s="11">
        <v>253.34</v>
      </c>
      <c r="AJ4" s="11">
        <v>1367.61</v>
      </c>
      <c r="AK4" s="9" t="s">
        <v>41</v>
      </c>
      <c r="AL4" s="11">
        <v>1367.61</v>
      </c>
      <c r="AM4" s="9"/>
      <c r="AN4" s="9"/>
      <c r="AO4" s="9"/>
      <c r="AP4" s="9"/>
      <c r="AQ4" s="13"/>
      <c r="AR4" s="13"/>
    </row>
    <row r="5" spans="1:44" ht="15.75" customHeight="1">
      <c r="A5" s="9" t="s">
        <v>46</v>
      </c>
      <c r="B5" s="9" t="s">
        <v>47</v>
      </c>
      <c r="C5" s="10" t="s">
        <v>40</v>
      </c>
      <c r="D5" s="11">
        <v>98.87</v>
      </c>
      <c r="E5" s="9" t="s">
        <v>41</v>
      </c>
      <c r="F5" s="11">
        <v>9.36</v>
      </c>
      <c r="G5" s="11">
        <v>78.31</v>
      </c>
      <c r="H5" s="11">
        <v>15.99</v>
      </c>
      <c r="I5" s="11">
        <v>8.25</v>
      </c>
      <c r="J5" s="9" t="s">
        <v>41</v>
      </c>
      <c r="K5" s="11">
        <v>27.03</v>
      </c>
      <c r="L5" s="11">
        <v>28.82</v>
      </c>
      <c r="M5" s="11">
        <v>1.67</v>
      </c>
      <c r="N5" s="11">
        <v>5.6</v>
      </c>
      <c r="O5" s="11">
        <v>3.55</v>
      </c>
      <c r="P5" s="9" t="s">
        <v>41</v>
      </c>
      <c r="Q5" s="11">
        <v>15.75</v>
      </c>
      <c r="R5" s="11">
        <v>7.3</v>
      </c>
      <c r="S5" s="11">
        <v>59.76</v>
      </c>
      <c r="T5" s="9" t="s">
        <v>41</v>
      </c>
      <c r="U5" s="9" t="s">
        <v>41</v>
      </c>
      <c r="V5" s="14" t="s">
        <v>41</v>
      </c>
      <c r="W5" s="9" t="s">
        <v>41</v>
      </c>
      <c r="X5" s="9" t="s">
        <v>41</v>
      </c>
      <c r="Y5" s="9" t="s">
        <v>41</v>
      </c>
      <c r="Z5" s="9" t="s">
        <v>41</v>
      </c>
      <c r="AA5" s="9" t="s">
        <v>41</v>
      </c>
      <c r="AB5" s="9" t="s">
        <v>41</v>
      </c>
      <c r="AC5" s="9" t="s">
        <v>41</v>
      </c>
      <c r="AD5" s="9" t="s">
        <v>41</v>
      </c>
      <c r="AE5" s="9" t="s">
        <v>41</v>
      </c>
      <c r="AF5" s="9" t="s">
        <v>41</v>
      </c>
      <c r="AJ5" s="11">
        <v>360.26</v>
      </c>
      <c r="AK5" s="9" t="s">
        <v>41</v>
      </c>
      <c r="AL5" s="11">
        <v>360.26</v>
      </c>
      <c r="AM5" s="9"/>
      <c r="AN5" s="9"/>
      <c r="AO5" s="9"/>
      <c r="AP5" s="9"/>
      <c r="AQ5" s="13"/>
      <c r="AR5" s="13"/>
    </row>
    <row r="6" spans="1:44" ht="15.75" customHeight="1">
      <c r="A6" s="9" t="s">
        <v>48</v>
      </c>
      <c r="B6" s="9" t="s">
        <v>49</v>
      </c>
      <c r="C6" s="10" t="s">
        <v>40</v>
      </c>
      <c r="D6" s="11">
        <v>143.63999999999999</v>
      </c>
      <c r="E6" s="11">
        <v>17.41</v>
      </c>
      <c r="F6" s="11">
        <v>5.95</v>
      </c>
      <c r="G6" s="11">
        <v>41.36</v>
      </c>
      <c r="H6" s="11">
        <v>10.8</v>
      </c>
      <c r="I6" s="11">
        <v>4.2699999999999996</v>
      </c>
      <c r="J6" s="9" t="s">
        <v>41</v>
      </c>
      <c r="K6" s="11">
        <v>9.4600000000000009</v>
      </c>
      <c r="L6" s="11">
        <v>30.89</v>
      </c>
      <c r="M6" s="11">
        <v>2.35</v>
      </c>
      <c r="N6" s="11">
        <v>2.29</v>
      </c>
      <c r="O6" s="11">
        <v>1.21</v>
      </c>
      <c r="P6" s="9" t="s">
        <v>41</v>
      </c>
      <c r="Q6" s="11">
        <v>12.77</v>
      </c>
      <c r="R6" s="11">
        <v>8.17</v>
      </c>
      <c r="S6" s="11">
        <v>0</v>
      </c>
      <c r="T6" s="9" t="s">
        <v>41</v>
      </c>
      <c r="U6" s="9" t="s">
        <v>41</v>
      </c>
      <c r="V6" s="14" t="s">
        <v>41</v>
      </c>
      <c r="W6" s="9" t="s">
        <v>41</v>
      </c>
      <c r="X6" s="9" t="s">
        <v>41</v>
      </c>
      <c r="Y6" s="9" t="s">
        <v>41</v>
      </c>
      <c r="Z6" s="9" t="s">
        <v>41</v>
      </c>
      <c r="AA6" s="9" t="s">
        <v>41</v>
      </c>
      <c r="AB6" s="9" t="s">
        <v>41</v>
      </c>
      <c r="AC6" s="11">
        <v>6.66</v>
      </c>
      <c r="AD6" s="11">
        <v>24.13</v>
      </c>
      <c r="AE6" s="9" t="s">
        <v>41</v>
      </c>
      <c r="AF6" s="11">
        <v>30.79</v>
      </c>
      <c r="AJ6" s="11">
        <v>321.38</v>
      </c>
      <c r="AK6" s="9" t="s">
        <v>41</v>
      </c>
      <c r="AL6" s="11">
        <v>321.38</v>
      </c>
      <c r="AM6" s="9"/>
      <c r="AN6" s="9"/>
      <c r="AO6" s="9"/>
      <c r="AP6" s="9"/>
      <c r="AQ6" s="13"/>
      <c r="AR6" s="13"/>
    </row>
    <row r="7" spans="1:44" ht="15.75" customHeight="1">
      <c r="A7" s="9" t="s">
        <v>50</v>
      </c>
      <c r="B7" s="9" t="s">
        <v>51</v>
      </c>
      <c r="C7" s="10" t="s">
        <v>40</v>
      </c>
      <c r="D7" s="11">
        <v>32.880000000000003</v>
      </c>
      <c r="E7" s="9" t="s">
        <v>41</v>
      </c>
      <c r="F7" s="11">
        <v>2.66</v>
      </c>
      <c r="G7" s="11">
        <v>55.54</v>
      </c>
      <c r="H7" s="11">
        <v>3.3</v>
      </c>
      <c r="I7" s="11">
        <v>1.05</v>
      </c>
      <c r="J7" s="9" t="s">
        <v>41</v>
      </c>
      <c r="K7" s="11">
        <v>21.5</v>
      </c>
      <c r="L7" s="11">
        <v>18.66</v>
      </c>
      <c r="M7" s="9" t="s">
        <v>41</v>
      </c>
      <c r="N7" s="11">
        <v>1.8</v>
      </c>
      <c r="O7" s="11">
        <v>0.49</v>
      </c>
      <c r="P7" s="9" t="s">
        <v>41</v>
      </c>
      <c r="Q7" s="11">
        <v>3.95</v>
      </c>
      <c r="R7" s="11">
        <v>7.05</v>
      </c>
      <c r="S7" s="11">
        <v>122.05</v>
      </c>
      <c r="T7" s="9" t="s">
        <v>41</v>
      </c>
      <c r="U7" s="9" t="s">
        <v>41</v>
      </c>
      <c r="V7" s="14" t="s">
        <v>41</v>
      </c>
      <c r="W7" s="9" t="s">
        <v>41</v>
      </c>
      <c r="X7" s="9" t="s">
        <v>41</v>
      </c>
      <c r="Y7" s="9" t="s">
        <v>41</v>
      </c>
      <c r="Z7" s="9" t="s">
        <v>41</v>
      </c>
      <c r="AA7" s="9" t="s">
        <v>41</v>
      </c>
      <c r="AB7" s="11">
        <v>29</v>
      </c>
      <c r="AC7" s="11">
        <v>52.22</v>
      </c>
      <c r="AD7" s="11">
        <v>3.25</v>
      </c>
      <c r="AE7" s="9" t="s">
        <v>41</v>
      </c>
      <c r="AF7" s="11">
        <v>84.47</v>
      </c>
      <c r="AJ7" s="11">
        <v>355.41</v>
      </c>
      <c r="AK7" s="11">
        <v>0</v>
      </c>
      <c r="AL7" s="11">
        <v>355.41</v>
      </c>
      <c r="AM7" s="9"/>
      <c r="AN7" s="9"/>
      <c r="AO7" s="9"/>
      <c r="AP7" s="9"/>
      <c r="AQ7" s="13"/>
      <c r="AR7" s="13"/>
    </row>
    <row r="8" spans="1:44" ht="15.75" customHeight="1">
      <c r="A8" s="9" t="s">
        <v>52</v>
      </c>
      <c r="B8" s="9" t="s">
        <v>52</v>
      </c>
      <c r="C8" s="10" t="s">
        <v>40</v>
      </c>
      <c r="D8" s="11">
        <v>2741.8</v>
      </c>
      <c r="E8" s="11">
        <v>92.85</v>
      </c>
      <c r="F8" s="11">
        <v>143.77000000000001</v>
      </c>
      <c r="G8" s="11">
        <v>1345.85</v>
      </c>
      <c r="H8" s="11">
        <v>298.16000000000003</v>
      </c>
      <c r="I8" s="11">
        <v>64.38</v>
      </c>
      <c r="J8" s="11">
        <v>195.58</v>
      </c>
      <c r="K8" s="11">
        <v>24.25</v>
      </c>
      <c r="L8" s="11">
        <v>1168.1099999999999</v>
      </c>
      <c r="M8" s="11">
        <v>76.61</v>
      </c>
      <c r="N8" s="11">
        <v>166.16</v>
      </c>
      <c r="O8" s="11">
        <v>101.42</v>
      </c>
      <c r="P8" s="11">
        <v>109.49</v>
      </c>
      <c r="Q8" s="11">
        <v>131.46</v>
      </c>
      <c r="R8" s="11">
        <v>407.92</v>
      </c>
      <c r="S8" s="11">
        <v>1972.43</v>
      </c>
      <c r="T8" s="9" t="s">
        <v>41</v>
      </c>
      <c r="U8" s="9" t="s">
        <v>41</v>
      </c>
      <c r="V8" s="12">
        <v>22.8</v>
      </c>
      <c r="W8" s="9" t="s">
        <v>41</v>
      </c>
      <c r="X8" s="9" t="s">
        <v>41</v>
      </c>
      <c r="Y8" s="9" t="s">
        <v>41</v>
      </c>
      <c r="Z8" s="9" t="s">
        <v>41</v>
      </c>
      <c r="AA8" s="9" t="s">
        <v>41</v>
      </c>
      <c r="AB8" s="11">
        <v>1.81</v>
      </c>
      <c r="AC8" s="11">
        <v>548.21</v>
      </c>
      <c r="AD8" s="11">
        <v>219.99</v>
      </c>
      <c r="AE8" s="11">
        <v>193.15</v>
      </c>
      <c r="AF8" s="11">
        <v>963.15</v>
      </c>
      <c r="AJ8" s="11">
        <v>10026.200000000001</v>
      </c>
      <c r="AK8" s="11">
        <v>2.1</v>
      </c>
      <c r="AL8" s="11">
        <v>10024.1</v>
      </c>
      <c r="AM8" s="9"/>
      <c r="AN8" s="9"/>
      <c r="AO8" s="9"/>
      <c r="AP8" s="9"/>
      <c r="AQ8" s="13"/>
      <c r="AR8" s="13"/>
    </row>
    <row r="9" spans="1:44" ht="15.75" customHeight="1">
      <c r="A9" s="9" t="s">
        <v>53</v>
      </c>
      <c r="B9" s="9" t="s">
        <v>54</v>
      </c>
      <c r="C9" s="10" t="s">
        <v>40</v>
      </c>
      <c r="D9" s="11">
        <v>24985.17</v>
      </c>
      <c r="E9" s="11">
        <v>90.52</v>
      </c>
      <c r="F9" s="11">
        <v>3.25</v>
      </c>
      <c r="G9" s="11">
        <v>166.84</v>
      </c>
      <c r="H9" s="11">
        <v>1.8</v>
      </c>
      <c r="I9" s="11">
        <v>1.08</v>
      </c>
      <c r="J9" s="11">
        <v>104.86</v>
      </c>
      <c r="K9" s="11">
        <v>9.2799999999999994</v>
      </c>
      <c r="L9" s="11">
        <v>19.14</v>
      </c>
      <c r="M9" s="11">
        <v>1797.21</v>
      </c>
      <c r="N9" s="11">
        <v>86.92</v>
      </c>
      <c r="O9" s="9" t="s">
        <v>41</v>
      </c>
      <c r="P9" s="11">
        <v>1450</v>
      </c>
      <c r="Q9" s="11">
        <v>20.8</v>
      </c>
      <c r="R9" s="11">
        <v>230.07</v>
      </c>
      <c r="S9" s="11">
        <v>316.17</v>
      </c>
      <c r="T9" s="9" t="s">
        <v>41</v>
      </c>
      <c r="U9" s="9" t="s">
        <v>41</v>
      </c>
      <c r="V9" s="12">
        <v>8.8699999999999992</v>
      </c>
      <c r="W9" s="9" t="s">
        <v>41</v>
      </c>
      <c r="X9" s="9" t="s">
        <v>41</v>
      </c>
      <c r="Y9" s="9" t="s">
        <v>41</v>
      </c>
      <c r="Z9" s="11">
        <v>4.67</v>
      </c>
      <c r="AA9" s="9" t="s">
        <v>41</v>
      </c>
      <c r="AB9" s="9" t="s">
        <v>41</v>
      </c>
      <c r="AC9" s="9" t="s">
        <v>41</v>
      </c>
      <c r="AD9" s="11">
        <v>115.74</v>
      </c>
      <c r="AE9" s="9" t="s">
        <v>41</v>
      </c>
      <c r="AF9" s="11">
        <v>115.74</v>
      </c>
      <c r="AJ9" s="11">
        <v>29412.37</v>
      </c>
      <c r="AK9" s="9" t="s">
        <v>41</v>
      </c>
      <c r="AL9" s="11">
        <v>29412.37</v>
      </c>
      <c r="AM9" s="9"/>
      <c r="AN9" s="9"/>
      <c r="AO9" s="9"/>
      <c r="AP9" s="9"/>
      <c r="AQ9" s="13"/>
      <c r="AR9" s="13"/>
    </row>
    <row r="10" spans="1:44" ht="15.75" customHeight="1">
      <c r="A10" s="9" t="s">
        <v>55</v>
      </c>
      <c r="B10" s="9" t="s">
        <v>56</v>
      </c>
      <c r="C10" s="10" t="s">
        <v>40</v>
      </c>
      <c r="D10" s="11">
        <v>6249.25</v>
      </c>
      <c r="E10" s="11">
        <v>56.67</v>
      </c>
      <c r="F10" s="11">
        <v>123.55</v>
      </c>
      <c r="G10" s="11">
        <v>538.44000000000005</v>
      </c>
      <c r="H10" s="11">
        <v>115.8</v>
      </c>
      <c r="I10" s="11">
        <v>17.649999999999999</v>
      </c>
      <c r="J10" s="11">
        <v>504.42</v>
      </c>
      <c r="K10" s="11">
        <v>67.16</v>
      </c>
      <c r="L10" s="11">
        <v>114.81</v>
      </c>
      <c r="M10" s="11">
        <v>568.71</v>
      </c>
      <c r="N10" s="11">
        <v>92.39</v>
      </c>
      <c r="O10" s="11">
        <v>76.41</v>
      </c>
      <c r="P10" s="11">
        <v>76.83</v>
      </c>
      <c r="Q10" s="11">
        <v>121.7</v>
      </c>
      <c r="R10" s="11">
        <v>161.91</v>
      </c>
      <c r="S10" s="11">
        <v>557.86</v>
      </c>
      <c r="T10" s="9" t="s">
        <v>41</v>
      </c>
      <c r="U10" s="9" t="s">
        <v>41</v>
      </c>
      <c r="V10" s="12">
        <v>2.98</v>
      </c>
      <c r="W10" s="9" t="s">
        <v>41</v>
      </c>
      <c r="X10" s="11">
        <v>130</v>
      </c>
      <c r="Y10" s="9" t="s">
        <v>41</v>
      </c>
      <c r="Z10" s="11">
        <v>12.07</v>
      </c>
      <c r="AA10" s="9" t="s">
        <v>41</v>
      </c>
      <c r="AB10" s="11">
        <v>1.36</v>
      </c>
      <c r="AC10" s="9" t="s">
        <v>41</v>
      </c>
      <c r="AD10" s="11">
        <v>38.630000000000003</v>
      </c>
      <c r="AE10" s="11">
        <v>97.68</v>
      </c>
      <c r="AF10" s="11">
        <v>137.68</v>
      </c>
      <c r="AJ10" s="15">
        <v>9726.2800000000007</v>
      </c>
      <c r="AK10" s="11">
        <v>950.79</v>
      </c>
      <c r="AL10" s="11">
        <v>8775.49</v>
      </c>
      <c r="AM10" s="9"/>
      <c r="AN10" s="9"/>
      <c r="AO10" s="9"/>
      <c r="AP10" s="9"/>
      <c r="AQ10" s="13"/>
      <c r="AR10" s="13"/>
    </row>
    <row r="11" spans="1:44" ht="15.75" customHeight="1">
      <c r="A11" s="9" t="s">
        <v>57</v>
      </c>
      <c r="B11" s="9" t="s">
        <v>58</v>
      </c>
      <c r="C11" s="10" t="s">
        <v>40</v>
      </c>
      <c r="D11" s="11">
        <v>82861.899999999994</v>
      </c>
      <c r="E11" s="11">
        <v>1211.9000000000001</v>
      </c>
      <c r="F11" s="11">
        <v>19.8</v>
      </c>
      <c r="G11" s="11">
        <v>814.71</v>
      </c>
      <c r="H11" s="11">
        <v>1.9</v>
      </c>
      <c r="I11" s="11">
        <v>0.25</v>
      </c>
      <c r="J11" s="11">
        <v>75.44</v>
      </c>
      <c r="K11" s="11">
        <v>88.57</v>
      </c>
      <c r="L11" s="11">
        <v>3.37</v>
      </c>
      <c r="M11" s="11">
        <v>3646.48</v>
      </c>
      <c r="N11" s="11">
        <v>621.85</v>
      </c>
      <c r="O11" s="11">
        <v>28.07</v>
      </c>
      <c r="P11" s="11">
        <v>11138.35</v>
      </c>
      <c r="Q11" s="11">
        <v>17.809999999999999</v>
      </c>
      <c r="R11" s="11">
        <v>1038.67</v>
      </c>
      <c r="S11" s="11">
        <v>8040.23</v>
      </c>
      <c r="T11" s="9" t="s">
        <v>41</v>
      </c>
      <c r="U11" s="9" t="s">
        <v>41</v>
      </c>
      <c r="V11" s="14" t="s">
        <v>41</v>
      </c>
      <c r="W11" s="9" t="s">
        <v>41</v>
      </c>
      <c r="X11" s="9" t="s">
        <v>41</v>
      </c>
      <c r="Y11" s="9" t="s">
        <v>41</v>
      </c>
      <c r="Z11" s="9" t="s">
        <v>41</v>
      </c>
      <c r="AA11" s="9" t="s">
        <v>41</v>
      </c>
      <c r="AB11" s="11">
        <v>4.96</v>
      </c>
      <c r="AC11" s="11">
        <v>29.25</v>
      </c>
      <c r="AD11" s="11">
        <v>18.989999999999998</v>
      </c>
      <c r="AE11" s="11">
        <v>1006.02</v>
      </c>
      <c r="AF11" s="11">
        <v>1059.22</v>
      </c>
      <c r="AJ11" s="16">
        <v>110668.51</v>
      </c>
      <c r="AK11" s="9" t="s">
        <v>41</v>
      </c>
      <c r="AL11" s="11">
        <v>110668.51</v>
      </c>
      <c r="AM11" s="9"/>
      <c r="AN11" s="9"/>
      <c r="AO11" s="9"/>
      <c r="AP11" s="9"/>
      <c r="AQ11" s="13"/>
      <c r="AR11" s="13"/>
    </row>
    <row r="12" spans="1:44" ht="15.75" customHeight="1">
      <c r="A12" s="9" t="s">
        <v>59</v>
      </c>
      <c r="B12" s="9" t="s">
        <v>60</v>
      </c>
      <c r="C12" s="10" t="s">
        <v>40</v>
      </c>
      <c r="D12" s="11">
        <v>14216.33</v>
      </c>
      <c r="E12" s="11">
        <v>207.3</v>
      </c>
      <c r="F12" s="11">
        <v>6.85</v>
      </c>
      <c r="G12" s="11">
        <v>853.96</v>
      </c>
      <c r="H12" s="11">
        <v>6.18</v>
      </c>
      <c r="I12" s="11">
        <v>0.98</v>
      </c>
      <c r="J12" s="11">
        <v>47.39</v>
      </c>
      <c r="K12" s="11">
        <v>38.79</v>
      </c>
      <c r="L12" s="11">
        <v>551.66999999999996</v>
      </c>
      <c r="M12" s="11">
        <v>133.79</v>
      </c>
      <c r="N12" s="11">
        <v>35.56</v>
      </c>
      <c r="O12" s="11">
        <v>72.88</v>
      </c>
      <c r="P12" s="9" t="s">
        <v>41</v>
      </c>
      <c r="Q12" s="11">
        <v>8.1</v>
      </c>
      <c r="R12" s="11">
        <v>51.81</v>
      </c>
      <c r="S12" s="11">
        <v>11955.06</v>
      </c>
      <c r="T12" s="9" t="s">
        <v>41</v>
      </c>
      <c r="U12" s="9" t="s">
        <v>41</v>
      </c>
      <c r="V12" s="12">
        <v>5.87</v>
      </c>
      <c r="W12" s="9" t="s">
        <v>41</v>
      </c>
      <c r="X12" s="9" t="s">
        <v>41</v>
      </c>
      <c r="Y12" s="11">
        <v>2205.98</v>
      </c>
      <c r="Z12" s="11">
        <v>18.350000000000001</v>
      </c>
      <c r="AA12" s="9" t="s">
        <v>41</v>
      </c>
      <c r="AB12" s="9" t="s">
        <v>41</v>
      </c>
      <c r="AC12" s="9" t="s">
        <v>41</v>
      </c>
      <c r="AD12" s="11">
        <v>62.53</v>
      </c>
      <c r="AE12" s="9" t="s">
        <v>41</v>
      </c>
      <c r="AF12" s="11">
        <v>62.53</v>
      </c>
      <c r="AJ12" s="11">
        <v>30479.37</v>
      </c>
      <c r="AK12" s="11">
        <v>26.08</v>
      </c>
      <c r="AL12" s="11">
        <v>30453.29</v>
      </c>
      <c r="AM12" s="9"/>
      <c r="AN12" s="9"/>
      <c r="AO12" s="9"/>
      <c r="AP12" s="9"/>
      <c r="AQ12" s="13"/>
      <c r="AR12" s="13"/>
    </row>
    <row r="13" spans="1:44" ht="15.75" customHeight="1">
      <c r="A13" s="9" t="s">
        <v>61</v>
      </c>
      <c r="B13" s="9" t="s">
        <v>62</v>
      </c>
      <c r="C13" s="10" t="s">
        <v>40</v>
      </c>
      <c r="D13" s="11">
        <v>218.87</v>
      </c>
      <c r="E13" s="9" t="s">
        <v>41</v>
      </c>
      <c r="F13" s="11">
        <v>4.49</v>
      </c>
      <c r="G13" s="11">
        <v>67.08</v>
      </c>
      <c r="H13" s="11">
        <v>9.85</v>
      </c>
      <c r="I13" s="11">
        <v>9.81</v>
      </c>
      <c r="J13" s="11">
        <v>110.3</v>
      </c>
      <c r="K13" s="11">
        <v>8.84</v>
      </c>
      <c r="L13" s="11">
        <v>178.38</v>
      </c>
      <c r="M13" s="11">
        <v>1.43</v>
      </c>
      <c r="N13" s="11">
        <v>8.94</v>
      </c>
      <c r="O13" s="11">
        <v>4.38</v>
      </c>
      <c r="P13" s="11">
        <v>1.44</v>
      </c>
      <c r="Q13" s="11">
        <v>7.18</v>
      </c>
      <c r="R13" s="11">
        <v>17.2</v>
      </c>
      <c r="S13" s="11">
        <v>255.82</v>
      </c>
      <c r="T13" s="9" t="s">
        <v>41</v>
      </c>
      <c r="U13" s="9" t="s">
        <v>41</v>
      </c>
      <c r="V13" s="12">
        <v>2.08</v>
      </c>
      <c r="W13" s="9" t="s">
        <v>41</v>
      </c>
      <c r="X13" s="9" t="s">
        <v>41</v>
      </c>
      <c r="Y13" s="11">
        <v>1065.5999999999999</v>
      </c>
      <c r="Z13" s="9" t="s">
        <v>41</v>
      </c>
      <c r="AA13" s="9" t="s">
        <v>41</v>
      </c>
      <c r="AB13" s="11">
        <v>1.1200000000000001</v>
      </c>
      <c r="AC13" s="9" t="s">
        <v>41</v>
      </c>
      <c r="AD13" s="11">
        <v>2.78</v>
      </c>
      <c r="AE13" s="11">
        <v>34.83</v>
      </c>
      <c r="AF13" s="11">
        <v>38.729999999999997</v>
      </c>
      <c r="AJ13" s="11">
        <v>2010.43</v>
      </c>
      <c r="AK13" s="11">
        <v>23.93</v>
      </c>
      <c r="AL13" s="11">
        <v>1986.5</v>
      </c>
      <c r="AM13" s="9"/>
      <c r="AN13" s="9"/>
      <c r="AO13" s="9"/>
      <c r="AP13" s="9"/>
      <c r="AQ13" s="13"/>
      <c r="AR13" s="13"/>
    </row>
    <row r="14" spans="1:44" ht="15.75" customHeight="1">
      <c r="A14" s="9" t="s">
        <v>63</v>
      </c>
      <c r="B14" s="9" t="s">
        <v>64</v>
      </c>
      <c r="C14" s="10" t="s">
        <v>40</v>
      </c>
      <c r="D14" s="11">
        <v>253.51</v>
      </c>
      <c r="E14" s="11">
        <v>1.73</v>
      </c>
      <c r="F14" s="11">
        <v>3.89</v>
      </c>
      <c r="G14" s="11">
        <v>50.22</v>
      </c>
      <c r="H14" s="11">
        <v>9.64</v>
      </c>
      <c r="I14" s="11">
        <v>0.23</v>
      </c>
      <c r="J14" s="11">
        <v>101.26</v>
      </c>
      <c r="K14" s="11">
        <v>1.88</v>
      </c>
      <c r="L14" s="11">
        <v>18.82</v>
      </c>
      <c r="M14" s="11">
        <v>0.12</v>
      </c>
      <c r="N14" s="11">
        <v>2.5</v>
      </c>
      <c r="O14" s="11">
        <v>183.31</v>
      </c>
      <c r="P14" s="9" t="s">
        <v>41</v>
      </c>
      <c r="Q14" s="11">
        <v>4.18</v>
      </c>
      <c r="R14" s="11">
        <v>6.66</v>
      </c>
      <c r="S14" s="11">
        <v>674.38</v>
      </c>
      <c r="T14" s="9" t="s">
        <v>41</v>
      </c>
      <c r="U14" s="9" t="s">
        <v>41</v>
      </c>
      <c r="V14" s="12">
        <v>4.8</v>
      </c>
      <c r="W14" s="9" t="s">
        <v>41</v>
      </c>
      <c r="X14" s="9" t="s">
        <v>41</v>
      </c>
      <c r="Y14" s="11">
        <v>10855.02</v>
      </c>
      <c r="Z14" s="11">
        <v>6865.96</v>
      </c>
      <c r="AA14" s="9" t="s">
        <v>41</v>
      </c>
      <c r="AB14" s="9" t="s">
        <v>41</v>
      </c>
      <c r="AC14" s="9" t="s">
        <v>41</v>
      </c>
      <c r="AD14" s="9" t="s">
        <v>41</v>
      </c>
      <c r="AE14" s="11">
        <v>18.420000000000002</v>
      </c>
      <c r="AF14" s="11">
        <v>18.420000000000002</v>
      </c>
      <c r="AJ14" s="11">
        <v>19056.54</v>
      </c>
      <c r="AK14" s="9" t="s">
        <v>41</v>
      </c>
      <c r="AL14" s="11">
        <v>19056.54</v>
      </c>
      <c r="AM14" s="9"/>
      <c r="AN14" s="9"/>
      <c r="AO14" s="9"/>
      <c r="AP14" s="9"/>
      <c r="AQ14" s="13"/>
      <c r="AR14" s="13"/>
    </row>
    <row r="15" spans="1:44" ht="15.75" customHeight="1">
      <c r="A15" s="9" t="s">
        <v>65</v>
      </c>
      <c r="B15" s="9" t="s">
        <v>66</v>
      </c>
      <c r="C15" s="10" t="s">
        <v>40</v>
      </c>
      <c r="D15" s="11">
        <v>1723.1</v>
      </c>
      <c r="E15" s="9" t="s">
        <v>41</v>
      </c>
      <c r="F15" s="11">
        <v>10</v>
      </c>
      <c r="G15" s="11">
        <v>90.48</v>
      </c>
      <c r="H15" s="11">
        <v>26.87</v>
      </c>
      <c r="I15" s="11">
        <v>12.1</v>
      </c>
      <c r="J15" s="9" t="s">
        <v>41</v>
      </c>
      <c r="K15" s="11">
        <v>47.92</v>
      </c>
      <c r="L15" s="11">
        <v>63.47</v>
      </c>
      <c r="M15" s="11">
        <v>39.729999999999997</v>
      </c>
      <c r="N15" s="11">
        <v>17.82</v>
      </c>
      <c r="O15" s="11">
        <v>6.25</v>
      </c>
      <c r="P15" s="9" t="s">
        <v>41</v>
      </c>
      <c r="Q15" s="11">
        <v>41.69</v>
      </c>
      <c r="R15" s="11">
        <v>28.64</v>
      </c>
      <c r="S15" s="11">
        <v>121.5</v>
      </c>
      <c r="T15" s="9" t="s">
        <v>41</v>
      </c>
      <c r="U15" s="9" t="s">
        <v>41</v>
      </c>
      <c r="V15" s="14" t="s">
        <v>41</v>
      </c>
      <c r="W15" s="16">
        <v>152492.57999999999</v>
      </c>
      <c r="X15" s="9" t="s">
        <v>41</v>
      </c>
      <c r="Y15" s="9" t="s">
        <v>41</v>
      </c>
      <c r="Z15" s="9" t="s">
        <v>41</v>
      </c>
      <c r="AA15" s="9" t="s">
        <v>41</v>
      </c>
      <c r="AB15" s="11">
        <v>1.93</v>
      </c>
      <c r="AC15" s="11">
        <v>12.7</v>
      </c>
      <c r="AD15" s="11">
        <v>19.64</v>
      </c>
      <c r="AE15" s="11">
        <v>3.09</v>
      </c>
      <c r="AF15" s="11">
        <v>37.36</v>
      </c>
      <c r="AJ15" s="16">
        <v>154759.51</v>
      </c>
      <c r="AK15" s="11">
        <v>1891.36</v>
      </c>
      <c r="AL15" s="11">
        <v>152868.15</v>
      </c>
      <c r="AM15" s="9"/>
      <c r="AN15" s="9"/>
      <c r="AO15" s="9"/>
      <c r="AP15" s="9"/>
      <c r="AQ15" s="13"/>
      <c r="AR15" s="13"/>
    </row>
    <row r="16" spans="1:44" ht="15.75" customHeight="1">
      <c r="A16" s="9" t="s">
        <v>67</v>
      </c>
      <c r="B16" s="9" t="s">
        <v>68</v>
      </c>
      <c r="C16" s="10" t="s">
        <v>40</v>
      </c>
      <c r="D16" s="11">
        <v>11016.77</v>
      </c>
      <c r="E16" s="11">
        <v>486.68</v>
      </c>
      <c r="F16" s="11">
        <v>254.63</v>
      </c>
      <c r="G16" s="11">
        <v>208.75</v>
      </c>
      <c r="H16" s="11">
        <v>3255.9</v>
      </c>
      <c r="I16" s="11">
        <v>30.94</v>
      </c>
      <c r="J16" s="11">
        <v>3011.98</v>
      </c>
      <c r="K16" s="11">
        <v>8.43</v>
      </c>
      <c r="L16" s="11">
        <v>614.80999999999995</v>
      </c>
      <c r="M16" s="11">
        <v>45.89</v>
      </c>
      <c r="N16" s="11">
        <v>67.040000000000006</v>
      </c>
      <c r="O16" s="11">
        <v>163.37</v>
      </c>
      <c r="P16" s="11">
        <v>113.05</v>
      </c>
      <c r="Q16" s="11">
        <v>136.38</v>
      </c>
      <c r="R16" s="11">
        <v>121.49</v>
      </c>
      <c r="S16" s="11">
        <v>1330.14</v>
      </c>
      <c r="T16" s="9" t="s">
        <v>41</v>
      </c>
      <c r="U16" s="9" t="s">
        <v>41</v>
      </c>
      <c r="V16" s="12">
        <v>75.959999999999994</v>
      </c>
      <c r="W16" s="9" t="s">
        <v>41</v>
      </c>
      <c r="X16" s="9" t="s">
        <v>41</v>
      </c>
      <c r="Y16" s="11">
        <v>81.47</v>
      </c>
      <c r="Z16" s="11">
        <v>655.12</v>
      </c>
      <c r="AA16" s="9" t="s">
        <v>41</v>
      </c>
      <c r="AB16" s="11">
        <v>11.11</v>
      </c>
      <c r="AC16" s="11">
        <v>204.18</v>
      </c>
      <c r="AD16" s="11">
        <v>144.26</v>
      </c>
      <c r="AE16" s="11">
        <v>16.91</v>
      </c>
      <c r="AF16" s="11">
        <v>376.46</v>
      </c>
      <c r="AJ16" s="11">
        <v>22055.25</v>
      </c>
      <c r="AK16" s="11">
        <v>220.64</v>
      </c>
      <c r="AL16" s="11">
        <v>21834.62</v>
      </c>
      <c r="AM16" s="9"/>
      <c r="AN16" s="9"/>
      <c r="AO16" s="9"/>
      <c r="AP16" s="9"/>
      <c r="AQ16" s="13"/>
      <c r="AR16" s="13"/>
    </row>
    <row r="17" spans="1:44" ht="15.75" customHeight="1">
      <c r="A17" s="9" t="s">
        <v>69</v>
      </c>
      <c r="B17" s="9" t="s">
        <v>70</v>
      </c>
      <c r="C17" s="10" t="s">
        <v>40</v>
      </c>
      <c r="D17" s="11">
        <v>97.27</v>
      </c>
      <c r="E17" s="11">
        <v>2.85</v>
      </c>
      <c r="F17" s="11">
        <v>7.16</v>
      </c>
      <c r="G17" s="11">
        <v>52.55</v>
      </c>
      <c r="H17" s="11">
        <v>484.29</v>
      </c>
      <c r="I17" s="11">
        <v>9.36</v>
      </c>
      <c r="J17" s="11">
        <v>38.5</v>
      </c>
      <c r="K17" s="11">
        <v>11.55</v>
      </c>
      <c r="L17" s="11">
        <v>76.27</v>
      </c>
      <c r="M17" s="11">
        <v>0.67</v>
      </c>
      <c r="N17" s="11">
        <v>4.75</v>
      </c>
      <c r="O17" s="11">
        <v>0.13</v>
      </c>
      <c r="P17" s="9" t="s">
        <v>41</v>
      </c>
      <c r="Q17" s="11">
        <v>9.43</v>
      </c>
      <c r="R17" s="11">
        <v>5.5</v>
      </c>
      <c r="S17" s="11">
        <v>69.39</v>
      </c>
      <c r="T17" s="9" t="s">
        <v>41</v>
      </c>
      <c r="U17" s="9" t="s">
        <v>41</v>
      </c>
      <c r="V17" s="14" t="s">
        <v>41</v>
      </c>
      <c r="W17" s="9" t="s">
        <v>41</v>
      </c>
      <c r="X17" s="9" t="s">
        <v>41</v>
      </c>
      <c r="Y17" s="9" t="s">
        <v>41</v>
      </c>
      <c r="Z17" s="9" t="s">
        <v>41</v>
      </c>
      <c r="AA17" s="9" t="s">
        <v>41</v>
      </c>
      <c r="AB17" s="11">
        <v>86.4</v>
      </c>
      <c r="AC17" s="11">
        <v>37.4</v>
      </c>
      <c r="AD17" s="11">
        <v>41.3</v>
      </c>
      <c r="AE17" s="11">
        <v>56.35</v>
      </c>
      <c r="AF17" s="11">
        <v>221.45</v>
      </c>
      <c r="AJ17" s="11">
        <v>1091.1199999999999</v>
      </c>
      <c r="AK17" s="9" t="s">
        <v>41</v>
      </c>
      <c r="AL17" s="11">
        <v>1091.1199999999999</v>
      </c>
      <c r="AM17" s="9"/>
      <c r="AN17" s="9"/>
      <c r="AO17" s="9"/>
      <c r="AP17" s="9"/>
      <c r="AQ17" s="13"/>
      <c r="AR17" s="13"/>
    </row>
    <row r="18" spans="1:44" ht="15.75" customHeight="1">
      <c r="A18" s="9" t="s">
        <v>71</v>
      </c>
      <c r="B18" s="9" t="s">
        <v>72</v>
      </c>
      <c r="C18" s="10" t="s">
        <v>40</v>
      </c>
      <c r="D18" s="11">
        <v>8217.89</v>
      </c>
      <c r="E18" s="11">
        <v>0.22</v>
      </c>
      <c r="F18" s="11">
        <v>4.46</v>
      </c>
      <c r="G18" s="11">
        <v>44.77</v>
      </c>
      <c r="H18" s="11">
        <v>2.04</v>
      </c>
      <c r="I18" s="11">
        <v>4.84</v>
      </c>
      <c r="J18" s="11">
        <v>54.13</v>
      </c>
      <c r="K18" s="11">
        <v>108.58</v>
      </c>
      <c r="L18" s="11">
        <v>13.23</v>
      </c>
      <c r="M18" s="11">
        <v>0.31</v>
      </c>
      <c r="N18" s="11">
        <v>3.17</v>
      </c>
      <c r="O18" s="11">
        <v>3.21</v>
      </c>
      <c r="P18" s="9" t="s">
        <v>41</v>
      </c>
      <c r="Q18" s="11">
        <v>8.33</v>
      </c>
      <c r="R18" s="11">
        <v>4.97</v>
      </c>
      <c r="S18" s="11">
        <v>84.73</v>
      </c>
      <c r="T18" s="9" t="s">
        <v>41</v>
      </c>
      <c r="U18" s="9" t="s">
        <v>41</v>
      </c>
      <c r="V18" s="12">
        <v>4.18</v>
      </c>
      <c r="W18" s="11">
        <v>11941.41</v>
      </c>
      <c r="X18" s="9" t="s">
        <v>41</v>
      </c>
      <c r="Y18" s="9" t="s">
        <v>41</v>
      </c>
      <c r="Z18" s="11">
        <v>4619.24</v>
      </c>
      <c r="AA18" s="9" t="s">
        <v>41</v>
      </c>
      <c r="AB18" s="9" t="s">
        <v>41</v>
      </c>
      <c r="AC18" s="9" t="s">
        <v>41</v>
      </c>
      <c r="AD18" s="11">
        <v>20.47</v>
      </c>
      <c r="AE18" s="11">
        <v>3.05</v>
      </c>
      <c r="AF18" s="11">
        <v>23.52</v>
      </c>
      <c r="AJ18" s="11">
        <v>25143.21</v>
      </c>
      <c r="AK18" s="11">
        <v>4749.1499999999996</v>
      </c>
      <c r="AL18" s="11">
        <v>20394.060000000001</v>
      </c>
      <c r="AM18" s="9"/>
      <c r="AN18" s="9"/>
      <c r="AO18" s="9"/>
      <c r="AP18" s="9"/>
      <c r="AQ18" s="13"/>
      <c r="AR18" s="13"/>
    </row>
    <row r="19" spans="1:44" ht="15.75" customHeight="1">
      <c r="A19" s="11" t="s">
        <v>73</v>
      </c>
      <c r="B19" s="9" t="s">
        <v>73</v>
      </c>
      <c r="C19" s="10" t="s">
        <v>40</v>
      </c>
      <c r="D19" s="11">
        <v>251.07</v>
      </c>
      <c r="E19" s="11">
        <v>10.15</v>
      </c>
      <c r="F19" s="11">
        <v>12.18</v>
      </c>
      <c r="G19" s="11">
        <v>63.37</v>
      </c>
      <c r="H19" s="11">
        <v>10.58</v>
      </c>
      <c r="I19" s="11">
        <v>3.56</v>
      </c>
      <c r="J19" s="11">
        <v>70.599999999999994</v>
      </c>
      <c r="K19" s="11">
        <v>11.54</v>
      </c>
      <c r="L19" s="11">
        <v>26.55</v>
      </c>
      <c r="M19" s="11">
        <v>3.02</v>
      </c>
      <c r="N19" s="11">
        <v>9.16</v>
      </c>
      <c r="O19" s="11">
        <v>8.1199999999999992</v>
      </c>
      <c r="P19" s="9" t="s">
        <v>41</v>
      </c>
      <c r="Q19" s="11">
        <v>13.57</v>
      </c>
      <c r="R19" s="11">
        <v>14.46</v>
      </c>
      <c r="S19" s="11">
        <v>36738.03</v>
      </c>
      <c r="T19" s="9" t="s">
        <v>41</v>
      </c>
      <c r="U19" s="9" t="s">
        <v>41</v>
      </c>
      <c r="V19" s="14" t="s">
        <v>41</v>
      </c>
      <c r="W19" s="9" t="s">
        <v>41</v>
      </c>
      <c r="X19" s="9" t="s">
        <v>41</v>
      </c>
      <c r="Y19" s="11">
        <v>57689.71</v>
      </c>
      <c r="Z19" s="11">
        <v>21975.56</v>
      </c>
      <c r="AA19" s="11">
        <v>31895</v>
      </c>
      <c r="AB19" s="9" t="s">
        <v>41</v>
      </c>
      <c r="AC19" s="9" t="s">
        <v>41</v>
      </c>
      <c r="AD19" s="11">
        <v>6.89</v>
      </c>
      <c r="AE19" s="11">
        <v>4.43</v>
      </c>
      <c r="AF19" s="11">
        <v>11.32</v>
      </c>
      <c r="AJ19" s="16">
        <v>148817.57999999999</v>
      </c>
      <c r="AK19" s="11">
        <v>57689.71</v>
      </c>
      <c r="AL19" s="9">
        <v>91127.87</v>
      </c>
      <c r="AM19" s="9"/>
      <c r="AN19" s="9"/>
      <c r="AO19" s="9"/>
      <c r="AP19" s="9"/>
      <c r="AQ19" s="13"/>
      <c r="AR19" s="13"/>
    </row>
    <row r="20" spans="1:44" ht="15.75" customHeight="1">
      <c r="A20" s="9" t="s">
        <v>74</v>
      </c>
      <c r="B20" s="9" t="s">
        <v>75</v>
      </c>
      <c r="C20" s="10" t="s">
        <v>40</v>
      </c>
      <c r="D20" s="11">
        <v>4309.47</v>
      </c>
      <c r="E20" s="9" t="s">
        <v>41</v>
      </c>
      <c r="F20" s="11">
        <v>2.89</v>
      </c>
      <c r="G20" s="11">
        <v>59.16</v>
      </c>
      <c r="H20" s="11">
        <v>1.63</v>
      </c>
      <c r="I20" s="11">
        <v>1.92</v>
      </c>
      <c r="J20" s="11">
        <v>32.130000000000003</v>
      </c>
      <c r="K20" s="11">
        <v>2.12</v>
      </c>
      <c r="L20" s="11">
        <v>6.47</v>
      </c>
      <c r="M20" s="9" t="s">
        <v>41</v>
      </c>
      <c r="N20" s="11">
        <v>6.87</v>
      </c>
      <c r="O20" s="11">
        <v>5.19</v>
      </c>
      <c r="P20" s="9" t="s">
        <v>41</v>
      </c>
      <c r="Q20" s="11">
        <v>79.89</v>
      </c>
      <c r="R20" s="11">
        <v>25.27</v>
      </c>
      <c r="S20" s="11">
        <v>9289.3700000000008</v>
      </c>
      <c r="T20" s="11">
        <v>93615.41</v>
      </c>
      <c r="U20" s="9" t="s">
        <v>41</v>
      </c>
      <c r="V20" s="14" t="s">
        <v>41</v>
      </c>
      <c r="W20" s="11">
        <v>17181.099999999999</v>
      </c>
      <c r="X20" s="9" t="s">
        <v>41</v>
      </c>
      <c r="Y20" s="9" t="s">
        <v>41</v>
      </c>
      <c r="Z20" s="9" t="s">
        <v>41</v>
      </c>
      <c r="AA20" s="9" t="s">
        <v>41</v>
      </c>
      <c r="AB20" s="9" t="s">
        <v>41</v>
      </c>
      <c r="AC20" s="9" t="s">
        <v>41</v>
      </c>
      <c r="AD20" s="9" t="s">
        <v>41</v>
      </c>
      <c r="AE20" s="9" t="s">
        <v>41</v>
      </c>
      <c r="AF20" s="9" t="s">
        <v>41</v>
      </c>
      <c r="AJ20" s="11">
        <v>124618.91</v>
      </c>
      <c r="AK20" s="9" t="s">
        <v>41</v>
      </c>
      <c r="AL20" s="11">
        <v>124618.91</v>
      </c>
      <c r="AM20" s="11"/>
      <c r="AN20" s="9"/>
      <c r="AO20" s="9"/>
      <c r="AP20" s="11"/>
      <c r="AQ20" s="11"/>
      <c r="AR20" s="13"/>
    </row>
    <row r="21" spans="1:44" ht="15.75" customHeight="1">
      <c r="A21" s="9" t="s">
        <v>76</v>
      </c>
      <c r="B21" s="9" t="s">
        <v>77</v>
      </c>
      <c r="C21" s="10" t="s">
        <v>40</v>
      </c>
      <c r="D21" s="11">
        <v>3432.62</v>
      </c>
      <c r="E21" s="11">
        <v>148.36000000000001</v>
      </c>
      <c r="F21" s="11">
        <v>34.78</v>
      </c>
      <c r="G21" s="11">
        <v>160.62</v>
      </c>
      <c r="H21" s="11">
        <v>60.3</v>
      </c>
      <c r="I21" s="11">
        <v>18.54</v>
      </c>
      <c r="J21" s="11">
        <v>77.349999999999994</v>
      </c>
      <c r="K21" s="11">
        <v>92.13</v>
      </c>
      <c r="L21" s="11">
        <v>292.16000000000003</v>
      </c>
      <c r="M21" s="11">
        <v>11.66</v>
      </c>
      <c r="N21" s="11">
        <v>21.42</v>
      </c>
      <c r="O21" s="11">
        <v>23.03</v>
      </c>
      <c r="P21" s="11">
        <v>2102.86</v>
      </c>
      <c r="Q21" s="11">
        <v>65.27</v>
      </c>
      <c r="R21" s="11">
        <v>15.09</v>
      </c>
      <c r="S21" s="11">
        <v>13107.45</v>
      </c>
      <c r="T21" s="9" t="s">
        <v>41</v>
      </c>
      <c r="U21" s="9" t="s">
        <v>41</v>
      </c>
      <c r="V21" s="12">
        <v>15.55</v>
      </c>
      <c r="W21" s="9" t="s">
        <v>41</v>
      </c>
      <c r="X21" s="11">
        <v>8158.77</v>
      </c>
      <c r="Y21" s="11">
        <v>37395.93</v>
      </c>
      <c r="Z21" s="11">
        <v>450.77</v>
      </c>
      <c r="AA21" s="9" t="s">
        <v>41</v>
      </c>
      <c r="AB21" s="11">
        <v>4.26</v>
      </c>
      <c r="AC21" s="11">
        <v>51.63</v>
      </c>
      <c r="AD21" s="11">
        <v>88.25</v>
      </c>
      <c r="AE21" s="11">
        <v>5.56</v>
      </c>
      <c r="AF21" s="11">
        <v>149.71</v>
      </c>
      <c r="AJ21" s="11">
        <v>65834.350000000006</v>
      </c>
      <c r="AK21" s="11">
        <v>8026.77</v>
      </c>
      <c r="AL21" s="11">
        <v>57807.58</v>
      </c>
      <c r="AM21" s="11"/>
      <c r="AN21" s="9"/>
      <c r="AO21" s="11"/>
      <c r="AP21" s="11"/>
      <c r="AQ21" s="11"/>
      <c r="AR21" s="13"/>
    </row>
    <row r="22" spans="1:44" ht="15.75" customHeight="1">
      <c r="A22" s="9" t="s">
        <v>78</v>
      </c>
      <c r="B22" s="9" t="s">
        <v>79</v>
      </c>
      <c r="C22" s="10" t="s">
        <v>40</v>
      </c>
      <c r="D22" s="11">
        <v>431.6</v>
      </c>
      <c r="E22" s="11">
        <v>1.61</v>
      </c>
      <c r="F22" s="11">
        <v>6.4</v>
      </c>
      <c r="G22" s="11">
        <v>72.53</v>
      </c>
      <c r="H22" s="11">
        <v>4.66</v>
      </c>
      <c r="I22" s="11">
        <v>4.04</v>
      </c>
      <c r="J22" s="11">
        <v>40.61</v>
      </c>
      <c r="K22" s="11">
        <v>165.99</v>
      </c>
      <c r="L22" s="11">
        <v>33.44</v>
      </c>
      <c r="M22" s="11">
        <v>12.3</v>
      </c>
      <c r="N22" s="11">
        <v>10.5</v>
      </c>
      <c r="O22" s="11">
        <v>5.19</v>
      </c>
      <c r="P22" s="11">
        <v>20.61</v>
      </c>
      <c r="Q22" s="11">
        <v>17.899999999999999</v>
      </c>
      <c r="R22" s="9" t="s">
        <v>41</v>
      </c>
      <c r="S22" s="11">
        <v>26.55</v>
      </c>
      <c r="T22" s="9" t="s">
        <v>41</v>
      </c>
      <c r="U22" s="9" t="s">
        <v>41</v>
      </c>
      <c r="V22" s="12">
        <v>1.1100000000000001</v>
      </c>
      <c r="W22" s="9" t="s">
        <v>41</v>
      </c>
      <c r="X22" s="9" t="s">
        <v>41</v>
      </c>
      <c r="Y22" s="11">
        <v>2923.04</v>
      </c>
      <c r="Z22" s="9" t="s">
        <v>41</v>
      </c>
      <c r="AA22" s="9" t="s">
        <v>41</v>
      </c>
      <c r="AB22" s="11">
        <v>2.63</v>
      </c>
      <c r="AC22" s="9" t="s">
        <v>41</v>
      </c>
      <c r="AD22" s="11">
        <v>16.170000000000002</v>
      </c>
      <c r="AE22" s="11">
        <v>366.17</v>
      </c>
      <c r="AF22" s="11">
        <v>384.97</v>
      </c>
      <c r="AJ22" s="11">
        <v>4163.05</v>
      </c>
      <c r="AK22" s="11">
        <v>271</v>
      </c>
      <c r="AL22" s="11">
        <v>3892.05</v>
      </c>
      <c r="AM22" s="9"/>
      <c r="AN22" s="9"/>
      <c r="AO22" s="9"/>
      <c r="AP22" s="9"/>
      <c r="AQ22" s="9"/>
      <c r="AR22" s="13"/>
    </row>
    <row r="23" spans="1:44" ht="15.75" customHeight="1">
      <c r="A23" s="9" t="s">
        <v>80</v>
      </c>
      <c r="B23" s="9" t="s">
        <v>81</v>
      </c>
      <c r="C23" s="10" t="s">
        <v>40</v>
      </c>
      <c r="D23" s="11">
        <v>8402.94</v>
      </c>
      <c r="E23" s="11">
        <v>99.04</v>
      </c>
      <c r="F23" s="11">
        <v>5.61</v>
      </c>
      <c r="G23" s="11">
        <v>419.14</v>
      </c>
      <c r="H23" s="11">
        <v>7.85</v>
      </c>
      <c r="I23" s="11">
        <v>7.79</v>
      </c>
      <c r="J23" s="11">
        <v>3.86</v>
      </c>
      <c r="K23" s="11">
        <v>561.99</v>
      </c>
      <c r="L23" s="11">
        <v>226.81</v>
      </c>
      <c r="M23" s="11">
        <v>998.04</v>
      </c>
      <c r="N23" s="11">
        <v>11.88</v>
      </c>
      <c r="O23" s="11">
        <v>184.02</v>
      </c>
      <c r="P23" s="9" t="s">
        <v>41</v>
      </c>
      <c r="Q23" s="11">
        <v>23.7</v>
      </c>
      <c r="R23" s="11">
        <v>57.48</v>
      </c>
      <c r="S23" s="11">
        <v>479.37</v>
      </c>
      <c r="T23" s="9" t="s">
        <v>41</v>
      </c>
      <c r="U23" s="9" t="s">
        <v>41</v>
      </c>
      <c r="V23" s="12">
        <v>51.5</v>
      </c>
      <c r="W23" s="9" t="s">
        <v>41</v>
      </c>
      <c r="X23" s="9" t="s">
        <v>41</v>
      </c>
      <c r="Y23" s="11">
        <v>32913.040000000001</v>
      </c>
      <c r="Z23" s="11">
        <v>71.2</v>
      </c>
      <c r="AA23" s="9" t="s">
        <v>41</v>
      </c>
      <c r="AB23" s="9" t="s">
        <v>41</v>
      </c>
      <c r="AC23" s="9" t="s">
        <v>41</v>
      </c>
      <c r="AD23" s="9" t="s">
        <v>41</v>
      </c>
      <c r="AE23" s="9" t="s">
        <v>41</v>
      </c>
      <c r="AF23" s="9" t="s">
        <v>41</v>
      </c>
      <c r="AJ23" s="11">
        <v>44525.29</v>
      </c>
      <c r="AK23" s="9" t="s">
        <v>41</v>
      </c>
      <c r="AL23" s="11">
        <v>44525.29</v>
      </c>
      <c r="AM23" s="11"/>
      <c r="AN23" s="9"/>
      <c r="AO23" s="9"/>
      <c r="AP23" s="11"/>
      <c r="AQ23" s="11"/>
      <c r="AR23" s="13"/>
    </row>
    <row r="24" spans="1:44" ht="15.75" customHeight="1">
      <c r="A24" s="9" t="s">
        <v>82</v>
      </c>
      <c r="B24" s="9" t="s">
        <v>83</v>
      </c>
      <c r="C24" s="10" t="s">
        <v>40</v>
      </c>
      <c r="D24" s="11">
        <v>6127.82</v>
      </c>
      <c r="E24" s="11">
        <v>5.73</v>
      </c>
      <c r="F24" s="11">
        <v>4.6100000000000003</v>
      </c>
      <c r="G24" s="11">
        <v>226.64</v>
      </c>
      <c r="H24" s="11">
        <v>2.89</v>
      </c>
      <c r="I24" s="11">
        <v>7.46</v>
      </c>
      <c r="J24" s="9" t="s">
        <v>41</v>
      </c>
      <c r="K24" s="11">
        <v>171.9</v>
      </c>
      <c r="L24" s="11">
        <v>67.62</v>
      </c>
      <c r="M24" s="11">
        <v>64.59</v>
      </c>
      <c r="N24" s="11">
        <v>8.43</v>
      </c>
      <c r="O24" s="11">
        <v>23.32</v>
      </c>
      <c r="P24" s="9" t="s">
        <v>41</v>
      </c>
      <c r="Q24" s="11">
        <v>19.02</v>
      </c>
      <c r="R24" s="11">
        <v>16.21</v>
      </c>
      <c r="S24" s="11">
        <v>480.19</v>
      </c>
      <c r="T24" s="9" t="s">
        <v>41</v>
      </c>
      <c r="U24" s="9" t="s">
        <v>41</v>
      </c>
      <c r="V24" s="14" t="s">
        <v>41</v>
      </c>
      <c r="W24" s="11">
        <v>8359.2900000000009</v>
      </c>
      <c r="X24" s="9" t="s">
        <v>41</v>
      </c>
      <c r="Y24" s="9" t="s">
        <v>41</v>
      </c>
      <c r="Z24" s="11">
        <v>18.87</v>
      </c>
      <c r="AA24" s="9" t="s">
        <v>41</v>
      </c>
      <c r="AB24" s="9" t="s">
        <v>41</v>
      </c>
      <c r="AC24" s="9" t="s">
        <v>41</v>
      </c>
      <c r="AD24" s="9" t="s">
        <v>41</v>
      </c>
      <c r="AE24" s="11">
        <v>64.28</v>
      </c>
      <c r="AF24" s="11">
        <v>64.28</v>
      </c>
      <c r="AJ24" s="11">
        <v>15668.86</v>
      </c>
      <c r="AK24" s="11">
        <v>2254.58</v>
      </c>
      <c r="AL24" s="11">
        <v>13414.28</v>
      </c>
      <c r="AM24" s="9"/>
      <c r="AN24" s="9"/>
      <c r="AO24" s="9"/>
      <c r="AP24" s="9"/>
      <c r="AQ24" s="9"/>
      <c r="AR24" s="13"/>
    </row>
    <row r="25" spans="1:44" ht="15.75" customHeight="1">
      <c r="A25" s="9" t="s">
        <v>84</v>
      </c>
      <c r="B25" s="9" t="s">
        <v>85</v>
      </c>
      <c r="C25" s="10" t="s">
        <v>40</v>
      </c>
      <c r="D25" s="11">
        <v>1161.19</v>
      </c>
      <c r="E25" s="11">
        <v>18.79</v>
      </c>
      <c r="F25" s="11">
        <v>1.04</v>
      </c>
      <c r="G25" s="11">
        <v>9.5299999999999994</v>
      </c>
      <c r="H25" s="11">
        <v>1.21</v>
      </c>
      <c r="I25" s="11">
        <v>0.23</v>
      </c>
      <c r="J25" s="9" t="s">
        <v>41</v>
      </c>
      <c r="K25" s="11">
        <v>0.08</v>
      </c>
      <c r="L25" s="11">
        <v>3.86</v>
      </c>
      <c r="M25" s="11">
        <v>26.37</v>
      </c>
      <c r="N25" s="11">
        <v>1.97</v>
      </c>
      <c r="O25" s="11">
        <v>6.88</v>
      </c>
      <c r="P25" s="11">
        <v>3.25</v>
      </c>
      <c r="Q25" s="11">
        <v>5.59</v>
      </c>
      <c r="R25" s="11">
        <v>1.84</v>
      </c>
      <c r="S25" s="11">
        <v>225.6</v>
      </c>
      <c r="T25" s="9" t="s">
        <v>41</v>
      </c>
      <c r="U25" s="9" t="s">
        <v>41</v>
      </c>
      <c r="V25" s="14" t="s">
        <v>41</v>
      </c>
      <c r="W25" s="11">
        <v>68890.210000000006</v>
      </c>
      <c r="X25" s="9" t="s">
        <v>41</v>
      </c>
      <c r="Y25" s="9" t="s">
        <v>41</v>
      </c>
      <c r="Z25" s="9" t="s">
        <v>41</v>
      </c>
      <c r="AA25" s="9" t="s">
        <v>41</v>
      </c>
      <c r="AB25" s="9" t="s">
        <v>41</v>
      </c>
      <c r="AC25" s="9" t="s">
        <v>41</v>
      </c>
      <c r="AD25" s="11">
        <v>0.4</v>
      </c>
      <c r="AE25" s="11">
        <v>8.8000000000000007</v>
      </c>
      <c r="AF25" s="11">
        <v>9.1999999999999993</v>
      </c>
      <c r="AJ25" s="11">
        <v>70366.84</v>
      </c>
      <c r="AK25" s="11">
        <v>68890.210000000006</v>
      </c>
      <c r="AL25" s="11">
        <v>1476.63</v>
      </c>
      <c r="AM25" s="9"/>
      <c r="AN25" s="9"/>
      <c r="AO25" s="9"/>
      <c r="AP25" s="9"/>
      <c r="AQ25" s="9"/>
      <c r="AR25" s="13"/>
    </row>
    <row r="26" spans="1:44" ht="15.75" customHeight="1">
      <c r="A26" s="9" t="s">
        <v>86</v>
      </c>
      <c r="B26" s="9" t="s">
        <v>87</v>
      </c>
      <c r="C26" s="10" t="s">
        <v>40</v>
      </c>
      <c r="D26" s="11">
        <v>184.35</v>
      </c>
      <c r="E26" s="11">
        <v>13.22</v>
      </c>
      <c r="F26" s="11">
        <v>5.83</v>
      </c>
      <c r="G26" s="11">
        <v>45.04</v>
      </c>
      <c r="H26" s="11">
        <v>20.149999999999999</v>
      </c>
      <c r="I26" s="11">
        <v>6.73</v>
      </c>
      <c r="J26" s="11">
        <v>4.7</v>
      </c>
      <c r="K26" s="11">
        <v>14.4</v>
      </c>
      <c r="L26" s="11">
        <v>16.37</v>
      </c>
      <c r="M26" s="11">
        <v>19.79</v>
      </c>
      <c r="N26" s="11">
        <v>4.46</v>
      </c>
      <c r="O26" s="11">
        <v>10.56</v>
      </c>
      <c r="P26" s="9" t="s">
        <v>41</v>
      </c>
      <c r="Q26" s="11">
        <v>15.44</v>
      </c>
      <c r="R26" s="11">
        <v>19.87</v>
      </c>
      <c r="S26" s="11">
        <v>33.01</v>
      </c>
      <c r="T26" s="9" t="s">
        <v>41</v>
      </c>
      <c r="U26" s="9" t="s">
        <v>41</v>
      </c>
      <c r="V26" s="14" t="s">
        <v>41</v>
      </c>
      <c r="W26" s="9" t="s">
        <v>41</v>
      </c>
      <c r="X26" s="9" t="s">
        <v>41</v>
      </c>
      <c r="Y26" s="11">
        <v>10121.969999999999</v>
      </c>
      <c r="Z26" s="9" t="s">
        <v>41</v>
      </c>
      <c r="AA26" s="9" t="s">
        <v>41</v>
      </c>
      <c r="AB26" s="11">
        <v>7.4</v>
      </c>
      <c r="AC26" s="9" t="s">
        <v>41</v>
      </c>
      <c r="AD26" s="11">
        <v>4.3600000000000003</v>
      </c>
      <c r="AE26" s="11">
        <v>2.08</v>
      </c>
      <c r="AF26" s="11">
        <v>13.83</v>
      </c>
      <c r="AJ26" s="11">
        <v>10549.71</v>
      </c>
      <c r="AK26" s="11">
        <v>10352.34</v>
      </c>
      <c r="AL26" s="11">
        <v>197.37</v>
      </c>
      <c r="AM26" s="11"/>
      <c r="AN26" s="9"/>
      <c r="AO26" s="9"/>
      <c r="AP26" s="11"/>
      <c r="AQ26" s="11"/>
      <c r="AR26" s="13"/>
    </row>
    <row r="27" spans="1:44" ht="15.75" customHeight="1">
      <c r="A27" s="9" t="s">
        <v>88</v>
      </c>
      <c r="B27" s="9" t="s">
        <v>89</v>
      </c>
      <c r="C27" s="10" t="s">
        <v>40</v>
      </c>
      <c r="D27" s="11">
        <v>116.59</v>
      </c>
      <c r="E27" s="9" t="s">
        <v>41</v>
      </c>
      <c r="F27" s="11">
        <v>4.3499999999999996</v>
      </c>
      <c r="G27" s="11">
        <v>21.67</v>
      </c>
      <c r="H27" s="11">
        <v>8.0399999999999991</v>
      </c>
      <c r="I27" s="11">
        <v>7.04</v>
      </c>
      <c r="J27" s="11">
        <v>30.19</v>
      </c>
      <c r="K27" s="11">
        <v>13.88</v>
      </c>
      <c r="L27" s="11">
        <v>10.050000000000001</v>
      </c>
      <c r="M27" s="11">
        <v>5.09</v>
      </c>
      <c r="N27" s="11">
        <v>1.22</v>
      </c>
      <c r="O27" s="11">
        <v>6.4</v>
      </c>
      <c r="P27" s="9" t="s">
        <v>41</v>
      </c>
      <c r="Q27" s="11">
        <v>5.33</v>
      </c>
      <c r="R27" s="11">
        <v>8.48</v>
      </c>
      <c r="S27" s="11">
        <v>29.57</v>
      </c>
      <c r="T27" s="9" t="s">
        <v>41</v>
      </c>
      <c r="U27" s="9" t="s">
        <v>41</v>
      </c>
      <c r="V27" s="12">
        <v>1.34</v>
      </c>
      <c r="W27" s="9" t="s">
        <v>41</v>
      </c>
      <c r="X27" s="9" t="s">
        <v>41</v>
      </c>
      <c r="Y27" s="11">
        <v>1887.65</v>
      </c>
      <c r="Z27" s="9" t="s">
        <v>41</v>
      </c>
      <c r="AA27" s="9" t="s">
        <v>41</v>
      </c>
      <c r="AB27" s="9" t="s">
        <v>41</v>
      </c>
      <c r="AC27" s="9" t="s">
        <v>41</v>
      </c>
      <c r="AD27" s="9" t="s">
        <v>41</v>
      </c>
      <c r="AE27" s="11">
        <v>51.28</v>
      </c>
      <c r="AF27" s="11">
        <v>51.28</v>
      </c>
      <c r="AJ27" s="11">
        <v>2208.1799999999998</v>
      </c>
      <c r="AK27" s="11">
        <v>1583.05</v>
      </c>
      <c r="AL27" s="11">
        <v>625.13</v>
      </c>
      <c r="AM27" s="9"/>
      <c r="AN27" s="9"/>
      <c r="AO27" s="9"/>
      <c r="AP27" s="9"/>
      <c r="AQ27" s="9"/>
      <c r="AR27" s="13"/>
    </row>
    <row r="28" spans="1:44" ht="15.75" customHeight="1">
      <c r="A28" s="9" t="s">
        <v>90</v>
      </c>
      <c r="B28" s="9" t="s">
        <v>91</v>
      </c>
      <c r="C28" s="10" t="s">
        <v>40</v>
      </c>
      <c r="D28" s="11">
        <v>919.03</v>
      </c>
      <c r="E28" s="11">
        <v>8.74</v>
      </c>
      <c r="F28" s="11">
        <v>1.2</v>
      </c>
      <c r="G28" s="11">
        <v>22.74</v>
      </c>
      <c r="H28" s="11">
        <v>12.02</v>
      </c>
      <c r="I28" s="11">
        <v>10.55</v>
      </c>
      <c r="J28" s="11">
        <v>200.97</v>
      </c>
      <c r="K28" s="11">
        <v>2.74</v>
      </c>
      <c r="L28" s="11">
        <v>16.39</v>
      </c>
      <c r="M28" s="11">
        <v>4.82</v>
      </c>
      <c r="N28" s="11">
        <v>6.82</v>
      </c>
      <c r="O28" s="11">
        <v>4.01</v>
      </c>
      <c r="P28" s="9" t="s">
        <v>41</v>
      </c>
      <c r="Q28" s="11">
        <v>9.75</v>
      </c>
      <c r="R28" s="11">
        <v>9.76</v>
      </c>
      <c r="S28" s="11">
        <v>115.37</v>
      </c>
      <c r="T28" s="9" t="s">
        <v>41</v>
      </c>
      <c r="U28" s="9" t="s">
        <v>41</v>
      </c>
      <c r="V28" s="12">
        <v>10.92</v>
      </c>
      <c r="W28" s="9" t="s">
        <v>41</v>
      </c>
      <c r="X28" s="9" t="s">
        <v>41</v>
      </c>
      <c r="Y28" s="9" t="s">
        <v>41</v>
      </c>
      <c r="Z28" s="9" t="s">
        <v>41</v>
      </c>
      <c r="AA28" s="9" t="s">
        <v>41</v>
      </c>
      <c r="AB28" s="9" t="s">
        <v>41</v>
      </c>
      <c r="AC28" s="9" t="s">
        <v>41</v>
      </c>
      <c r="AD28" s="9" t="s">
        <v>41</v>
      </c>
      <c r="AE28" s="9" t="s">
        <v>41</v>
      </c>
      <c r="AF28" s="9" t="s">
        <v>41</v>
      </c>
      <c r="AJ28" s="11">
        <v>1355.84</v>
      </c>
      <c r="AK28" s="11">
        <v>85.04</v>
      </c>
      <c r="AL28" s="11">
        <v>1270.8</v>
      </c>
      <c r="AM28" s="9"/>
      <c r="AN28" s="9"/>
      <c r="AO28" s="9"/>
      <c r="AP28" s="9"/>
      <c r="AQ28" s="9"/>
      <c r="AR28" s="13"/>
    </row>
    <row r="29" spans="1:44" ht="15.75" customHeight="1">
      <c r="A29" s="9" t="s">
        <v>92</v>
      </c>
      <c r="B29" s="9" t="s">
        <v>93</v>
      </c>
      <c r="C29" s="10" t="s">
        <v>40</v>
      </c>
      <c r="D29" s="11">
        <v>760.73</v>
      </c>
      <c r="E29" s="11">
        <v>10.95</v>
      </c>
      <c r="F29" s="11">
        <v>1.62</v>
      </c>
      <c r="G29" s="11">
        <v>1.62</v>
      </c>
      <c r="H29" s="11">
        <v>0.9</v>
      </c>
      <c r="I29" s="11">
        <v>0.8</v>
      </c>
      <c r="J29" s="11">
        <v>78.959999999999994</v>
      </c>
      <c r="K29" s="11">
        <v>2.71</v>
      </c>
      <c r="L29" s="11">
        <v>6.73</v>
      </c>
      <c r="M29" s="11">
        <v>6.4</v>
      </c>
      <c r="N29" s="11">
        <v>2.61</v>
      </c>
      <c r="O29" s="11">
        <v>23.08</v>
      </c>
      <c r="P29" s="9" t="s">
        <v>41</v>
      </c>
      <c r="Q29" s="11">
        <v>9.85</v>
      </c>
      <c r="R29" s="11">
        <v>7.52</v>
      </c>
      <c r="S29" s="11">
        <v>78.91</v>
      </c>
      <c r="T29" s="9" t="s">
        <v>41</v>
      </c>
      <c r="U29" s="9" t="s">
        <v>41</v>
      </c>
      <c r="V29" s="14" t="s">
        <v>41</v>
      </c>
      <c r="W29" s="9" t="s">
        <v>41</v>
      </c>
      <c r="X29" s="9" t="s">
        <v>41</v>
      </c>
      <c r="Y29" s="11">
        <v>2346</v>
      </c>
      <c r="Z29" s="9" t="s">
        <v>41</v>
      </c>
      <c r="AA29" s="9" t="s">
        <v>41</v>
      </c>
      <c r="AB29" s="9" t="s">
        <v>41</v>
      </c>
      <c r="AC29" s="9" t="s">
        <v>41</v>
      </c>
      <c r="AD29" s="11">
        <v>1.48</v>
      </c>
      <c r="AE29" s="9" t="s">
        <v>41</v>
      </c>
      <c r="AF29" s="11">
        <v>1.48</v>
      </c>
      <c r="AJ29" s="11">
        <v>3340.87</v>
      </c>
      <c r="AK29" s="11">
        <v>950</v>
      </c>
      <c r="AL29" s="11">
        <v>2390.87</v>
      </c>
      <c r="AM29" s="11"/>
      <c r="AN29" s="9"/>
      <c r="AO29" s="11"/>
      <c r="AP29" s="11"/>
      <c r="AQ29" s="11"/>
      <c r="AR29" s="13"/>
    </row>
    <row r="30" spans="1:44" ht="15.75" customHeight="1">
      <c r="A30" s="9" t="s">
        <v>94</v>
      </c>
      <c r="B30" s="9" t="s">
        <v>95</v>
      </c>
      <c r="C30" s="10" t="s">
        <v>40</v>
      </c>
      <c r="D30" s="11">
        <v>210.21</v>
      </c>
      <c r="E30" s="11">
        <v>5.97</v>
      </c>
      <c r="F30" s="11">
        <v>3.77</v>
      </c>
      <c r="G30" s="11">
        <v>17.62</v>
      </c>
      <c r="H30" s="11">
        <v>9.11</v>
      </c>
      <c r="I30" s="11">
        <v>0.74</v>
      </c>
      <c r="J30" s="9" t="s">
        <v>41</v>
      </c>
      <c r="K30" s="11">
        <v>14.15</v>
      </c>
      <c r="L30" s="11">
        <v>8.7100000000000009</v>
      </c>
      <c r="M30" s="11">
        <v>1.2</v>
      </c>
      <c r="N30" s="11">
        <v>7.77</v>
      </c>
      <c r="O30" s="11">
        <v>1.02</v>
      </c>
      <c r="P30" s="9" t="s">
        <v>41</v>
      </c>
      <c r="Q30" s="11">
        <v>4.2300000000000004</v>
      </c>
      <c r="R30" s="11">
        <v>14.7</v>
      </c>
      <c r="S30" s="11">
        <v>2.8</v>
      </c>
      <c r="T30" s="9" t="s">
        <v>41</v>
      </c>
      <c r="U30" s="9" t="s">
        <v>41</v>
      </c>
      <c r="V30" s="14" t="s">
        <v>41</v>
      </c>
      <c r="W30" s="9" t="s">
        <v>41</v>
      </c>
      <c r="X30" s="9" t="s">
        <v>41</v>
      </c>
      <c r="Y30" s="11">
        <v>1078.8499999999999</v>
      </c>
      <c r="Z30" s="9" t="s">
        <v>41</v>
      </c>
      <c r="AA30" s="9" t="s">
        <v>41</v>
      </c>
      <c r="AB30" s="9" t="s">
        <v>41</v>
      </c>
      <c r="AC30" s="11">
        <v>5.68</v>
      </c>
      <c r="AD30" s="11">
        <v>10.65</v>
      </c>
      <c r="AE30" s="11">
        <v>2.78</v>
      </c>
      <c r="AF30" s="11">
        <v>19.11</v>
      </c>
      <c r="AJ30" s="11">
        <v>1399.98</v>
      </c>
      <c r="AK30" s="11">
        <v>265.85000000000002</v>
      </c>
      <c r="AL30" s="11">
        <v>1134.1300000000001</v>
      </c>
      <c r="AM30" s="9"/>
      <c r="AN30" s="9"/>
      <c r="AO30" s="9"/>
      <c r="AP30" s="9"/>
      <c r="AQ30" s="9"/>
      <c r="AR30" s="13"/>
    </row>
    <row r="31" spans="1:44" ht="15.75" customHeight="1">
      <c r="A31" s="9" t="s">
        <v>96</v>
      </c>
      <c r="B31" s="9" t="s">
        <v>97</v>
      </c>
      <c r="C31" s="10" t="s">
        <v>40</v>
      </c>
      <c r="D31" s="11">
        <v>535.27</v>
      </c>
      <c r="E31" s="11">
        <v>5.71</v>
      </c>
      <c r="F31" s="11">
        <v>0.73</v>
      </c>
      <c r="G31" s="11">
        <v>10.95</v>
      </c>
      <c r="H31" s="11">
        <v>2.81</v>
      </c>
      <c r="I31" s="11">
        <v>0.85</v>
      </c>
      <c r="J31" s="9" t="s">
        <v>41</v>
      </c>
      <c r="K31" s="11">
        <v>1.19</v>
      </c>
      <c r="L31" s="11">
        <v>2.85</v>
      </c>
      <c r="M31" s="11">
        <v>1.77</v>
      </c>
      <c r="N31" s="11">
        <v>3.07</v>
      </c>
      <c r="O31" s="11">
        <v>1.54</v>
      </c>
      <c r="P31" s="9" t="s">
        <v>41</v>
      </c>
      <c r="Q31" s="11">
        <v>1.26</v>
      </c>
      <c r="R31" s="11">
        <v>1.92</v>
      </c>
      <c r="S31" s="11">
        <v>39.020000000000003</v>
      </c>
      <c r="T31" s="9" t="s">
        <v>41</v>
      </c>
      <c r="U31" s="9" t="s">
        <v>41</v>
      </c>
      <c r="V31" s="14" t="s">
        <v>41</v>
      </c>
      <c r="W31" s="11">
        <v>4208.3999999999996</v>
      </c>
      <c r="X31" s="9" t="s">
        <v>41</v>
      </c>
      <c r="Y31" s="9" t="s">
        <v>41</v>
      </c>
      <c r="Z31" s="9" t="s">
        <v>41</v>
      </c>
      <c r="AA31" s="9" t="s">
        <v>41</v>
      </c>
      <c r="AB31" s="9" t="s">
        <v>41</v>
      </c>
      <c r="AC31" s="9" t="s">
        <v>41</v>
      </c>
      <c r="AD31" s="9" t="s">
        <v>41</v>
      </c>
      <c r="AE31" s="11">
        <v>3.16</v>
      </c>
      <c r="AF31" s="11">
        <v>3.16</v>
      </c>
      <c r="AJ31" s="11">
        <v>4820.51</v>
      </c>
      <c r="AK31" s="11">
        <v>2017.42</v>
      </c>
      <c r="AL31" s="11">
        <v>2803.09</v>
      </c>
      <c r="AM31" s="9"/>
      <c r="AN31" s="9"/>
      <c r="AO31" s="9"/>
      <c r="AP31" s="9"/>
      <c r="AQ31" s="9"/>
      <c r="AR31" s="13"/>
    </row>
    <row r="32" spans="1:44" ht="15.75" customHeight="1">
      <c r="A32" s="9" t="s">
        <v>98</v>
      </c>
      <c r="B32" s="9" t="s">
        <v>99</v>
      </c>
      <c r="C32" s="10" t="s">
        <v>40</v>
      </c>
      <c r="D32" s="11">
        <v>2760.86</v>
      </c>
      <c r="E32" s="11">
        <v>69.02</v>
      </c>
      <c r="F32" s="11">
        <v>9.4700000000000006</v>
      </c>
      <c r="G32" s="11">
        <v>154.01</v>
      </c>
      <c r="H32" s="9" t="s">
        <v>41</v>
      </c>
      <c r="I32" s="11">
        <v>3.99</v>
      </c>
      <c r="J32" s="11">
        <v>292.47000000000003</v>
      </c>
      <c r="K32" s="11">
        <v>20.58</v>
      </c>
      <c r="L32" s="11">
        <v>123.95</v>
      </c>
      <c r="M32" s="11">
        <v>124.57</v>
      </c>
      <c r="N32" s="11">
        <v>16.989999999999998</v>
      </c>
      <c r="O32" s="11">
        <v>4.87</v>
      </c>
      <c r="P32" s="9" t="s">
        <v>41</v>
      </c>
      <c r="Q32" s="11">
        <v>26.24</v>
      </c>
      <c r="R32" s="11">
        <v>78.14</v>
      </c>
      <c r="S32" s="11">
        <v>65.06</v>
      </c>
      <c r="T32" s="9" t="s">
        <v>41</v>
      </c>
      <c r="U32" s="9" t="s">
        <v>41</v>
      </c>
      <c r="V32" s="12">
        <v>6</v>
      </c>
      <c r="W32" s="9" t="s">
        <v>41</v>
      </c>
      <c r="X32" s="9" t="s">
        <v>41</v>
      </c>
      <c r="Y32" s="9" t="s">
        <v>41</v>
      </c>
      <c r="Z32" s="9" t="s">
        <v>41</v>
      </c>
      <c r="AA32" s="9" t="s">
        <v>41</v>
      </c>
      <c r="AB32" s="9" t="s">
        <v>41</v>
      </c>
      <c r="AC32" s="11">
        <v>9.83</v>
      </c>
      <c r="AD32" s="9" t="s">
        <v>41</v>
      </c>
      <c r="AE32" s="9" t="s">
        <v>41</v>
      </c>
      <c r="AF32" s="11">
        <v>9.83</v>
      </c>
      <c r="AJ32" s="11">
        <v>3766.04</v>
      </c>
      <c r="AK32" s="11">
        <v>423.51</v>
      </c>
      <c r="AL32" s="11">
        <v>3342.53</v>
      </c>
      <c r="AM32" s="11"/>
      <c r="AN32" s="9"/>
      <c r="AO32" s="9"/>
      <c r="AP32" s="11"/>
      <c r="AQ32" s="11"/>
      <c r="AR32" s="13"/>
    </row>
    <row r="33" spans="1:44" ht="15.75" customHeight="1">
      <c r="A33" s="9" t="s">
        <v>100</v>
      </c>
      <c r="B33" s="9" t="s">
        <v>101</v>
      </c>
      <c r="C33" s="10" t="s">
        <v>40</v>
      </c>
      <c r="D33" s="11">
        <v>261.26</v>
      </c>
      <c r="E33" s="11">
        <v>7.0000000000000007E-2</v>
      </c>
      <c r="F33" s="11">
        <v>4.13</v>
      </c>
      <c r="G33" s="11">
        <v>27.26</v>
      </c>
      <c r="H33" s="11">
        <v>3.18</v>
      </c>
      <c r="I33" s="11">
        <v>1.36</v>
      </c>
      <c r="J33" s="11">
        <v>114.08</v>
      </c>
      <c r="K33" s="11">
        <v>7.25</v>
      </c>
      <c r="L33" s="11">
        <v>11.71</v>
      </c>
      <c r="M33" s="11">
        <v>0.32</v>
      </c>
      <c r="N33" s="11">
        <v>5.39</v>
      </c>
      <c r="O33" s="11">
        <v>1.18</v>
      </c>
      <c r="P33" s="9" t="s">
        <v>41</v>
      </c>
      <c r="Q33" s="11">
        <v>1.72</v>
      </c>
      <c r="R33" s="11">
        <v>6.56</v>
      </c>
      <c r="S33" s="11">
        <v>22.41</v>
      </c>
      <c r="T33" s="9" t="s">
        <v>41</v>
      </c>
      <c r="U33" s="9" t="s">
        <v>41</v>
      </c>
      <c r="V33" s="12">
        <v>0.59</v>
      </c>
      <c r="W33" s="11">
        <v>2961.41</v>
      </c>
      <c r="X33" s="9" t="s">
        <v>41</v>
      </c>
      <c r="Y33" s="9" t="s">
        <v>41</v>
      </c>
      <c r="Z33" s="9" t="s">
        <v>41</v>
      </c>
      <c r="AA33" s="9" t="s">
        <v>41</v>
      </c>
      <c r="AB33" s="9" t="s">
        <v>41</v>
      </c>
      <c r="AC33" s="9" t="s">
        <v>41</v>
      </c>
      <c r="AD33" s="11">
        <v>2.54</v>
      </c>
      <c r="AE33" s="11">
        <v>6.41</v>
      </c>
      <c r="AF33" s="11">
        <v>8.9499999999999993</v>
      </c>
      <c r="AJ33" s="11">
        <v>3438.83</v>
      </c>
      <c r="AK33" s="11">
        <v>947.45</v>
      </c>
      <c r="AL33" s="11">
        <v>2491.37</v>
      </c>
      <c r="AM33" s="9"/>
      <c r="AN33" s="9"/>
      <c r="AO33" s="9"/>
      <c r="AP33" s="9"/>
      <c r="AQ33" s="9"/>
      <c r="AR33" s="13"/>
    </row>
    <row r="34" spans="1:44" ht="15.75" customHeight="1">
      <c r="A34" s="9" t="s">
        <v>102</v>
      </c>
      <c r="B34" s="9" t="s">
        <v>103</v>
      </c>
      <c r="C34" s="10" t="s">
        <v>40</v>
      </c>
      <c r="D34" s="11">
        <v>448.1</v>
      </c>
      <c r="E34" s="11">
        <v>1.99</v>
      </c>
      <c r="F34" s="11">
        <v>10.45</v>
      </c>
      <c r="G34" s="11">
        <v>66.33</v>
      </c>
      <c r="H34" s="11">
        <v>4.09</v>
      </c>
      <c r="I34" s="11">
        <v>726.47</v>
      </c>
      <c r="J34" s="11">
        <v>31.74</v>
      </c>
      <c r="K34" s="11">
        <v>1.84</v>
      </c>
      <c r="L34" s="11">
        <v>30.94</v>
      </c>
      <c r="M34" s="11">
        <v>2.78</v>
      </c>
      <c r="N34" s="11">
        <v>5.74</v>
      </c>
      <c r="O34" s="11">
        <v>5.77</v>
      </c>
      <c r="P34" s="9" t="s">
        <v>41</v>
      </c>
      <c r="Q34" s="11">
        <v>2.17</v>
      </c>
      <c r="R34" s="11">
        <v>15.25</v>
      </c>
      <c r="S34" s="11">
        <v>37.44</v>
      </c>
      <c r="T34" s="9" t="s">
        <v>41</v>
      </c>
      <c r="U34" s="9" t="s">
        <v>41</v>
      </c>
      <c r="V34" s="12">
        <v>2.79</v>
      </c>
      <c r="W34" s="9" t="s">
        <v>41</v>
      </c>
      <c r="X34" s="9" t="s">
        <v>41</v>
      </c>
      <c r="Y34" s="11">
        <v>3516.95</v>
      </c>
      <c r="Z34" s="9" t="s">
        <v>41</v>
      </c>
      <c r="AA34" s="9" t="s">
        <v>41</v>
      </c>
      <c r="AB34" s="9" t="s">
        <v>41</v>
      </c>
      <c r="AC34" s="11">
        <v>33.69</v>
      </c>
      <c r="AD34" s="11">
        <v>1.17</v>
      </c>
      <c r="AE34" s="11">
        <v>0.57999999999999996</v>
      </c>
      <c r="AF34" s="11">
        <v>35.450000000000003</v>
      </c>
      <c r="AJ34" s="11">
        <v>4946.28</v>
      </c>
      <c r="AK34" s="11">
        <v>707.99</v>
      </c>
      <c r="AL34" s="11">
        <v>4238.29</v>
      </c>
      <c r="AM34" s="11"/>
      <c r="AN34" s="9"/>
      <c r="AO34" s="11"/>
      <c r="AP34" s="11"/>
      <c r="AQ34" s="11"/>
      <c r="AR34" s="13"/>
    </row>
    <row r="35" spans="1:44" ht="15.75" customHeight="1">
      <c r="A35" s="9" t="s">
        <v>104</v>
      </c>
      <c r="B35" s="9" t="s">
        <v>105</v>
      </c>
      <c r="C35" s="10" t="s">
        <v>40</v>
      </c>
      <c r="D35" s="11">
        <v>175.55</v>
      </c>
      <c r="E35" s="9" t="s">
        <v>41</v>
      </c>
      <c r="F35" s="11">
        <v>4.21</v>
      </c>
      <c r="G35" s="11">
        <v>15.61</v>
      </c>
      <c r="H35" s="11">
        <v>5.92</v>
      </c>
      <c r="I35" s="11">
        <v>2.98</v>
      </c>
      <c r="J35" s="11">
        <v>50.53</v>
      </c>
      <c r="K35" s="11">
        <v>3.23</v>
      </c>
      <c r="L35" s="11">
        <v>9.31</v>
      </c>
      <c r="M35" s="11">
        <v>5.05</v>
      </c>
      <c r="N35" s="11">
        <v>5.0599999999999996</v>
      </c>
      <c r="O35" s="11">
        <v>2.2999999999999998</v>
      </c>
      <c r="P35" s="9" t="s">
        <v>41</v>
      </c>
      <c r="Q35" s="11">
        <v>4.7300000000000004</v>
      </c>
      <c r="R35" s="11">
        <v>6.98</v>
      </c>
      <c r="S35" s="11">
        <v>5.85</v>
      </c>
      <c r="T35" s="9" t="s">
        <v>41</v>
      </c>
      <c r="U35" s="9" t="s">
        <v>41</v>
      </c>
      <c r="V35" s="12">
        <v>1.57</v>
      </c>
      <c r="W35" s="11">
        <v>983.3</v>
      </c>
      <c r="X35" s="9" t="s">
        <v>41</v>
      </c>
      <c r="Y35" s="9" t="s">
        <v>41</v>
      </c>
      <c r="Z35" s="9" t="s">
        <v>41</v>
      </c>
      <c r="AA35" s="9" t="s">
        <v>41</v>
      </c>
      <c r="AB35" s="9" t="s">
        <v>41</v>
      </c>
      <c r="AC35" s="9" t="s">
        <v>41</v>
      </c>
      <c r="AD35" s="11">
        <v>0.12</v>
      </c>
      <c r="AE35" s="11">
        <v>0.08</v>
      </c>
      <c r="AF35" s="11">
        <v>0.19</v>
      </c>
      <c r="AJ35" s="11">
        <v>1282.3900000000001</v>
      </c>
      <c r="AK35" s="9" t="s">
        <v>41</v>
      </c>
      <c r="AL35" s="11">
        <v>1282.3900000000001</v>
      </c>
      <c r="AM35" s="9"/>
      <c r="AN35" s="9"/>
      <c r="AO35" s="9"/>
      <c r="AP35" s="9"/>
      <c r="AQ35" s="9"/>
      <c r="AR35" s="13"/>
    </row>
    <row r="36" spans="1:44" ht="15.75" customHeight="1">
      <c r="A36" s="9" t="s">
        <v>106</v>
      </c>
      <c r="B36" s="9" t="s">
        <v>107</v>
      </c>
      <c r="C36" s="10" t="s">
        <v>40</v>
      </c>
      <c r="D36" s="11">
        <v>200.83</v>
      </c>
      <c r="E36" s="11">
        <v>2.6</v>
      </c>
      <c r="F36" s="11">
        <v>4.6900000000000004</v>
      </c>
      <c r="G36" s="11">
        <v>52.91</v>
      </c>
      <c r="H36" s="11">
        <v>11.44</v>
      </c>
      <c r="I36" s="11">
        <v>15.31</v>
      </c>
      <c r="J36" s="11">
        <v>42.57</v>
      </c>
      <c r="K36" s="11">
        <v>20.420000000000002</v>
      </c>
      <c r="L36" s="11">
        <v>45.64</v>
      </c>
      <c r="M36" s="11">
        <v>30.22</v>
      </c>
      <c r="N36" s="11">
        <v>4.4000000000000004</v>
      </c>
      <c r="O36" s="11">
        <v>1.78</v>
      </c>
      <c r="P36" s="11">
        <v>20.64</v>
      </c>
      <c r="Q36" s="11">
        <v>3.2</v>
      </c>
      <c r="R36" s="11">
        <v>11.34</v>
      </c>
      <c r="S36" s="11">
        <v>0</v>
      </c>
      <c r="T36" s="9" t="s">
        <v>41</v>
      </c>
      <c r="U36" s="9" t="s">
        <v>41</v>
      </c>
      <c r="V36" s="12">
        <v>3.16</v>
      </c>
      <c r="W36" s="11">
        <v>1716.11</v>
      </c>
      <c r="X36" s="9" t="s">
        <v>41</v>
      </c>
      <c r="Y36" s="9" t="s">
        <v>41</v>
      </c>
      <c r="Z36" s="9" t="s">
        <v>41</v>
      </c>
      <c r="AA36" s="9" t="s">
        <v>41</v>
      </c>
      <c r="AB36" s="9" t="s">
        <v>41</v>
      </c>
      <c r="AC36" s="9" t="s">
        <v>41</v>
      </c>
      <c r="AD36" s="11">
        <v>5.46</v>
      </c>
      <c r="AE36" s="9" t="s">
        <v>41</v>
      </c>
      <c r="AF36" s="11">
        <v>5.46</v>
      </c>
      <c r="AJ36" s="11">
        <v>2192.73</v>
      </c>
      <c r="AK36" s="9" t="s">
        <v>41</v>
      </c>
      <c r="AL36" s="11">
        <v>2192.73</v>
      </c>
      <c r="AM36" s="11"/>
      <c r="AN36" s="9"/>
      <c r="AO36" s="11"/>
      <c r="AP36" s="11"/>
      <c r="AQ36" s="11"/>
      <c r="AR36" s="13"/>
    </row>
    <row r="37" spans="1:44" ht="15.75" customHeight="1">
      <c r="A37" s="9" t="s">
        <v>108</v>
      </c>
      <c r="B37" s="9" t="s">
        <v>109</v>
      </c>
      <c r="C37" s="10" t="s">
        <v>40</v>
      </c>
      <c r="D37" s="11">
        <v>755.34</v>
      </c>
      <c r="E37" s="11">
        <v>9.49</v>
      </c>
      <c r="F37" s="11">
        <v>6.63</v>
      </c>
      <c r="G37" s="11">
        <v>52.86</v>
      </c>
      <c r="H37" s="11">
        <v>8.48</v>
      </c>
      <c r="I37" s="11">
        <v>7.45</v>
      </c>
      <c r="J37" s="11">
        <v>101.63</v>
      </c>
      <c r="K37" s="11">
        <v>12.65</v>
      </c>
      <c r="L37" s="11">
        <v>28.37</v>
      </c>
      <c r="M37" s="11">
        <v>24.39</v>
      </c>
      <c r="N37" s="11">
        <v>5.59</v>
      </c>
      <c r="O37" s="11">
        <v>5.23</v>
      </c>
      <c r="P37" s="11" t="s">
        <v>41</v>
      </c>
      <c r="Q37" s="11">
        <v>13.47</v>
      </c>
      <c r="R37" s="11">
        <v>7.1</v>
      </c>
      <c r="S37" s="11">
        <v>27.56</v>
      </c>
      <c r="T37" s="9" t="s">
        <v>41</v>
      </c>
      <c r="U37" s="9" t="s">
        <v>41</v>
      </c>
      <c r="V37" s="12">
        <v>1.1299999999999999</v>
      </c>
      <c r="W37" s="9" t="s">
        <v>41</v>
      </c>
      <c r="X37" s="9" t="s">
        <v>41</v>
      </c>
      <c r="Y37" s="11">
        <v>1913.76</v>
      </c>
      <c r="Z37" s="9" t="s">
        <v>41</v>
      </c>
      <c r="AA37" s="9" t="s">
        <v>41</v>
      </c>
      <c r="AB37" s="11">
        <v>0.06</v>
      </c>
      <c r="AC37" s="11">
        <v>0.13</v>
      </c>
      <c r="AD37" s="11">
        <v>2.6</v>
      </c>
      <c r="AE37" s="11">
        <v>5.4</v>
      </c>
      <c r="AF37" s="11">
        <v>8.19</v>
      </c>
      <c r="AJ37" s="11">
        <v>2989.33</v>
      </c>
      <c r="AK37" s="11">
        <v>151.94</v>
      </c>
      <c r="AL37" s="11">
        <v>2837.39</v>
      </c>
      <c r="AM37" s="11"/>
      <c r="AN37" s="9"/>
      <c r="AO37" s="9"/>
      <c r="AP37" s="11"/>
      <c r="AQ37" s="11"/>
      <c r="AR37" s="13"/>
    </row>
    <row r="38" spans="1:44" ht="15.75" customHeight="1">
      <c r="A38" s="9" t="s">
        <v>110</v>
      </c>
      <c r="B38" s="9" t="s">
        <v>111</v>
      </c>
      <c r="C38" s="10" t="s">
        <v>40</v>
      </c>
      <c r="D38" s="11">
        <v>322.14999999999998</v>
      </c>
      <c r="E38" s="11">
        <v>11.83</v>
      </c>
      <c r="F38" s="11">
        <v>12.04</v>
      </c>
      <c r="G38" s="11">
        <v>37.11</v>
      </c>
      <c r="H38" s="11">
        <v>4.9800000000000004</v>
      </c>
      <c r="I38" s="11">
        <v>1.1200000000000001</v>
      </c>
      <c r="J38" s="9" t="s">
        <v>41</v>
      </c>
      <c r="K38" s="11">
        <v>8.44</v>
      </c>
      <c r="L38" s="11">
        <v>30.49</v>
      </c>
      <c r="M38" s="11">
        <v>3.68</v>
      </c>
      <c r="N38" s="11">
        <v>5.48</v>
      </c>
      <c r="O38" s="11">
        <v>5.66</v>
      </c>
      <c r="P38" s="11" t="s">
        <v>41</v>
      </c>
      <c r="Q38" s="11">
        <v>11.39</v>
      </c>
      <c r="R38" s="11">
        <v>20.34</v>
      </c>
      <c r="S38" s="11">
        <v>37.58</v>
      </c>
      <c r="T38" s="9" t="s">
        <v>41</v>
      </c>
      <c r="U38" s="9" t="s">
        <v>41</v>
      </c>
      <c r="V38" s="12">
        <v>3.64</v>
      </c>
      <c r="W38" s="9" t="s">
        <v>41</v>
      </c>
      <c r="X38" s="9" t="s">
        <v>41</v>
      </c>
      <c r="Y38" s="11">
        <v>5457.58</v>
      </c>
      <c r="Z38" s="9" t="s">
        <v>41</v>
      </c>
      <c r="AA38" s="9" t="s">
        <v>41</v>
      </c>
      <c r="AB38" s="9" t="s">
        <v>41</v>
      </c>
      <c r="AC38" s="11">
        <v>9.24</v>
      </c>
      <c r="AD38" s="11">
        <v>8.93</v>
      </c>
      <c r="AE38" s="11">
        <v>2.62</v>
      </c>
      <c r="AF38" s="11">
        <v>27.68</v>
      </c>
      <c r="AJ38" s="11">
        <v>5994.31</v>
      </c>
      <c r="AK38" s="11">
        <v>5121.4799999999996</v>
      </c>
      <c r="AL38" s="11">
        <v>872.83</v>
      </c>
      <c r="AM38" s="9"/>
      <c r="AN38" s="9"/>
      <c r="AO38" s="9"/>
      <c r="AP38" s="9"/>
      <c r="AQ38" s="9"/>
      <c r="AR38" s="13"/>
    </row>
    <row r="39" spans="1:44" ht="15.75" customHeight="1">
      <c r="A39" s="9" t="s">
        <v>112</v>
      </c>
      <c r="B39" s="9" t="s">
        <v>113</v>
      </c>
      <c r="C39" s="10" t="s">
        <v>40</v>
      </c>
      <c r="D39" s="11">
        <v>1434.82</v>
      </c>
      <c r="E39" s="11">
        <v>40.909999999999997</v>
      </c>
      <c r="F39" s="11">
        <v>4.47</v>
      </c>
      <c r="G39" s="11">
        <v>91.31</v>
      </c>
      <c r="H39" s="11">
        <v>14.34</v>
      </c>
      <c r="I39" s="11">
        <v>6.64</v>
      </c>
      <c r="J39" s="11">
        <v>84.14</v>
      </c>
      <c r="K39" s="11">
        <v>17.600000000000001</v>
      </c>
      <c r="L39" s="11">
        <v>24.24</v>
      </c>
      <c r="M39" s="11">
        <v>286.18</v>
      </c>
      <c r="N39" s="11">
        <v>17.440000000000001</v>
      </c>
      <c r="O39" s="11">
        <v>2.13</v>
      </c>
      <c r="P39" s="11">
        <v>0.12</v>
      </c>
      <c r="Q39" s="11">
        <v>17.829999999999998</v>
      </c>
      <c r="R39" s="11">
        <v>15.99</v>
      </c>
      <c r="S39" s="11">
        <v>116.2</v>
      </c>
      <c r="T39" s="9" t="s">
        <v>41</v>
      </c>
      <c r="U39" s="9" t="s">
        <v>41</v>
      </c>
      <c r="V39" s="14" t="s">
        <v>41</v>
      </c>
      <c r="W39" s="9" t="s">
        <v>41</v>
      </c>
      <c r="X39" s="9" t="s">
        <v>41</v>
      </c>
      <c r="Y39" s="11">
        <v>3066.35</v>
      </c>
      <c r="Z39" s="9" t="s">
        <v>41</v>
      </c>
      <c r="AA39" s="9" t="s">
        <v>41</v>
      </c>
      <c r="AB39" s="11">
        <v>5.95</v>
      </c>
      <c r="AC39" s="11">
        <v>10.1</v>
      </c>
      <c r="AD39" s="11">
        <v>4.92</v>
      </c>
      <c r="AE39" s="11">
        <v>233.67</v>
      </c>
      <c r="AF39" s="11">
        <v>254.64</v>
      </c>
      <c r="AJ39" s="11">
        <v>5495.32</v>
      </c>
      <c r="AK39" s="11">
        <v>2446.89</v>
      </c>
      <c r="AL39" s="11">
        <v>3048.43</v>
      </c>
      <c r="AM39" s="11"/>
      <c r="AN39" s="9"/>
      <c r="AO39" s="9"/>
      <c r="AP39" s="11"/>
      <c r="AQ39" s="11"/>
      <c r="AR39" s="13"/>
    </row>
    <row r="40" spans="1:44" ht="15.75" customHeight="1">
      <c r="A40" s="9" t="s">
        <v>114</v>
      </c>
      <c r="B40" s="9" t="s">
        <v>115</v>
      </c>
      <c r="C40" s="10" t="s">
        <v>40</v>
      </c>
      <c r="D40" s="11">
        <v>239.1</v>
      </c>
      <c r="E40" s="11">
        <v>0.5</v>
      </c>
      <c r="F40" s="11">
        <v>0.34</v>
      </c>
      <c r="G40" s="11">
        <v>9.11</v>
      </c>
      <c r="H40" s="11">
        <v>2.33</v>
      </c>
      <c r="I40" s="11">
        <v>0.56999999999999995</v>
      </c>
      <c r="J40" s="11">
        <v>25.84</v>
      </c>
      <c r="K40" s="11">
        <v>5.98</v>
      </c>
      <c r="L40" s="11">
        <v>3.31</v>
      </c>
      <c r="M40" s="11">
        <v>7.07</v>
      </c>
      <c r="N40" s="11">
        <v>3.72</v>
      </c>
      <c r="O40" s="11">
        <v>0.28999999999999998</v>
      </c>
      <c r="P40" s="9" t="s">
        <v>41</v>
      </c>
      <c r="Q40" s="11">
        <v>3.1</v>
      </c>
      <c r="R40" s="11">
        <v>5.26</v>
      </c>
      <c r="S40" s="11">
        <v>41.65</v>
      </c>
      <c r="T40" s="9" t="s">
        <v>41</v>
      </c>
      <c r="U40" s="9" t="s">
        <v>41</v>
      </c>
      <c r="V40" s="12">
        <v>3.15</v>
      </c>
      <c r="W40" s="11">
        <v>2374.2800000000002</v>
      </c>
      <c r="X40" s="9" t="s">
        <v>41</v>
      </c>
      <c r="Y40" s="9" t="s">
        <v>41</v>
      </c>
      <c r="Z40" s="9" t="s">
        <v>41</v>
      </c>
      <c r="AA40" s="9" t="s">
        <v>41</v>
      </c>
      <c r="AB40" s="11">
        <v>24.15</v>
      </c>
      <c r="AC40" s="9" t="s">
        <v>41</v>
      </c>
      <c r="AD40" s="11">
        <v>1.51</v>
      </c>
      <c r="AE40" s="11">
        <v>0.23</v>
      </c>
      <c r="AF40" s="11">
        <v>25.89</v>
      </c>
      <c r="AJ40" s="11">
        <v>2751.48</v>
      </c>
      <c r="AK40" s="11">
        <v>65.239999999999995</v>
      </c>
      <c r="AL40" s="11">
        <v>2686.25</v>
      </c>
      <c r="AM40" s="9"/>
      <c r="AN40" s="9"/>
      <c r="AO40" s="9"/>
      <c r="AP40" s="9"/>
      <c r="AQ40" s="9"/>
      <c r="AR40" s="13"/>
    </row>
    <row r="41" spans="1:44" ht="15.75" customHeight="1">
      <c r="A41" s="9" t="s">
        <v>116</v>
      </c>
      <c r="B41" s="9" t="s">
        <v>117</v>
      </c>
      <c r="C41" s="10" t="s">
        <v>40</v>
      </c>
      <c r="D41" s="11">
        <v>726.06</v>
      </c>
      <c r="E41" s="11">
        <v>11.83</v>
      </c>
      <c r="F41" s="11">
        <v>6.35</v>
      </c>
      <c r="G41" s="11">
        <v>15.41</v>
      </c>
      <c r="H41" s="9" t="s">
        <v>41</v>
      </c>
      <c r="I41" s="11">
        <v>1.01</v>
      </c>
      <c r="J41" s="11">
        <v>26.18</v>
      </c>
      <c r="K41" s="11">
        <v>6.78</v>
      </c>
      <c r="L41" s="11">
        <v>6.32</v>
      </c>
      <c r="M41" s="11">
        <v>62.08</v>
      </c>
      <c r="N41" s="11">
        <v>1.57</v>
      </c>
      <c r="O41" s="11">
        <v>10.95</v>
      </c>
      <c r="P41" s="9" t="s">
        <v>41</v>
      </c>
      <c r="Q41" s="11">
        <v>5.86</v>
      </c>
      <c r="R41" s="11">
        <v>1.81</v>
      </c>
      <c r="S41" s="11">
        <v>32.119999999999997</v>
      </c>
      <c r="T41" s="9" t="s">
        <v>41</v>
      </c>
      <c r="U41" s="11">
        <v>424.03</v>
      </c>
      <c r="V41" s="12">
        <v>1.27</v>
      </c>
      <c r="W41" s="11">
        <v>18234</v>
      </c>
      <c r="X41" s="9" t="s">
        <v>41</v>
      </c>
      <c r="Y41" s="9" t="s">
        <v>41</v>
      </c>
      <c r="Z41" s="9" t="s">
        <v>41</v>
      </c>
      <c r="AA41" s="9" t="s">
        <v>41</v>
      </c>
      <c r="AB41" s="9" t="s">
        <v>41</v>
      </c>
      <c r="AC41" s="9" t="s">
        <v>41</v>
      </c>
      <c r="AD41" s="9" t="s">
        <v>41</v>
      </c>
      <c r="AE41" s="11">
        <v>1.17</v>
      </c>
      <c r="AF41" s="11">
        <v>1.17</v>
      </c>
      <c r="AJ41" s="11">
        <v>19574.79</v>
      </c>
      <c r="AK41" s="11">
        <v>7584.76</v>
      </c>
      <c r="AL41" s="11">
        <v>11990.02</v>
      </c>
      <c r="AM41" s="11"/>
      <c r="AN41" s="9"/>
      <c r="AO41" s="9"/>
      <c r="AP41" s="11"/>
      <c r="AQ41" s="11"/>
      <c r="AR41" s="13"/>
    </row>
    <row r="42" spans="1:44" ht="15.75" customHeight="1">
      <c r="A42" s="9" t="s">
        <v>118</v>
      </c>
      <c r="B42" s="9" t="s">
        <v>119</v>
      </c>
      <c r="C42" s="10" t="s">
        <v>40</v>
      </c>
      <c r="D42" s="11">
        <v>255.35</v>
      </c>
      <c r="E42" s="9" t="s">
        <v>41</v>
      </c>
      <c r="F42" s="11">
        <v>4.97</v>
      </c>
      <c r="G42" s="11">
        <v>61.88</v>
      </c>
      <c r="H42" s="11">
        <v>7.02</v>
      </c>
      <c r="I42" s="11">
        <v>47.72</v>
      </c>
      <c r="J42" s="11">
        <v>75.17</v>
      </c>
      <c r="K42" s="11">
        <v>25.1</v>
      </c>
      <c r="L42" s="11">
        <v>39.75</v>
      </c>
      <c r="M42" s="11">
        <v>4.25</v>
      </c>
      <c r="N42" s="11">
        <v>2.98</v>
      </c>
      <c r="O42" s="11">
        <v>1.46</v>
      </c>
      <c r="P42" s="9" t="s">
        <v>41</v>
      </c>
      <c r="Q42" s="11">
        <v>8.8000000000000007</v>
      </c>
      <c r="R42" s="11">
        <v>14.67</v>
      </c>
      <c r="S42" s="11">
        <v>94.64</v>
      </c>
      <c r="T42" s="9" t="s">
        <v>41</v>
      </c>
      <c r="U42" s="9" t="s">
        <v>41</v>
      </c>
      <c r="V42" s="14" t="s">
        <v>41</v>
      </c>
      <c r="W42" s="9" t="s">
        <v>41</v>
      </c>
      <c r="X42" s="9" t="s">
        <v>41</v>
      </c>
      <c r="Y42" s="11">
        <v>1079.48</v>
      </c>
      <c r="Z42" s="9" t="s">
        <v>41</v>
      </c>
      <c r="AA42" s="9" t="s">
        <v>41</v>
      </c>
      <c r="AB42" s="9" t="s">
        <v>41</v>
      </c>
      <c r="AC42" s="11">
        <v>15.65</v>
      </c>
      <c r="AD42" s="9" t="s">
        <v>41</v>
      </c>
      <c r="AE42" s="9" t="s">
        <v>41</v>
      </c>
      <c r="AF42" s="11">
        <v>15.65</v>
      </c>
      <c r="AJ42" s="11">
        <v>1738.87</v>
      </c>
      <c r="AK42" s="11">
        <v>1016.33</v>
      </c>
      <c r="AL42" s="11">
        <v>722.55</v>
      </c>
      <c r="AM42" s="9"/>
      <c r="AN42" s="9"/>
      <c r="AO42" s="9"/>
      <c r="AP42" s="9"/>
      <c r="AQ42" s="9"/>
      <c r="AR42" s="13"/>
    </row>
    <row r="43" spans="1:44" ht="15.75" customHeight="1">
      <c r="A43" s="9" t="s">
        <v>120</v>
      </c>
      <c r="B43" s="9" t="s">
        <v>121</v>
      </c>
      <c r="C43" s="10" t="s">
        <v>40</v>
      </c>
      <c r="D43" s="11">
        <v>587.63</v>
      </c>
      <c r="E43" s="11">
        <v>8.0500000000000007</v>
      </c>
      <c r="F43" s="11">
        <v>9.17</v>
      </c>
      <c r="G43" s="11">
        <v>62.44</v>
      </c>
      <c r="H43" s="11">
        <v>58.09</v>
      </c>
      <c r="I43" s="11">
        <v>13.01</v>
      </c>
      <c r="J43" s="11">
        <v>197.44</v>
      </c>
      <c r="K43" s="11">
        <v>17.68</v>
      </c>
      <c r="L43" s="11">
        <v>30.65</v>
      </c>
      <c r="M43" s="11">
        <v>14.12</v>
      </c>
      <c r="N43" s="11">
        <v>4.5599999999999996</v>
      </c>
      <c r="O43" s="11">
        <v>4.3499999999999996</v>
      </c>
      <c r="P43" s="11">
        <v>5.57</v>
      </c>
      <c r="Q43" s="11">
        <v>8.7799999999999994</v>
      </c>
      <c r="R43" s="11">
        <v>15.45</v>
      </c>
      <c r="S43" s="11">
        <v>143.57</v>
      </c>
      <c r="T43" s="9" t="s">
        <v>41</v>
      </c>
      <c r="U43" s="9" t="s">
        <v>41</v>
      </c>
      <c r="V43" s="12">
        <v>0.21</v>
      </c>
      <c r="W43" s="11">
        <v>1916.51</v>
      </c>
      <c r="X43" s="9" t="s">
        <v>41</v>
      </c>
      <c r="Y43" s="9" t="s">
        <v>41</v>
      </c>
      <c r="Z43" s="11">
        <v>22.87</v>
      </c>
      <c r="AA43" s="9" t="s">
        <v>41</v>
      </c>
      <c r="AB43" s="9" t="s">
        <v>41</v>
      </c>
      <c r="AC43" s="11">
        <v>54.51</v>
      </c>
      <c r="AD43" s="11">
        <v>3.91</v>
      </c>
      <c r="AE43" s="11">
        <v>4.7</v>
      </c>
      <c r="AF43" s="11">
        <v>63.12</v>
      </c>
      <c r="AJ43" s="11">
        <v>3183.26</v>
      </c>
      <c r="AK43" s="11">
        <v>1355.68</v>
      </c>
      <c r="AL43" s="11">
        <v>1827.58</v>
      </c>
      <c r="AM43" s="11"/>
      <c r="AN43" s="9"/>
      <c r="AO43" s="11"/>
      <c r="AP43" s="11"/>
      <c r="AQ43" s="11"/>
      <c r="AR43" s="13"/>
    </row>
    <row r="44" spans="1:44" ht="15.75" customHeight="1">
      <c r="A44" s="9" t="s">
        <v>122</v>
      </c>
      <c r="B44" s="9" t="s">
        <v>123</v>
      </c>
      <c r="C44" s="10" t="s">
        <v>40</v>
      </c>
      <c r="D44" s="11">
        <v>429.18</v>
      </c>
      <c r="E44" s="11">
        <v>0.2</v>
      </c>
      <c r="F44" s="11">
        <v>5.0599999999999996</v>
      </c>
      <c r="G44" s="11">
        <v>45.23</v>
      </c>
      <c r="H44" s="11">
        <v>25.78</v>
      </c>
      <c r="I44" s="11">
        <v>4.1500000000000004</v>
      </c>
      <c r="J44" s="11">
        <v>85.4</v>
      </c>
      <c r="K44" s="11">
        <v>4.18</v>
      </c>
      <c r="L44" s="11">
        <v>27.5</v>
      </c>
      <c r="M44" s="11">
        <v>44.4</v>
      </c>
      <c r="N44" s="11">
        <v>10.69</v>
      </c>
      <c r="O44" s="11">
        <v>1.19</v>
      </c>
      <c r="P44" s="9" t="s">
        <v>41</v>
      </c>
      <c r="Q44" s="11">
        <v>10.53</v>
      </c>
      <c r="R44" s="11">
        <v>20.96</v>
      </c>
      <c r="S44" s="11">
        <v>69.739999999999995</v>
      </c>
      <c r="T44" s="9" t="s">
        <v>41</v>
      </c>
      <c r="U44" s="9" t="s">
        <v>41</v>
      </c>
      <c r="V44" s="12">
        <v>2.21</v>
      </c>
      <c r="W44" s="9" t="s">
        <v>41</v>
      </c>
      <c r="X44" s="9" t="s">
        <v>41</v>
      </c>
      <c r="Y44" s="11">
        <v>2211.65</v>
      </c>
      <c r="Z44" s="9" t="s">
        <v>41</v>
      </c>
      <c r="AA44" s="9" t="s">
        <v>41</v>
      </c>
      <c r="AB44" s="9" t="s">
        <v>41</v>
      </c>
      <c r="AC44" s="9" t="s">
        <v>41</v>
      </c>
      <c r="AD44" s="9" t="s">
        <v>41</v>
      </c>
      <c r="AE44" s="11">
        <v>73.56</v>
      </c>
      <c r="AF44" s="11">
        <v>73.56</v>
      </c>
      <c r="AJ44" s="11">
        <v>3071.58</v>
      </c>
      <c r="AK44" s="11">
        <v>589.70000000000005</v>
      </c>
      <c r="AL44" s="11">
        <v>2481.89</v>
      </c>
      <c r="AM44" s="9"/>
      <c r="AN44" s="9"/>
      <c r="AO44" s="9"/>
      <c r="AP44" s="9"/>
      <c r="AQ44" s="9"/>
      <c r="AR44" s="13"/>
    </row>
    <row r="45" spans="1:44" ht="15.75" customHeight="1">
      <c r="A45" s="9" t="s">
        <v>124</v>
      </c>
      <c r="B45" s="9" t="s">
        <v>125</v>
      </c>
      <c r="C45" s="10" t="s">
        <v>40</v>
      </c>
      <c r="D45" s="11">
        <v>81.45</v>
      </c>
      <c r="E45" s="11">
        <v>4.49</v>
      </c>
      <c r="F45" s="11">
        <v>3.86</v>
      </c>
      <c r="G45" s="11">
        <v>39.99</v>
      </c>
      <c r="H45" s="11">
        <v>12.57</v>
      </c>
      <c r="I45" s="11">
        <v>2.85</v>
      </c>
      <c r="J45" s="11">
        <v>12</v>
      </c>
      <c r="K45" s="11">
        <v>17.57</v>
      </c>
      <c r="L45" s="11">
        <v>24.71</v>
      </c>
      <c r="M45" s="9" t="s">
        <v>41</v>
      </c>
      <c r="N45" s="11">
        <v>1.1599999999999999</v>
      </c>
      <c r="O45" s="11">
        <v>1.33</v>
      </c>
      <c r="P45" s="9" t="s">
        <v>41</v>
      </c>
      <c r="Q45" s="11">
        <v>8.0500000000000007</v>
      </c>
      <c r="R45" s="11">
        <v>6.16</v>
      </c>
      <c r="S45" s="11">
        <v>10.34</v>
      </c>
      <c r="T45" s="9" t="s">
        <v>41</v>
      </c>
      <c r="U45" s="9" t="s">
        <v>41</v>
      </c>
      <c r="V45" s="14" t="s">
        <v>41</v>
      </c>
      <c r="W45" s="11">
        <v>1361.67</v>
      </c>
      <c r="X45" s="9" t="s">
        <v>41</v>
      </c>
      <c r="Y45" s="9" t="s">
        <v>41</v>
      </c>
      <c r="Z45" s="9" t="s">
        <v>41</v>
      </c>
      <c r="AA45" s="9" t="s">
        <v>41</v>
      </c>
      <c r="AB45" s="9" t="s">
        <v>41</v>
      </c>
      <c r="AC45" s="11">
        <v>34.479999999999997</v>
      </c>
      <c r="AD45" s="11">
        <v>2.86</v>
      </c>
      <c r="AE45" s="11">
        <v>2.85</v>
      </c>
      <c r="AF45" s="11">
        <v>40.19</v>
      </c>
      <c r="AJ45" s="11">
        <v>1628.39</v>
      </c>
      <c r="AK45" s="9" t="s">
        <v>41</v>
      </c>
      <c r="AL45" s="11">
        <v>1628.39</v>
      </c>
      <c r="AM45" s="11"/>
      <c r="AN45" s="9"/>
      <c r="AO45" s="11"/>
      <c r="AP45" s="11"/>
      <c r="AQ45" s="11"/>
      <c r="AR45" s="13"/>
    </row>
    <row r="46" spans="1:44" ht="15.75" customHeight="1">
      <c r="A46" s="9" t="s">
        <v>126</v>
      </c>
      <c r="B46" s="9" t="s">
        <v>127</v>
      </c>
      <c r="C46" s="10" t="s">
        <v>40</v>
      </c>
      <c r="D46" s="11">
        <v>69.5</v>
      </c>
      <c r="E46" s="11">
        <v>4.95</v>
      </c>
      <c r="F46" s="9" t="s">
        <v>41</v>
      </c>
      <c r="G46" s="11">
        <v>61.7</v>
      </c>
      <c r="H46" s="11">
        <v>43.57</v>
      </c>
      <c r="I46" s="11">
        <v>5.32</v>
      </c>
      <c r="J46" s="11">
        <v>24.56</v>
      </c>
      <c r="K46" s="11">
        <v>7.7</v>
      </c>
      <c r="L46" s="11">
        <v>12.82</v>
      </c>
      <c r="M46" s="11">
        <v>0.42</v>
      </c>
      <c r="N46" s="11">
        <v>4.0999999999999996</v>
      </c>
      <c r="O46" s="11">
        <v>1.49</v>
      </c>
      <c r="P46" s="9" t="s">
        <v>41</v>
      </c>
      <c r="Q46" s="11">
        <v>8.51</v>
      </c>
      <c r="R46" s="11">
        <v>6.62</v>
      </c>
      <c r="S46" s="11">
        <v>25.56</v>
      </c>
      <c r="T46" s="9" t="s">
        <v>41</v>
      </c>
      <c r="U46" s="9" t="s">
        <v>41</v>
      </c>
      <c r="V46" s="14" t="s">
        <v>41</v>
      </c>
      <c r="W46" s="9" t="s">
        <v>41</v>
      </c>
      <c r="X46" s="9" t="s">
        <v>41</v>
      </c>
      <c r="Y46" s="11">
        <v>996.98</v>
      </c>
      <c r="Z46" s="9" t="s">
        <v>41</v>
      </c>
      <c r="AA46" s="9" t="s">
        <v>41</v>
      </c>
      <c r="AB46" s="11">
        <v>25.83</v>
      </c>
      <c r="AC46" s="11">
        <v>27.01</v>
      </c>
      <c r="AD46" s="11">
        <v>14.17</v>
      </c>
      <c r="AE46" s="11">
        <v>21.16</v>
      </c>
      <c r="AF46" s="11">
        <v>88.17</v>
      </c>
      <c r="AJ46" s="11">
        <v>1361.99</v>
      </c>
      <c r="AK46" s="11">
        <v>490.7</v>
      </c>
      <c r="AL46" s="11">
        <v>871.29</v>
      </c>
      <c r="AM46" s="9"/>
      <c r="AN46" s="9"/>
      <c r="AO46" s="9"/>
      <c r="AP46" s="9"/>
      <c r="AQ46" s="9"/>
      <c r="AR46" s="13"/>
    </row>
    <row r="47" spans="1:44" ht="15.75" customHeight="1">
      <c r="A47" s="9" t="s">
        <v>128</v>
      </c>
      <c r="B47" s="9" t="s">
        <v>129</v>
      </c>
      <c r="C47" s="10" t="s">
        <v>40</v>
      </c>
      <c r="D47" s="11">
        <v>926.94</v>
      </c>
      <c r="E47" s="11">
        <v>19.739999999999998</v>
      </c>
      <c r="F47" s="11">
        <v>19.399999999999999</v>
      </c>
      <c r="G47" s="11">
        <v>141.61000000000001</v>
      </c>
      <c r="H47" s="11">
        <v>107.52</v>
      </c>
      <c r="I47" s="11">
        <v>4.78</v>
      </c>
      <c r="J47" s="11">
        <v>274.22000000000003</v>
      </c>
      <c r="K47" s="11">
        <v>20.21</v>
      </c>
      <c r="L47" s="11">
        <v>95.29</v>
      </c>
      <c r="M47" s="11">
        <v>4.46</v>
      </c>
      <c r="N47" s="11">
        <v>9.7200000000000006</v>
      </c>
      <c r="O47" s="11">
        <v>3.99</v>
      </c>
      <c r="P47" s="11">
        <v>0.83</v>
      </c>
      <c r="Q47" s="11">
        <v>18.98</v>
      </c>
      <c r="R47" s="11">
        <v>23.63</v>
      </c>
      <c r="S47" s="11">
        <v>21.21</v>
      </c>
      <c r="T47" s="9" t="s">
        <v>41</v>
      </c>
      <c r="U47" s="9" t="s">
        <v>41</v>
      </c>
      <c r="V47" s="14" t="s">
        <v>41</v>
      </c>
      <c r="W47" s="9" t="s">
        <v>41</v>
      </c>
      <c r="X47" s="9" t="s">
        <v>41</v>
      </c>
      <c r="Y47" s="11">
        <v>2157.6</v>
      </c>
      <c r="Z47" s="11">
        <v>5.54</v>
      </c>
      <c r="AA47" s="9" t="s">
        <v>41</v>
      </c>
      <c r="AB47" s="9" t="s">
        <v>41</v>
      </c>
      <c r="AC47" s="9" t="s">
        <v>41</v>
      </c>
      <c r="AD47" s="9" t="s">
        <v>41</v>
      </c>
      <c r="AE47" s="11">
        <v>17.5</v>
      </c>
      <c r="AF47" s="11">
        <v>17.5</v>
      </c>
      <c r="AJ47" s="11">
        <v>3873.17</v>
      </c>
      <c r="AK47" s="11">
        <v>2585.3000000000002</v>
      </c>
      <c r="AL47" s="11">
        <v>1287.8699999999999</v>
      </c>
      <c r="AM47" s="9"/>
      <c r="AN47" s="9"/>
      <c r="AO47" s="9"/>
      <c r="AP47" s="9"/>
      <c r="AQ47" s="9"/>
      <c r="AR47" s="13"/>
    </row>
    <row r="48" spans="1:44" ht="15.75" customHeight="1">
      <c r="A48" s="9" t="s">
        <v>130</v>
      </c>
      <c r="B48" s="9" t="s">
        <v>131</v>
      </c>
      <c r="C48" s="10" t="s">
        <v>40</v>
      </c>
      <c r="D48" s="11">
        <v>1939.53</v>
      </c>
      <c r="E48" s="11">
        <v>2.64</v>
      </c>
      <c r="F48" s="11">
        <v>25.19</v>
      </c>
      <c r="G48" s="11">
        <v>357.43</v>
      </c>
      <c r="H48" s="11">
        <v>3.68</v>
      </c>
      <c r="I48" s="11">
        <v>41.3</v>
      </c>
      <c r="J48" s="11">
        <v>32.92</v>
      </c>
      <c r="K48" s="11">
        <v>10.050000000000001</v>
      </c>
      <c r="L48" s="11">
        <v>53.49</v>
      </c>
      <c r="M48" s="11">
        <v>7.91</v>
      </c>
      <c r="N48" s="11">
        <v>12.67</v>
      </c>
      <c r="O48" s="11">
        <v>2.57</v>
      </c>
      <c r="P48" s="9" t="s">
        <v>41</v>
      </c>
      <c r="Q48" s="11">
        <v>17.8</v>
      </c>
      <c r="R48" s="11">
        <v>23.08</v>
      </c>
      <c r="S48" s="11">
        <v>810.97</v>
      </c>
      <c r="T48" s="9" t="s">
        <v>41</v>
      </c>
      <c r="U48" s="9" t="s">
        <v>41</v>
      </c>
      <c r="V48" s="14" t="s">
        <v>41</v>
      </c>
      <c r="W48" s="11">
        <v>26801.7</v>
      </c>
      <c r="X48" s="9" t="s">
        <v>41</v>
      </c>
      <c r="Y48" s="11">
        <v>1747.82</v>
      </c>
      <c r="Z48" s="11">
        <v>177.72</v>
      </c>
      <c r="AA48" s="9" t="s">
        <v>41</v>
      </c>
      <c r="AB48" s="11">
        <v>0.69</v>
      </c>
      <c r="AC48" s="9" t="s">
        <v>41</v>
      </c>
      <c r="AD48" s="11">
        <v>3.14</v>
      </c>
      <c r="AE48" s="11">
        <v>0.6</v>
      </c>
      <c r="AF48" s="11">
        <v>4.43</v>
      </c>
      <c r="AJ48" s="11">
        <v>32072.91</v>
      </c>
      <c r="AK48" s="11">
        <v>41.77</v>
      </c>
      <c r="AL48" s="11">
        <v>32031.14</v>
      </c>
      <c r="AM48" s="16"/>
      <c r="AN48" s="9"/>
      <c r="AO48" s="11"/>
      <c r="AP48" s="16"/>
      <c r="AQ48" s="16"/>
      <c r="AR48" s="13"/>
    </row>
    <row r="49" spans="1:44" ht="15.75" customHeight="1">
      <c r="A49" s="9" t="s">
        <v>132</v>
      </c>
      <c r="B49" s="9" t="s">
        <v>133</v>
      </c>
      <c r="C49" s="10" t="s">
        <v>40</v>
      </c>
      <c r="D49" s="11">
        <v>383.35</v>
      </c>
      <c r="E49" s="11">
        <v>8.89</v>
      </c>
      <c r="F49" s="11">
        <v>14.48</v>
      </c>
      <c r="G49" s="11">
        <v>332.63</v>
      </c>
      <c r="H49" s="11">
        <v>12.07</v>
      </c>
      <c r="I49" s="11">
        <v>2.78</v>
      </c>
      <c r="J49" s="11">
        <v>5</v>
      </c>
      <c r="K49" s="11">
        <v>24.39</v>
      </c>
      <c r="L49" s="11">
        <v>28.47</v>
      </c>
      <c r="M49" s="11">
        <v>14.58</v>
      </c>
      <c r="N49" s="11">
        <v>34.17</v>
      </c>
      <c r="O49" s="11">
        <v>9.56</v>
      </c>
      <c r="P49" s="9" t="s">
        <v>41</v>
      </c>
      <c r="Q49" s="11">
        <v>49.95</v>
      </c>
      <c r="R49" s="11">
        <v>63.52</v>
      </c>
      <c r="S49" s="11">
        <v>95.83</v>
      </c>
      <c r="T49" s="9" t="s">
        <v>41</v>
      </c>
      <c r="U49" s="9" t="s">
        <v>41</v>
      </c>
      <c r="V49" s="14" t="s">
        <v>41</v>
      </c>
      <c r="W49" s="11">
        <v>336</v>
      </c>
      <c r="X49" s="9" t="s">
        <v>41</v>
      </c>
      <c r="Y49" s="9" t="s">
        <v>41</v>
      </c>
      <c r="Z49" s="9" t="s">
        <v>41</v>
      </c>
      <c r="AA49" s="9" t="s">
        <v>41</v>
      </c>
      <c r="AB49" s="9" t="s">
        <v>41</v>
      </c>
      <c r="AC49" s="11">
        <v>224.24</v>
      </c>
      <c r="AD49" s="11">
        <v>7.99</v>
      </c>
      <c r="AE49" s="9" t="s">
        <v>41</v>
      </c>
      <c r="AF49" s="11">
        <v>232.23</v>
      </c>
      <c r="AJ49" s="11">
        <v>1647.9</v>
      </c>
      <c r="AK49" s="9" t="s">
        <v>41</v>
      </c>
      <c r="AL49" s="11">
        <v>1647.9</v>
      </c>
      <c r="AM49" s="9"/>
      <c r="AN49" s="9"/>
      <c r="AO49" s="9"/>
      <c r="AP49" s="9"/>
      <c r="AQ49" s="9"/>
      <c r="AR49" s="13"/>
    </row>
    <row r="50" spans="1:44" ht="15.75" customHeight="1">
      <c r="A50" s="9" t="s">
        <v>134</v>
      </c>
      <c r="B50" s="9" t="s">
        <v>135</v>
      </c>
      <c r="C50" s="10" t="s">
        <v>40</v>
      </c>
      <c r="D50" s="11">
        <v>211.24</v>
      </c>
      <c r="E50" s="11">
        <v>2.11</v>
      </c>
      <c r="F50" s="11">
        <v>1.57</v>
      </c>
      <c r="G50" s="11">
        <v>13.74</v>
      </c>
      <c r="H50" s="11">
        <v>2.27</v>
      </c>
      <c r="I50" s="11">
        <v>0.62</v>
      </c>
      <c r="J50" s="11">
        <v>50.5</v>
      </c>
      <c r="K50" s="11">
        <v>0.99</v>
      </c>
      <c r="L50" s="11">
        <v>4.5599999999999996</v>
      </c>
      <c r="M50" s="11">
        <v>0.91</v>
      </c>
      <c r="N50" s="11">
        <v>2.2599999999999998</v>
      </c>
      <c r="O50" s="11">
        <v>0.62</v>
      </c>
      <c r="P50" s="9" t="s">
        <v>41</v>
      </c>
      <c r="Q50" s="11">
        <v>1.73</v>
      </c>
      <c r="R50" s="11">
        <v>3.72</v>
      </c>
      <c r="S50" s="11">
        <v>6.24</v>
      </c>
      <c r="T50" s="11">
        <v>47263.76</v>
      </c>
      <c r="U50" s="9" t="s">
        <v>41</v>
      </c>
      <c r="V50" s="14" t="s">
        <v>41</v>
      </c>
      <c r="W50" s="9" t="s">
        <v>41</v>
      </c>
      <c r="X50" s="9" t="s">
        <v>41</v>
      </c>
      <c r="Y50" s="9" t="s">
        <v>41</v>
      </c>
      <c r="Z50" s="9" t="s">
        <v>41</v>
      </c>
      <c r="AA50" s="9" t="s">
        <v>41</v>
      </c>
      <c r="AB50" s="11">
        <v>47.05</v>
      </c>
      <c r="AC50" s="11">
        <v>7.61</v>
      </c>
      <c r="AD50" s="11">
        <v>3.77</v>
      </c>
      <c r="AE50" s="9" t="s">
        <v>41</v>
      </c>
      <c r="AF50" s="11">
        <v>58.43</v>
      </c>
      <c r="AJ50" s="11">
        <v>47625.26</v>
      </c>
      <c r="AK50" s="9" t="s">
        <v>41</v>
      </c>
      <c r="AL50" s="11">
        <v>47625.26</v>
      </c>
      <c r="AM50" s="11"/>
      <c r="AN50" s="9"/>
      <c r="AO50" s="11"/>
      <c r="AP50" s="11"/>
      <c r="AQ50" s="11"/>
      <c r="AR50" s="13"/>
    </row>
    <row r="51" spans="1:44" ht="15.75" customHeight="1">
      <c r="A51" s="9" t="s">
        <v>136</v>
      </c>
      <c r="B51" s="9" t="s">
        <v>137</v>
      </c>
      <c r="C51" s="10" t="s">
        <v>40</v>
      </c>
      <c r="D51" s="11">
        <v>190.86</v>
      </c>
      <c r="E51" s="11">
        <v>3.91</v>
      </c>
      <c r="F51" s="11">
        <v>1.1200000000000001</v>
      </c>
      <c r="G51" s="11">
        <v>27.93</v>
      </c>
      <c r="H51" s="11">
        <v>19.77</v>
      </c>
      <c r="I51" s="11">
        <v>2.57</v>
      </c>
      <c r="J51" s="11">
        <v>50.5</v>
      </c>
      <c r="K51" s="11">
        <v>24.27</v>
      </c>
      <c r="L51" s="11">
        <v>45.1</v>
      </c>
      <c r="M51" s="11">
        <v>25.48</v>
      </c>
      <c r="N51" s="11">
        <v>3.21</v>
      </c>
      <c r="O51" s="11">
        <v>0.75</v>
      </c>
      <c r="P51" s="9" t="s">
        <v>41</v>
      </c>
      <c r="Q51" s="11">
        <v>3.32</v>
      </c>
      <c r="R51" s="11">
        <v>6.39</v>
      </c>
      <c r="S51" s="11">
        <v>54.44</v>
      </c>
      <c r="T51" s="9" t="s">
        <v>41</v>
      </c>
      <c r="U51" s="9" t="s">
        <v>41</v>
      </c>
      <c r="V51" s="14" t="s">
        <v>41</v>
      </c>
      <c r="W51" s="9" t="s">
        <v>41</v>
      </c>
      <c r="X51" s="9" t="s">
        <v>41</v>
      </c>
      <c r="Y51" s="11">
        <v>602.63</v>
      </c>
      <c r="Z51" s="9" t="s">
        <v>41</v>
      </c>
      <c r="AA51" s="9" t="s">
        <v>41</v>
      </c>
      <c r="AB51" s="9" t="s">
        <v>41</v>
      </c>
      <c r="AC51" s="11">
        <v>79.959999999999994</v>
      </c>
      <c r="AD51" s="11">
        <v>1.1599999999999999</v>
      </c>
      <c r="AE51" s="11">
        <v>5.19</v>
      </c>
      <c r="AF51" s="11">
        <v>86.31</v>
      </c>
      <c r="AJ51" s="11">
        <v>1148.56</v>
      </c>
      <c r="AK51" s="11">
        <v>157.22999999999999</v>
      </c>
      <c r="AL51" s="11">
        <v>991.33</v>
      </c>
      <c r="AM51" s="9"/>
      <c r="AN51" s="9"/>
      <c r="AO51" s="9"/>
      <c r="AP51" s="9"/>
      <c r="AQ51" s="9"/>
      <c r="AR51" s="13"/>
    </row>
    <row r="52" spans="1:44" ht="15.75" customHeight="1">
      <c r="A52" s="9" t="s">
        <v>138</v>
      </c>
      <c r="B52" s="9" t="s">
        <v>139</v>
      </c>
      <c r="C52" s="10" t="s">
        <v>40</v>
      </c>
      <c r="D52" s="11">
        <v>125.76</v>
      </c>
      <c r="E52" s="9" t="s">
        <v>41</v>
      </c>
      <c r="F52" s="11">
        <v>1.1599999999999999</v>
      </c>
      <c r="G52" s="11">
        <v>21.33</v>
      </c>
      <c r="H52" s="11">
        <v>7.04</v>
      </c>
      <c r="I52" s="11">
        <v>0.13</v>
      </c>
      <c r="J52" s="11">
        <v>57.29</v>
      </c>
      <c r="K52" s="11">
        <v>3.12</v>
      </c>
      <c r="L52" s="11">
        <v>4.68</v>
      </c>
      <c r="M52" s="11">
        <v>0.72</v>
      </c>
      <c r="N52" s="11">
        <v>1.6</v>
      </c>
      <c r="O52" s="11">
        <v>0.08</v>
      </c>
      <c r="P52" s="11">
        <v>787</v>
      </c>
      <c r="Q52" s="11">
        <v>1.7</v>
      </c>
      <c r="R52" s="11">
        <v>2.99</v>
      </c>
      <c r="S52" s="11">
        <v>1128.8699999999999</v>
      </c>
      <c r="T52" s="9" t="s">
        <v>41</v>
      </c>
      <c r="U52" s="9" t="s">
        <v>41</v>
      </c>
      <c r="V52" s="14" t="s">
        <v>41</v>
      </c>
      <c r="W52" s="11">
        <v>9989.83</v>
      </c>
      <c r="X52" s="9" t="s">
        <v>41</v>
      </c>
      <c r="Y52" s="9" t="s">
        <v>41</v>
      </c>
      <c r="Z52" s="9" t="s">
        <v>41</v>
      </c>
      <c r="AA52" s="9" t="s">
        <v>41</v>
      </c>
      <c r="AB52" s="9" t="s">
        <v>41</v>
      </c>
      <c r="AC52" s="11">
        <v>0.11</v>
      </c>
      <c r="AD52" s="11">
        <v>4.3499999999999996</v>
      </c>
      <c r="AE52" s="11">
        <v>20.93</v>
      </c>
      <c r="AF52" s="11">
        <v>25.39</v>
      </c>
      <c r="AJ52" s="11">
        <v>12158.71</v>
      </c>
      <c r="AK52" s="11">
        <v>7563.83</v>
      </c>
      <c r="AL52" s="11">
        <v>4594.87</v>
      </c>
      <c r="AM52" s="11"/>
      <c r="AN52" s="9"/>
      <c r="AO52" s="11"/>
      <c r="AP52" s="11"/>
      <c r="AQ52" s="11"/>
      <c r="AR52" s="13"/>
    </row>
    <row r="53" spans="1:44" ht="15.75" customHeight="1">
      <c r="A53" s="9" t="s">
        <v>140</v>
      </c>
      <c r="B53" s="9" t="s">
        <v>141</v>
      </c>
      <c r="C53" s="10" t="s">
        <v>40</v>
      </c>
      <c r="D53" s="11">
        <v>287.31</v>
      </c>
      <c r="E53" s="9" t="s">
        <v>41</v>
      </c>
      <c r="F53" s="11">
        <v>3.17</v>
      </c>
      <c r="G53" s="11">
        <v>62.59</v>
      </c>
      <c r="H53" s="11">
        <v>12.72</v>
      </c>
      <c r="I53" s="11">
        <v>5.12</v>
      </c>
      <c r="J53" s="11">
        <v>41.36</v>
      </c>
      <c r="K53" s="11">
        <v>21.87</v>
      </c>
      <c r="L53" s="11">
        <v>54.22</v>
      </c>
      <c r="M53" s="11">
        <v>0.66</v>
      </c>
      <c r="N53" s="11">
        <v>2.6</v>
      </c>
      <c r="O53" s="11">
        <v>1.56</v>
      </c>
      <c r="P53" s="9" t="s">
        <v>41</v>
      </c>
      <c r="Q53" s="11">
        <v>863.86</v>
      </c>
      <c r="R53" s="11">
        <v>4.96</v>
      </c>
      <c r="S53" s="11">
        <v>34.479999999999997</v>
      </c>
      <c r="T53" s="9" t="s">
        <v>41</v>
      </c>
      <c r="U53" s="9" t="s">
        <v>41</v>
      </c>
      <c r="V53" s="12">
        <v>1.98</v>
      </c>
      <c r="W53" s="11">
        <v>683.75</v>
      </c>
      <c r="X53" s="9" t="s">
        <v>41</v>
      </c>
      <c r="Y53" s="9" t="s">
        <v>41</v>
      </c>
      <c r="Z53" s="9" t="s">
        <v>41</v>
      </c>
      <c r="AA53" s="9" t="s">
        <v>41</v>
      </c>
      <c r="AB53" s="9" t="s">
        <v>41</v>
      </c>
      <c r="AC53" s="9" t="s">
        <v>41</v>
      </c>
      <c r="AD53" s="11">
        <v>26.77</v>
      </c>
      <c r="AE53" s="11">
        <v>8.94</v>
      </c>
      <c r="AF53" s="11">
        <v>35.71</v>
      </c>
      <c r="AJ53" s="11">
        <v>2117.9</v>
      </c>
      <c r="AK53" s="11">
        <v>101.65</v>
      </c>
      <c r="AL53" s="11">
        <v>2016.25</v>
      </c>
      <c r="AM53" s="9"/>
      <c r="AN53" s="9"/>
      <c r="AO53" s="9"/>
      <c r="AP53" s="9"/>
      <c r="AQ53" s="9"/>
      <c r="AR53" s="13"/>
    </row>
    <row r="54" spans="1:44" ht="15.75" customHeight="1">
      <c r="A54" s="9" t="s">
        <v>142</v>
      </c>
      <c r="B54" s="9" t="s">
        <v>143</v>
      </c>
      <c r="C54" s="10" t="s">
        <v>40</v>
      </c>
      <c r="D54" s="11">
        <v>6292.49</v>
      </c>
      <c r="E54" s="11">
        <v>50.74</v>
      </c>
      <c r="F54" s="11">
        <v>154.08000000000001</v>
      </c>
      <c r="G54" s="11">
        <v>173.12</v>
      </c>
      <c r="H54" s="11">
        <v>9.69</v>
      </c>
      <c r="I54" s="11">
        <v>12.84</v>
      </c>
      <c r="J54" s="11">
        <v>305.67</v>
      </c>
      <c r="K54" s="11">
        <v>59.4</v>
      </c>
      <c r="L54" s="11">
        <v>84.7</v>
      </c>
      <c r="M54" s="11">
        <v>40.97</v>
      </c>
      <c r="N54" s="11">
        <v>13.17</v>
      </c>
      <c r="O54" s="11">
        <v>65.290000000000006</v>
      </c>
      <c r="P54" s="11">
        <v>117.69</v>
      </c>
      <c r="Q54" s="11">
        <v>74</v>
      </c>
      <c r="R54" s="11">
        <v>25.93</v>
      </c>
      <c r="S54" s="11">
        <v>142.13999999999999</v>
      </c>
      <c r="T54" s="9" t="s">
        <v>41</v>
      </c>
      <c r="U54" s="9" t="s">
        <v>41</v>
      </c>
      <c r="V54" s="12">
        <v>34.97</v>
      </c>
      <c r="W54" s="9" t="s">
        <v>41</v>
      </c>
      <c r="X54" s="9" t="s">
        <v>41</v>
      </c>
      <c r="Y54" s="11">
        <v>13901.95</v>
      </c>
      <c r="Z54" s="11">
        <v>39.94</v>
      </c>
      <c r="AA54" s="9" t="s">
        <v>41</v>
      </c>
      <c r="AB54" s="9" t="s">
        <v>41</v>
      </c>
      <c r="AC54" s="9" t="s">
        <v>41</v>
      </c>
      <c r="AD54" s="9" t="s">
        <v>41</v>
      </c>
      <c r="AE54" s="11">
        <v>200.66</v>
      </c>
      <c r="AF54" s="11">
        <v>200.66</v>
      </c>
      <c r="AJ54" s="11">
        <v>21799.41</v>
      </c>
      <c r="AK54" s="11">
        <v>2436.77</v>
      </c>
      <c r="AL54" s="11">
        <v>19362.64</v>
      </c>
      <c r="AM54" s="11"/>
      <c r="AN54" s="9"/>
      <c r="AO54" s="11"/>
      <c r="AP54" s="11"/>
      <c r="AQ54" s="11"/>
      <c r="AR54" s="13"/>
    </row>
    <row r="55" spans="1:44" ht="15.75" customHeight="1">
      <c r="A55" s="9" t="s">
        <v>144</v>
      </c>
      <c r="B55" s="9" t="s">
        <v>145</v>
      </c>
      <c r="C55" s="10" t="s">
        <v>40</v>
      </c>
      <c r="D55" s="11">
        <v>306.08</v>
      </c>
      <c r="E55" s="9" t="s">
        <v>41</v>
      </c>
      <c r="F55" s="11">
        <v>7.95</v>
      </c>
      <c r="G55" s="11">
        <v>108.62</v>
      </c>
      <c r="H55" s="11">
        <v>173.43</v>
      </c>
      <c r="I55" s="11">
        <v>4.55</v>
      </c>
      <c r="J55" s="11">
        <v>96.9</v>
      </c>
      <c r="K55" s="11">
        <v>3.35</v>
      </c>
      <c r="L55" s="11">
        <v>46.74</v>
      </c>
      <c r="M55" s="11">
        <v>1.31</v>
      </c>
      <c r="N55" s="11">
        <v>8.9600000000000009</v>
      </c>
      <c r="O55" s="11">
        <v>1.65</v>
      </c>
      <c r="P55" s="9" t="s">
        <v>41</v>
      </c>
      <c r="Q55" s="11">
        <v>8.94</v>
      </c>
      <c r="R55" s="11">
        <v>13.03</v>
      </c>
      <c r="S55" s="11">
        <v>8.67</v>
      </c>
      <c r="T55" s="9" t="s">
        <v>41</v>
      </c>
      <c r="U55" s="9" t="s">
        <v>41</v>
      </c>
      <c r="V55" s="14" t="s">
        <v>41</v>
      </c>
      <c r="W55" s="9" t="s">
        <v>41</v>
      </c>
      <c r="X55" s="9" t="s">
        <v>41</v>
      </c>
      <c r="Y55" s="9" t="s">
        <v>41</v>
      </c>
      <c r="Z55" s="9" t="s">
        <v>41</v>
      </c>
      <c r="AA55" s="9" t="s">
        <v>41</v>
      </c>
      <c r="AB55" s="11">
        <v>69.47</v>
      </c>
      <c r="AC55" s="11">
        <v>48.54</v>
      </c>
      <c r="AD55" s="11">
        <v>45.05</v>
      </c>
      <c r="AE55" s="11">
        <v>7.49</v>
      </c>
      <c r="AF55" s="11">
        <v>170.55</v>
      </c>
      <c r="AJ55" s="11">
        <v>960.72</v>
      </c>
      <c r="AK55" s="9" t="s">
        <v>41</v>
      </c>
      <c r="AL55" s="11">
        <v>960.72</v>
      </c>
      <c r="AM55" s="9"/>
      <c r="AN55" s="9"/>
      <c r="AO55" s="9"/>
      <c r="AP55" s="9"/>
      <c r="AQ55" s="9"/>
      <c r="AR55" s="13"/>
    </row>
    <row r="56" spans="1:44" ht="15.75" customHeight="1">
      <c r="A56" s="9" t="s">
        <v>146</v>
      </c>
      <c r="B56" s="9" t="s">
        <v>147</v>
      </c>
      <c r="C56" s="10" t="s">
        <v>40</v>
      </c>
      <c r="D56" s="11">
        <v>1837.46</v>
      </c>
      <c r="E56" s="11">
        <v>34.11</v>
      </c>
      <c r="F56" s="11">
        <v>12.54</v>
      </c>
      <c r="G56" s="11">
        <v>270.19</v>
      </c>
      <c r="H56" s="11">
        <v>72.349999999999994</v>
      </c>
      <c r="I56" s="11">
        <v>5.36</v>
      </c>
      <c r="J56" s="11">
        <v>135.08000000000001</v>
      </c>
      <c r="K56" s="11">
        <v>37.450000000000003</v>
      </c>
      <c r="L56" s="11">
        <v>58.34</v>
      </c>
      <c r="M56" s="11">
        <v>11.73</v>
      </c>
      <c r="N56" s="11">
        <v>15.92</v>
      </c>
      <c r="O56" s="11">
        <v>17.12</v>
      </c>
      <c r="P56" s="9" t="s">
        <v>41</v>
      </c>
      <c r="Q56" s="11">
        <v>89.44</v>
      </c>
      <c r="R56" s="11">
        <v>24.04</v>
      </c>
      <c r="S56" s="11">
        <v>394.93</v>
      </c>
      <c r="T56" s="9" t="s">
        <v>41</v>
      </c>
      <c r="U56" s="9" t="s">
        <v>41</v>
      </c>
      <c r="V56" s="12">
        <v>5.97</v>
      </c>
      <c r="W56" s="9" t="s">
        <v>41</v>
      </c>
      <c r="X56" s="9" t="s">
        <v>41</v>
      </c>
      <c r="Y56" s="11">
        <v>2892.86</v>
      </c>
      <c r="Z56" s="9" t="s">
        <v>41</v>
      </c>
      <c r="AA56" s="9" t="s">
        <v>41</v>
      </c>
      <c r="AB56" s="11">
        <v>424.14</v>
      </c>
      <c r="AC56" s="11">
        <v>26.77</v>
      </c>
      <c r="AD56" s="11">
        <v>15.09</v>
      </c>
      <c r="AE56" s="11">
        <v>8.44</v>
      </c>
      <c r="AF56" s="11">
        <v>474.44</v>
      </c>
      <c r="AJ56" s="11">
        <v>6389.35</v>
      </c>
      <c r="AK56" s="11">
        <v>581.67999999999995</v>
      </c>
      <c r="AL56" s="11">
        <v>5807.67</v>
      </c>
      <c r="AM56" s="11"/>
      <c r="AN56" s="9"/>
      <c r="AO56" s="9"/>
      <c r="AP56" s="11"/>
      <c r="AQ56" s="11"/>
      <c r="AR56" s="13"/>
    </row>
    <row r="57" spans="1:44" ht="15.75" customHeight="1">
      <c r="A57" s="9" t="s">
        <v>148</v>
      </c>
      <c r="B57" s="9" t="s">
        <v>148</v>
      </c>
      <c r="C57" s="10" t="s">
        <v>40</v>
      </c>
      <c r="D57" s="11">
        <v>13921.33</v>
      </c>
      <c r="E57" s="11">
        <v>122.04</v>
      </c>
      <c r="F57" s="11">
        <v>333.01</v>
      </c>
      <c r="G57" s="11">
        <v>1350.52</v>
      </c>
      <c r="H57" s="11">
        <v>203.45</v>
      </c>
      <c r="I57" s="11">
        <v>59.75</v>
      </c>
      <c r="J57" s="11">
        <v>121.04</v>
      </c>
      <c r="K57" s="11">
        <v>50.92</v>
      </c>
      <c r="L57" s="11">
        <v>556.99</v>
      </c>
      <c r="M57" s="11">
        <v>72.2</v>
      </c>
      <c r="N57" s="11">
        <v>89.44</v>
      </c>
      <c r="O57" s="11">
        <v>24.04</v>
      </c>
      <c r="P57" s="11">
        <v>1595.75</v>
      </c>
      <c r="Q57" s="11">
        <v>89.44</v>
      </c>
      <c r="R57" s="11">
        <v>24.04</v>
      </c>
      <c r="S57" s="11">
        <v>990.49</v>
      </c>
      <c r="T57" s="9" t="s">
        <v>41</v>
      </c>
      <c r="U57" s="9" t="s">
        <v>41</v>
      </c>
      <c r="V57" s="12">
        <v>142.19999999999999</v>
      </c>
      <c r="W57" s="9" t="s">
        <v>41</v>
      </c>
      <c r="X57" s="9" t="s">
        <v>41</v>
      </c>
      <c r="Y57" s="9" t="s">
        <v>41</v>
      </c>
      <c r="Z57" s="9" t="s">
        <v>41</v>
      </c>
      <c r="AA57" s="9" t="s">
        <v>41</v>
      </c>
      <c r="AB57" s="9" t="s">
        <v>41</v>
      </c>
      <c r="AC57" s="11">
        <v>257.58</v>
      </c>
      <c r="AD57" s="11">
        <v>69.150000000000006</v>
      </c>
      <c r="AE57" s="9" t="s">
        <v>41</v>
      </c>
      <c r="AF57" s="11">
        <v>326.73</v>
      </c>
      <c r="AJ57" s="11">
        <v>20073.38</v>
      </c>
      <c r="AK57" s="9" t="s">
        <v>41</v>
      </c>
      <c r="AL57" s="11">
        <v>20073.38</v>
      </c>
      <c r="AM57" s="9"/>
      <c r="AN57" s="9"/>
      <c r="AO57" s="9"/>
      <c r="AP57" s="9"/>
      <c r="AQ57" s="9"/>
      <c r="AR57" s="13"/>
    </row>
    <row r="58" spans="1:44" ht="15.75" customHeight="1">
      <c r="A58" s="9" t="s">
        <v>149</v>
      </c>
      <c r="B58" s="9" t="s">
        <v>150</v>
      </c>
      <c r="C58" s="10" t="s">
        <v>40</v>
      </c>
      <c r="D58" s="11">
        <v>2475.8000000000002</v>
      </c>
      <c r="E58" s="11">
        <v>19.63</v>
      </c>
      <c r="F58" s="11">
        <v>67.34</v>
      </c>
      <c r="G58" s="11">
        <v>231.72</v>
      </c>
      <c r="H58" s="11">
        <v>50.05</v>
      </c>
      <c r="I58" s="11">
        <v>20.27</v>
      </c>
      <c r="J58" s="11">
        <v>85.69</v>
      </c>
      <c r="K58" s="11">
        <v>94.5</v>
      </c>
      <c r="L58" s="11">
        <v>61.45</v>
      </c>
      <c r="M58" s="11">
        <v>0.02</v>
      </c>
      <c r="N58" s="11">
        <v>22.56</v>
      </c>
      <c r="O58" s="11">
        <v>12.44</v>
      </c>
      <c r="P58" s="11">
        <v>264.36</v>
      </c>
      <c r="Q58" s="11">
        <v>21.4</v>
      </c>
      <c r="R58" s="11">
        <v>41.12</v>
      </c>
      <c r="S58" s="11">
        <v>197.36</v>
      </c>
      <c r="T58" s="9" t="s">
        <v>41</v>
      </c>
      <c r="U58" s="9" t="s">
        <v>41</v>
      </c>
      <c r="V58" s="14" t="s">
        <v>41</v>
      </c>
      <c r="W58" s="11">
        <v>1.1000000000000001</v>
      </c>
      <c r="X58" s="9" t="s">
        <v>41</v>
      </c>
      <c r="Y58" s="9" t="s">
        <v>41</v>
      </c>
      <c r="Z58" s="9" t="s">
        <v>41</v>
      </c>
      <c r="AA58" s="11">
        <v>100.32</v>
      </c>
      <c r="AB58" s="9" t="s">
        <v>41</v>
      </c>
      <c r="AC58" s="9" t="s">
        <v>41</v>
      </c>
      <c r="AD58" s="9" t="s">
        <v>41</v>
      </c>
      <c r="AE58" s="9" t="s">
        <v>41</v>
      </c>
      <c r="AF58" s="9" t="s">
        <v>41</v>
      </c>
      <c r="AJ58" s="11">
        <v>3767.13</v>
      </c>
      <c r="AK58" s="9" t="s">
        <v>41</v>
      </c>
      <c r="AL58" s="11">
        <v>3767.13</v>
      </c>
      <c r="AM58" s="9"/>
      <c r="AN58" s="9"/>
      <c r="AO58" s="9"/>
      <c r="AP58" s="9"/>
      <c r="AQ58" s="9"/>
      <c r="AR58" s="13"/>
    </row>
    <row r="59" spans="1:44" ht="15.75" customHeight="1">
      <c r="A59" s="9" t="s">
        <v>151</v>
      </c>
      <c r="B59" s="9" t="s">
        <v>152</v>
      </c>
      <c r="C59" s="10" t="s">
        <v>40</v>
      </c>
      <c r="D59" s="9" t="s">
        <v>41</v>
      </c>
      <c r="E59" s="9" t="s">
        <v>41</v>
      </c>
      <c r="F59" s="9" t="s">
        <v>41</v>
      </c>
      <c r="G59" s="9" t="s">
        <v>41</v>
      </c>
      <c r="H59" s="9" t="s">
        <v>41</v>
      </c>
      <c r="I59" s="9" t="s">
        <v>41</v>
      </c>
      <c r="J59" s="9" t="s">
        <v>41</v>
      </c>
      <c r="K59" s="9" t="s">
        <v>41</v>
      </c>
      <c r="L59" s="9" t="s">
        <v>41</v>
      </c>
      <c r="M59" s="9" t="s">
        <v>41</v>
      </c>
      <c r="N59" s="9" t="s">
        <v>41</v>
      </c>
      <c r="O59" s="9" t="s">
        <v>41</v>
      </c>
      <c r="P59" s="9" t="s">
        <v>41</v>
      </c>
      <c r="Q59" s="9" t="s">
        <v>41</v>
      </c>
      <c r="R59" s="9" t="s">
        <v>41</v>
      </c>
      <c r="S59" s="9" t="s">
        <v>41</v>
      </c>
      <c r="T59" s="9" t="s">
        <v>41</v>
      </c>
      <c r="U59" s="9" t="s">
        <v>41</v>
      </c>
      <c r="V59" s="14" t="s">
        <v>41</v>
      </c>
      <c r="W59" s="11">
        <v>52499.17</v>
      </c>
      <c r="X59" s="9" t="s">
        <v>41</v>
      </c>
      <c r="Y59" s="9" t="s">
        <v>41</v>
      </c>
      <c r="Z59" s="9" t="s">
        <v>41</v>
      </c>
      <c r="AA59" s="9" t="s">
        <v>41</v>
      </c>
      <c r="AB59" s="9" t="s">
        <v>41</v>
      </c>
      <c r="AC59" s="9" t="s">
        <v>41</v>
      </c>
      <c r="AD59" s="9" t="s">
        <v>41</v>
      </c>
      <c r="AE59" s="9" t="s">
        <v>41</v>
      </c>
      <c r="AF59" s="9" t="s">
        <v>41</v>
      </c>
      <c r="AJ59" s="11">
        <v>52499.17</v>
      </c>
      <c r="AK59" s="9" t="s">
        <v>41</v>
      </c>
      <c r="AL59" s="11">
        <v>52499.17</v>
      </c>
      <c r="AM59" s="11"/>
      <c r="AN59" s="9"/>
      <c r="AO59" s="9"/>
      <c r="AP59" s="11"/>
      <c r="AQ59" s="11"/>
      <c r="AR59" s="13"/>
    </row>
    <row r="60" spans="1:44" ht="15.75" customHeight="1">
      <c r="A60" s="9" t="s">
        <v>153</v>
      </c>
      <c r="B60" s="9" t="s">
        <v>154</v>
      </c>
      <c r="C60" s="10" t="s">
        <v>40</v>
      </c>
      <c r="D60" s="11">
        <v>2667.69</v>
      </c>
      <c r="E60" s="11">
        <v>17.27</v>
      </c>
      <c r="F60" s="11">
        <v>75.87</v>
      </c>
      <c r="G60" s="11">
        <v>166.83</v>
      </c>
      <c r="H60" s="11">
        <v>50.71</v>
      </c>
      <c r="I60" s="11">
        <v>7.74</v>
      </c>
      <c r="J60" s="11">
        <v>248.61</v>
      </c>
      <c r="K60" s="11">
        <v>82.26</v>
      </c>
      <c r="L60" s="11">
        <v>106</v>
      </c>
      <c r="M60" s="11">
        <v>2.15</v>
      </c>
      <c r="N60" s="11">
        <v>30.28</v>
      </c>
      <c r="O60" s="11">
        <v>26.46</v>
      </c>
      <c r="P60" s="11">
        <v>376.64</v>
      </c>
      <c r="Q60" s="11">
        <v>69.400000000000006</v>
      </c>
      <c r="R60" s="11">
        <v>41.53</v>
      </c>
      <c r="S60" s="11">
        <v>135.38</v>
      </c>
      <c r="T60" s="9" t="s">
        <v>41</v>
      </c>
      <c r="U60" s="9" t="s">
        <v>41</v>
      </c>
      <c r="V60" s="14" t="s">
        <v>41</v>
      </c>
      <c r="W60" s="9" t="s">
        <v>41</v>
      </c>
      <c r="X60" s="9" t="s">
        <v>41</v>
      </c>
      <c r="Y60" s="9" t="s">
        <v>41</v>
      </c>
      <c r="Z60" s="9" t="s">
        <v>41</v>
      </c>
      <c r="AA60" s="9" t="s">
        <v>41</v>
      </c>
      <c r="AB60" s="9" t="s">
        <v>41</v>
      </c>
      <c r="AC60" s="9" t="s">
        <v>41</v>
      </c>
      <c r="AD60" s="9" t="s">
        <v>41</v>
      </c>
      <c r="AE60" s="9" t="s">
        <v>41</v>
      </c>
      <c r="AF60" s="9" t="s">
        <v>41</v>
      </c>
      <c r="AJ60" s="11">
        <v>4104.79</v>
      </c>
      <c r="AK60" s="9" t="s">
        <v>41</v>
      </c>
      <c r="AL60" s="11">
        <v>4104.79</v>
      </c>
      <c r="AM60" s="9"/>
      <c r="AN60" s="9"/>
      <c r="AO60" s="9"/>
      <c r="AP60" s="9"/>
      <c r="AQ60" s="9"/>
      <c r="AR60" s="13"/>
    </row>
    <row r="61" spans="1:44" ht="15.75" customHeight="1">
      <c r="A61" s="9" t="s">
        <v>155</v>
      </c>
      <c r="B61" s="9" t="s">
        <v>156</v>
      </c>
      <c r="C61" s="10" t="s">
        <v>40</v>
      </c>
      <c r="D61" s="11">
        <v>222.01</v>
      </c>
      <c r="E61" s="11">
        <v>3.98</v>
      </c>
      <c r="F61" s="11">
        <v>7.83</v>
      </c>
      <c r="G61" s="11">
        <v>56.98</v>
      </c>
      <c r="H61" s="11">
        <v>7.49</v>
      </c>
      <c r="I61" s="11">
        <v>9.2100000000000009</v>
      </c>
      <c r="J61" s="11">
        <v>55.92</v>
      </c>
      <c r="K61" s="11">
        <v>33.46</v>
      </c>
      <c r="L61" s="11">
        <v>26.63</v>
      </c>
      <c r="M61" s="11">
        <v>2.88</v>
      </c>
      <c r="N61" s="11">
        <v>3.81</v>
      </c>
      <c r="O61" s="11">
        <v>6.1</v>
      </c>
      <c r="P61" s="11">
        <v>31.85</v>
      </c>
      <c r="Q61" s="11">
        <v>18.59</v>
      </c>
      <c r="R61" s="11">
        <v>6.7</v>
      </c>
      <c r="S61" s="11">
        <v>57.72</v>
      </c>
      <c r="T61" s="9" t="s">
        <v>41</v>
      </c>
      <c r="U61" s="9" t="s">
        <v>41</v>
      </c>
      <c r="V61" s="14" t="s">
        <v>41</v>
      </c>
      <c r="W61" s="9" t="s">
        <v>41</v>
      </c>
      <c r="X61" s="9" t="s">
        <v>41</v>
      </c>
      <c r="Y61" s="11">
        <v>808.3</v>
      </c>
      <c r="Z61" s="9" t="s">
        <v>41</v>
      </c>
      <c r="AA61" s="9" t="s">
        <v>41</v>
      </c>
      <c r="AB61" s="11">
        <v>43.51</v>
      </c>
      <c r="AC61" s="11">
        <v>21.1</v>
      </c>
      <c r="AD61" s="11">
        <v>2.64</v>
      </c>
      <c r="AE61" s="11">
        <v>9.2100000000000009</v>
      </c>
      <c r="AF61" s="11">
        <v>76.459999999999994</v>
      </c>
      <c r="AJ61" s="11">
        <v>1426.7</v>
      </c>
      <c r="AK61" s="9" t="s">
        <v>41</v>
      </c>
      <c r="AL61" s="11">
        <v>1426.7</v>
      </c>
      <c r="AM61" s="9"/>
      <c r="AN61" s="9"/>
      <c r="AO61" s="9"/>
      <c r="AP61" s="9"/>
      <c r="AQ61" s="9"/>
      <c r="AR61" s="13"/>
    </row>
    <row r="62" spans="1:44" ht="15.75" customHeight="1">
      <c r="A62" s="9" t="s">
        <v>157</v>
      </c>
      <c r="B62" s="9" t="s">
        <v>158</v>
      </c>
      <c r="C62" s="10" t="s">
        <v>40</v>
      </c>
      <c r="D62" s="11">
        <v>378.07</v>
      </c>
      <c r="E62" s="11">
        <v>1.7</v>
      </c>
      <c r="F62" s="11">
        <v>1.42</v>
      </c>
      <c r="G62" s="11">
        <v>0.64</v>
      </c>
      <c r="H62" s="9" t="s">
        <v>41</v>
      </c>
      <c r="I62" s="11">
        <v>0.3</v>
      </c>
      <c r="J62" s="11">
        <v>17.850000000000001</v>
      </c>
      <c r="K62" s="11">
        <v>0.5</v>
      </c>
      <c r="L62" s="11">
        <v>2.2000000000000002</v>
      </c>
      <c r="M62" s="9" t="s">
        <v>41</v>
      </c>
      <c r="N62" s="11">
        <v>2.5499999999999998</v>
      </c>
      <c r="O62" s="11">
        <v>1.1200000000000001</v>
      </c>
      <c r="P62" s="11">
        <v>43.85</v>
      </c>
      <c r="Q62" s="11">
        <v>1</v>
      </c>
      <c r="R62" s="11">
        <v>1.74</v>
      </c>
      <c r="S62" s="11">
        <v>299.08</v>
      </c>
      <c r="T62" s="9" t="s">
        <v>41</v>
      </c>
      <c r="U62" s="9" t="s">
        <v>41</v>
      </c>
      <c r="V62" s="14" t="s">
        <v>41</v>
      </c>
      <c r="W62" s="9" t="s">
        <v>41</v>
      </c>
      <c r="X62" s="9" t="s">
        <v>41</v>
      </c>
      <c r="Y62" s="9" t="s">
        <v>41</v>
      </c>
      <c r="Z62" s="9" t="s">
        <v>41</v>
      </c>
      <c r="AA62" s="11">
        <v>20</v>
      </c>
      <c r="AB62" s="9" t="s">
        <v>41</v>
      </c>
      <c r="AC62" s="9" t="s">
        <v>41</v>
      </c>
      <c r="AD62" s="9" t="s">
        <v>41</v>
      </c>
      <c r="AE62" s="11">
        <v>0.4</v>
      </c>
      <c r="AF62" s="11">
        <v>0.4</v>
      </c>
      <c r="AJ62" s="11">
        <v>772.4</v>
      </c>
      <c r="AK62" s="9" t="s">
        <v>41</v>
      </c>
      <c r="AL62" s="11">
        <v>772.4</v>
      </c>
      <c r="AM62" s="11"/>
      <c r="AN62" s="9"/>
      <c r="AO62" s="9"/>
      <c r="AP62" s="11"/>
      <c r="AQ62" s="11"/>
      <c r="AR62" s="13"/>
    </row>
    <row r="63" spans="1:44" ht="15.75" customHeight="1">
      <c r="A63" s="9" t="s">
        <v>159</v>
      </c>
      <c r="B63" s="9" t="s">
        <v>160</v>
      </c>
      <c r="C63" s="10" t="s">
        <v>40</v>
      </c>
      <c r="D63" s="11">
        <v>1135.6400000000001</v>
      </c>
      <c r="E63" s="11">
        <v>42.04</v>
      </c>
      <c r="F63" s="11">
        <v>25.17</v>
      </c>
      <c r="G63" s="11">
        <v>16.57</v>
      </c>
      <c r="H63" s="11">
        <v>6.95</v>
      </c>
      <c r="I63" s="11">
        <v>4.88</v>
      </c>
      <c r="J63" s="11">
        <v>82.73</v>
      </c>
      <c r="K63" s="11">
        <v>10.38</v>
      </c>
      <c r="L63" s="11">
        <v>267.60000000000002</v>
      </c>
      <c r="M63" s="11">
        <v>72.14</v>
      </c>
      <c r="N63" s="11">
        <v>5.81</v>
      </c>
      <c r="O63" s="11">
        <v>17.41</v>
      </c>
      <c r="P63" s="9" t="s">
        <v>41</v>
      </c>
      <c r="Q63" s="11">
        <v>16.079999999999998</v>
      </c>
      <c r="R63" s="11">
        <v>7.45</v>
      </c>
      <c r="S63" s="11">
        <v>308.51</v>
      </c>
      <c r="T63" s="9" t="s">
        <v>41</v>
      </c>
      <c r="U63" s="9" t="s">
        <v>41</v>
      </c>
      <c r="V63" s="12">
        <v>21.61</v>
      </c>
      <c r="W63" s="9" t="s">
        <v>41</v>
      </c>
      <c r="X63" s="9" t="s">
        <v>41</v>
      </c>
      <c r="Y63" s="11">
        <v>1704</v>
      </c>
      <c r="Z63" s="9" t="s">
        <v>41</v>
      </c>
      <c r="AA63" s="9" t="s">
        <v>41</v>
      </c>
      <c r="AB63" s="9" t="s">
        <v>41</v>
      </c>
      <c r="AC63" s="9" t="s">
        <v>41</v>
      </c>
      <c r="AD63" s="11">
        <v>1.99</v>
      </c>
      <c r="AE63" s="11">
        <v>1.1000000000000001</v>
      </c>
      <c r="AF63" s="11">
        <v>3.09</v>
      </c>
      <c r="AJ63" s="11">
        <v>3748.06</v>
      </c>
      <c r="AK63" s="9" t="s">
        <v>41</v>
      </c>
      <c r="AL63" s="11">
        <v>3748.06</v>
      </c>
      <c r="AM63" s="9"/>
      <c r="AN63" s="9"/>
      <c r="AO63" s="9"/>
      <c r="AP63" s="9"/>
      <c r="AQ63" s="9"/>
      <c r="AR63" s="13"/>
    </row>
    <row r="64" spans="1:44" ht="15.75" customHeight="1">
      <c r="A64" s="9" t="s">
        <v>161</v>
      </c>
      <c r="B64" s="9" t="s">
        <v>162</v>
      </c>
      <c r="C64" s="10" t="s">
        <v>40</v>
      </c>
      <c r="D64" s="11">
        <v>99.11</v>
      </c>
      <c r="E64" s="9" t="s">
        <v>41</v>
      </c>
      <c r="F64" s="11">
        <v>3.36</v>
      </c>
      <c r="G64" s="11">
        <v>19.899999999999999</v>
      </c>
      <c r="H64" s="11">
        <v>13.41</v>
      </c>
      <c r="I64" s="11">
        <v>2.88</v>
      </c>
      <c r="J64" s="11">
        <v>18.13</v>
      </c>
      <c r="K64" s="11">
        <v>3.02</v>
      </c>
      <c r="L64" s="11">
        <v>12.74</v>
      </c>
      <c r="M64" s="9" t="s">
        <v>41</v>
      </c>
      <c r="N64" s="11">
        <v>1.9</v>
      </c>
      <c r="O64" s="11">
        <v>13.11</v>
      </c>
      <c r="P64" s="9" t="s">
        <v>41</v>
      </c>
      <c r="Q64" s="11">
        <v>14.6</v>
      </c>
      <c r="R64" s="11">
        <v>5.79</v>
      </c>
      <c r="S64" s="11">
        <v>6.46</v>
      </c>
      <c r="T64" s="9" t="s">
        <v>41</v>
      </c>
      <c r="U64" s="9" t="s">
        <v>41</v>
      </c>
      <c r="V64" s="12">
        <v>3.75</v>
      </c>
      <c r="W64" s="9" t="s">
        <v>41</v>
      </c>
      <c r="X64" s="9" t="s">
        <v>41</v>
      </c>
      <c r="Y64" s="11">
        <v>9813.5</v>
      </c>
      <c r="Z64" s="9" t="s">
        <v>41</v>
      </c>
      <c r="AA64" s="9" t="s">
        <v>41</v>
      </c>
      <c r="AB64" s="9" t="s">
        <v>41</v>
      </c>
      <c r="AC64" s="9" t="s">
        <v>41</v>
      </c>
      <c r="AD64" s="11">
        <v>5.94</v>
      </c>
      <c r="AE64" s="9" t="s">
        <v>41</v>
      </c>
      <c r="AF64" s="11">
        <v>5.94</v>
      </c>
      <c r="AJ64" s="11">
        <v>10037.6</v>
      </c>
      <c r="AK64" s="11">
        <v>1575</v>
      </c>
      <c r="AL64" s="11">
        <v>8462.6</v>
      </c>
      <c r="AM64" s="16"/>
      <c r="AN64" s="9"/>
      <c r="AO64" s="16"/>
      <c r="AP64" s="16"/>
      <c r="AQ64" s="16"/>
      <c r="AR64" s="13"/>
    </row>
    <row r="65" spans="1:44" ht="15.75" customHeight="1">
      <c r="A65" s="9" t="s">
        <v>163</v>
      </c>
      <c r="B65" s="9" t="s">
        <v>164</v>
      </c>
      <c r="C65" s="10" t="s">
        <v>40</v>
      </c>
      <c r="D65" s="11">
        <v>345.26</v>
      </c>
      <c r="E65" s="11">
        <v>1.92</v>
      </c>
      <c r="F65" s="11">
        <v>13.9</v>
      </c>
      <c r="G65" s="11">
        <v>27.67</v>
      </c>
      <c r="H65" s="11">
        <v>2.79</v>
      </c>
      <c r="I65" s="11">
        <v>1.86</v>
      </c>
      <c r="J65" s="11">
        <v>69.33</v>
      </c>
      <c r="K65" s="11">
        <v>3.92</v>
      </c>
      <c r="L65" s="11">
        <v>2.02</v>
      </c>
      <c r="M65" s="11">
        <v>5.43</v>
      </c>
      <c r="N65" s="11">
        <v>3.99</v>
      </c>
      <c r="O65" s="11">
        <v>1.88</v>
      </c>
      <c r="P65" s="11">
        <v>38.24</v>
      </c>
      <c r="Q65" s="11">
        <v>1.81</v>
      </c>
      <c r="R65" s="11">
        <v>9.44</v>
      </c>
      <c r="S65" s="9" t="s">
        <v>41</v>
      </c>
      <c r="T65" s="9" t="s">
        <v>41</v>
      </c>
      <c r="U65" s="9" t="s">
        <v>41</v>
      </c>
      <c r="V65" s="14" t="s">
        <v>41</v>
      </c>
      <c r="W65" s="9" t="s">
        <v>41</v>
      </c>
      <c r="X65" s="9" t="s">
        <v>41</v>
      </c>
      <c r="Y65" s="9" t="s">
        <v>41</v>
      </c>
      <c r="Z65" s="9" t="s">
        <v>41</v>
      </c>
      <c r="AA65" s="9" t="s">
        <v>41</v>
      </c>
      <c r="AB65" s="9" t="s">
        <v>41</v>
      </c>
      <c r="AC65" s="9" t="s">
        <v>41</v>
      </c>
      <c r="AD65" s="9" t="s">
        <v>41</v>
      </c>
      <c r="AE65" s="9" t="s">
        <v>41</v>
      </c>
      <c r="AF65" s="9" t="s">
        <v>41</v>
      </c>
      <c r="AJ65" s="11">
        <v>529.46</v>
      </c>
      <c r="AK65" s="9" t="s">
        <v>41</v>
      </c>
      <c r="AL65" s="11">
        <v>529.46</v>
      </c>
      <c r="AM65" s="13"/>
      <c r="AN65" s="13"/>
      <c r="AO65" s="13"/>
      <c r="AP65" s="13"/>
      <c r="AQ65" s="13"/>
      <c r="AR65" s="13"/>
    </row>
    <row r="66" spans="1:44" ht="15.75" customHeight="1">
      <c r="A66" s="9" t="s">
        <v>165</v>
      </c>
      <c r="B66" s="9" t="s">
        <v>166</v>
      </c>
      <c r="C66" s="10" t="s">
        <v>40</v>
      </c>
      <c r="D66" s="11">
        <v>914.31</v>
      </c>
      <c r="E66" s="11">
        <v>6.96</v>
      </c>
      <c r="F66" s="11">
        <v>5.65</v>
      </c>
      <c r="G66" s="11">
        <v>20.79</v>
      </c>
      <c r="H66" s="11">
        <v>1.36</v>
      </c>
      <c r="I66" s="11">
        <v>2.33</v>
      </c>
      <c r="J66" s="11">
        <v>120.98</v>
      </c>
      <c r="K66" s="11">
        <v>5.0599999999999996</v>
      </c>
      <c r="L66" s="11">
        <v>6.9</v>
      </c>
      <c r="M66" s="9" t="s">
        <v>41</v>
      </c>
      <c r="N66" s="11">
        <v>2.15</v>
      </c>
      <c r="O66" s="11">
        <v>0.17</v>
      </c>
      <c r="P66" s="11">
        <v>110.6</v>
      </c>
      <c r="Q66" s="11">
        <v>4.63</v>
      </c>
      <c r="R66" s="11">
        <v>5.59</v>
      </c>
      <c r="S66" s="11">
        <v>123.26</v>
      </c>
      <c r="T66" s="9" t="s">
        <v>41</v>
      </c>
      <c r="U66" s="9" t="s">
        <v>41</v>
      </c>
      <c r="V66" s="12">
        <v>28.95</v>
      </c>
      <c r="W66" s="9" t="s">
        <v>41</v>
      </c>
      <c r="X66" s="9" t="s">
        <v>41</v>
      </c>
      <c r="Y66" s="9" t="s">
        <v>41</v>
      </c>
      <c r="Z66" s="9" t="s">
        <v>41</v>
      </c>
      <c r="AA66" s="11">
        <v>12.5</v>
      </c>
      <c r="AB66" s="9" t="s">
        <v>41</v>
      </c>
      <c r="AC66" s="9" t="s">
        <v>41</v>
      </c>
      <c r="AD66" s="11">
        <v>17.04</v>
      </c>
      <c r="AE66" s="11">
        <v>38.24</v>
      </c>
      <c r="AF66" s="11">
        <v>55.28</v>
      </c>
      <c r="AJ66" s="11">
        <v>1427.45</v>
      </c>
      <c r="AK66" s="9" t="s">
        <v>41</v>
      </c>
      <c r="AL66" s="11">
        <v>1427.45</v>
      </c>
      <c r="AM66" s="13"/>
      <c r="AN66" s="13"/>
      <c r="AO66" s="13"/>
      <c r="AP66" s="13"/>
      <c r="AQ66" s="13"/>
      <c r="AR66" s="13"/>
    </row>
    <row r="67" spans="1:44" ht="15.75" customHeight="1">
      <c r="A67" s="9" t="s">
        <v>167</v>
      </c>
      <c r="B67" s="9" t="s">
        <v>168</v>
      </c>
      <c r="C67" s="10" t="s">
        <v>40</v>
      </c>
      <c r="D67" s="11">
        <v>2476.25</v>
      </c>
      <c r="E67" s="11">
        <v>13.27</v>
      </c>
      <c r="F67" s="11">
        <v>45.42</v>
      </c>
      <c r="G67" s="11">
        <v>95.16</v>
      </c>
      <c r="H67" s="11">
        <v>4.1500000000000004</v>
      </c>
      <c r="I67" s="11">
        <v>11.27</v>
      </c>
      <c r="J67" s="11">
        <v>308.79000000000002</v>
      </c>
      <c r="K67" s="11">
        <v>26.91</v>
      </c>
      <c r="L67" s="11">
        <v>34.659999999999997</v>
      </c>
      <c r="M67" s="9" t="s">
        <v>41</v>
      </c>
      <c r="N67" s="11">
        <v>30.08</v>
      </c>
      <c r="O67" s="9" t="s">
        <v>41</v>
      </c>
      <c r="P67" s="11">
        <v>283.99</v>
      </c>
      <c r="Q67" s="11">
        <v>23.59</v>
      </c>
      <c r="R67" s="11">
        <v>54.4</v>
      </c>
      <c r="S67" s="11">
        <v>1196.81</v>
      </c>
      <c r="T67" s="9" t="s">
        <v>41</v>
      </c>
      <c r="U67" s="9" t="s">
        <v>41</v>
      </c>
      <c r="V67" s="12">
        <v>17.62</v>
      </c>
      <c r="W67" s="9" t="s">
        <v>41</v>
      </c>
      <c r="X67" s="9" t="s">
        <v>41</v>
      </c>
      <c r="Y67" s="9" t="s">
        <v>41</v>
      </c>
      <c r="Z67" s="9" t="s">
        <v>41</v>
      </c>
      <c r="AA67" s="9" t="s">
        <v>41</v>
      </c>
      <c r="AB67" s="9" t="s">
        <v>41</v>
      </c>
      <c r="AC67" s="9" t="s">
        <v>41</v>
      </c>
      <c r="AD67" s="11">
        <v>10.77</v>
      </c>
      <c r="AE67" s="9" t="s">
        <v>41</v>
      </c>
      <c r="AF67" s="11">
        <v>10.77</v>
      </c>
      <c r="AJ67" s="11">
        <v>4633.13</v>
      </c>
      <c r="AK67" s="11">
        <v>1.61</v>
      </c>
      <c r="AL67" s="11">
        <v>4631.51</v>
      </c>
      <c r="AM67" s="13"/>
      <c r="AN67" s="13"/>
      <c r="AO67" s="13"/>
      <c r="AP67" s="13"/>
      <c r="AQ67" s="13"/>
      <c r="AR67" s="13"/>
    </row>
    <row r="68" spans="1:44" ht="15.75" customHeight="1">
      <c r="A68" s="9" t="s">
        <v>169</v>
      </c>
      <c r="B68" s="9" t="s">
        <v>170</v>
      </c>
      <c r="C68" s="10" t="s">
        <v>40</v>
      </c>
      <c r="D68" s="11">
        <v>604.74</v>
      </c>
      <c r="E68" s="9" t="s">
        <v>41</v>
      </c>
      <c r="F68" s="11">
        <v>0.85</v>
      </c>
      <c r="G68" s="11">
        <v>71.569999999999993</v>
      </c>
      <c r="H68" s="11">
        <v>152.31</v>
      </c>
      <c r="I68" s="11">
        <v>5.93</v>
      </c>
      <c r="J68" s="11">
        <v>4.3499999999999996</v>
      </c>
      <c r="K68" s="11">
        <v>32.22</v>
      </c>
      <c r="L68" s="11">
        <v>13.84</v>
      </c>
      <c r="M68" s="9" t="s">
        <v>41</v>
      </c>
      <c r="N68" s="11">
        <v>8.91</v>
      </c>
      <c r="O68" s="11">
        <v>0.71</v>
      </c>
      <c r="P68" s="9" t="s">
        <v>41</v>
      </c>
      <c r="Q68" s="11">
        <v>5.65</v>
      </c>
      <c r="R68" s="11">
        <v>5.62</v>
      </c>
      <c r="S68" s="11">
        <v>1.27</v>
      </c>
      <c r="T68" s="9" t="s">
        <v>41</v>
      </c>
      <c r="U68" s="9" t="s">
        <v>41</v>
      </c>
      <c r="V68" s="14" t="s">
        <v>41</v>
      </c>
      <c r="W68" s="9" t="s">
        <v>41</v>
      </c>
      <c r="X68" s="9" t="s">
        <v>41</v>
      </c>
      <c r="Y68" s="9" t="s">
        <v>41</v>
      </c>
      <c r="Z68" s="9" t="s">
        <v>41</v>
      </c>
      <c r="AA68" s="9" t="s">
        <v>41</v>
      </c>
      <c r="AB68" s="11">
        <v>0.28999999999999998</v>
      </c>
      <c r="AC68" s="11">
        <v>44.5</v>
      </c>
      <c r="AD68" s="11">
        <v>0.06</v>
      </c>
      <c r="AE68" s="11">
        <v>3.01</v>
      </c>
      <c r="AF68" s="11">
        <v>47.86</v>
      </c>
      <c r="AJ68" s="11">
        <v>955.83</v>
      </c>
      <c r="AK68" s="9" t="s">
        <v>41</v>
      </c>
      <c r="AL68" s="11">
        <v>955.83</v>
      </c>
      <c r="AM68" s="13"/>
      <c r="AN68" s="13"/>
      <c r="AO68" s="13"/>
      <c r="AP68" s="13"/>
      <c r="AQ68" s="13"/>
      <c r="AR68" s="13"/>
    </row>
    <row r="69" spans="1:44" ht="15.75" customHeight="1">
      <c r="A69" s="9"/>
      <c r="B69" s="9" t="s">
        <v>171</v>
      </c>
      <c r="C69" s="10" t="s">
        <v>40</v>
      </c>
      <c r="D69" s="11">
        <v>12385.4</v>
      </c>
      <c r="E69" s="9" t="s">
        <v>41</v>
      </c>
      <c r="F69" s="11">
        <v>3.87</v>
      </c>
      <c r="G69" s="11">
        <v>4601.84</v>
      </c>
      <c r="H69" s="11">
        <v>2183.73</v>
      </c>
      <c r="I69" s="11">
        <v>79.709999999999994</v>
      </c>
      <c r="J69" s="11">
        <v>116.83</v>
      </c>
      <c r="K69" s="11">
        <v>187.67</v>
      </c>
      <c r="L69" s="11">
        <v>243.37</v>
      </c>
      <c r="M69" s="11">
        <v>33.85</v>
      </c>
      <c r="N69" s="11">
        <v>38.380000000000003</v>
      </c>
      <c r="O69" s="11">
        <v>137.37</v>
      </c>
      <c r="P69" s="9" t="s">
        <v>41</v>
      </c>
      <c r="Q69" s="11">
        <v>72.760000000000005</v>
      </c>
      <c r="R69" s="11">
        <v>30.26</v>
      </c>
      <c r="S69" s="11">
        <v>2769.45</v>
      </c>
      <c r="T69" s="9" t="s">
        <v>41</v>
      </c>
      <c r="U69" s="9" t="s">
        <v>41</v>
      </c>
      <c r="V69" s="14" t="s">
        <v>41</v>
      </c>
      <c r="W69" s="9" t="s">
        <v>41</v>
      </c>
      <c r="X69" s="11">
        <v>11.41</v>
      </c>
      <c r="Y69" s="9" t="s">
        <v>41</v>
      </c>
      <c r="Z69" s="11">
        <v>98.9</v>
      </c>
      <c r="AA69" s="9" t="s">
        <v>41</v>
      </c>
      <c r="AB69" s="9" t="s">
        <v>41</v>
      </c>
      <c r="AC69" s="11">
        <v>109.15</v>
      </c>
      <c r="AD69" s="11">
        <v>26.32</v>
      </c>
      <c r="AE69" s="11">
        <v>88.36</v>
      </c>
      <c r="AF69" s="11">
        <v>223.84</v>
      </c>
      <c r="AJ69" s="11">
        <v>23218.63</v>
      </c>
      <c r="AK69" s="11">
        <v>1.74</v>
      </c>
      <c r="AL69" s="11">
        <v>23216.89</v>
      </c>
      <c r="AM69" s="13"/>
      <c r="AN69" s="13"/>
      <c r="AO69" s="13"/>
      <c r="AP69" s="13"/>
      <c r="AQ69" s="13"/>
      <c r="AR69" s="13"/>
    </row>
    <row r="70" spans="1:44" ht="15.75" customHeight="1">
      <c r="A70" s="9" t="s">
        <v>172</v>
      </c>
      <c r="B70" s="9" t="s">
        <v>173</v>
      </c>
      <c r="C70" s="10" t="s">
        <v>40</v>
      </c>
      <c r="D70" s="11">
        <v>2462.13</v>
      </c>
      <c r="E70" s="11">
        <v>61.77</v>
      </c>
      <c r="F70" s="11">
        <v>19.07</v>
      </c>
      <c r="G70" s="11">
        <v>349.49</v>
      </c>
      <c r="H70" s="11">
        <v>462.99</v>
      </c>
      <c r="I70" s="11">
        <v>52.2</v>
      </c>
      <c r="J70" s="11">
        <v>271.33999999999997</v>
      </c>
      <c r="K70" s="11">
        <v>285.67</v>
      </c>
      <c r="L70" s="11">
        <v>117.23</v>
      </c>
      <c r="M70" s="11">
        <v>40.1</v>
      </c>
      <c r="N70" s="11">
        <v>5</v>
      </c>
      <c r="O70" s="11">
        <v>90.83</v>
      </c>
      <c r="P70" s="11">
        <v>566.96</v>
      </c>
      <c r="Q70" s="11">
        <v>122.57</v>
      </c>
      <c r="R70" s="11">
        <v>7</v>
      </c>
      <c r="S70" s="11">
        <v>1028.9000000000001</v>
      </c>
      <c r="T70" s="9" t="s">
        <v>41</v>
      </c>
      <c r="U70" s="9" t="s">
        <v>41</v>
      </c>
      <c r="V70" s="12">
        <v>10.95</v>
      </c>
      <c r="W70" s="9" t="s">
        <v>41</v>
      </c>
      <c r="X70" s="9" t="s">
        <v>41</v>
      </c>
      <c r="Y70" s="9" t="s">
        <v>41</v>
      </c>
      <c r="Z70" s="9" t="s">
        <v>41</v>
      </c>
      <c r="AA70" s="9" t="s">
        <v>41</v>
      </c>
      <c r="AB70" s="9" t="s">
        <v>41</v>
      </c>
      <c r="AC70" s="11">
        <v>7.49</v>
      </c>
      <c r="AD70" s="11">
        <v>46.23</v>
      </c>
      <c r="AE70" s="11">
        <v>47.38</v>
      </c>
      <c r="AF70" s="11">
        <v>101.09</v>
      </c>
      <c r="AJ70" s="11">
        <v>6055.3</v>
      </c>
      <c r="AK70" s="11">
        <v>15.55</v>
      </c>
      <c r="AL70" s="11">
        <v>6039.75</v>
      </c>
      <c r="AM70" s="13"/>
      <c r="AN70" s="13"/>
      <c r="AO70" s="13"/>
      <c r="AP70" s="13"/>
      <c r="AQ70" s="13"/>
      <c r="AR70" s="13"/>
    </row>
    <row r="71" spans="1:44" ht="15.75" customHeight="1">
      <c r="A71" s="9" t="s">
        <v>174</v>
      </c>
      <c r="B71" s="9" t="s">
        <v>174</v>
      </c>
      <c r="C71" s="10" t="s">
        <v>40</v>
      </c>
      <c r="D71" s="11">
        <v>3638</v>
      </c>
      <c r="E71" s="9" t="s">
        <v>41</v>
      </c>
      <c r="F71" s="11">
        <v>2.98</v>
      </c>
      <c r="G71" s="11">
        <v>1181.6099999999999</v>
      </c>
      <c r="H71" s="11">
        <v>614.91</v>
      </c>
      <c r="I71" s="11">
        <v>43.36</v>
      </c>
      <c r="J71" s="11">
        <v>1.86</v>
      </c>
      <c r="K71" s="11">
        <v>191.08</v>
      </c>
      <c r="L71" s="11">
        <v>67.56</v>
      </c>
      <c r="M71" s="11">
        <v>24.16</v>
      </c>
      <c r="N71" s="11">
        <v>21.31</v>
      </c>
      <c r="O71" s="11">
        <v>20.14</v>
      </c>
      <c r="P71" s="9" t="s">
        <v>41</v>
      </c>
      <c r="Q71" s="11">
        <v>33.71</v>
      </c>
      <c r="R71" s="11">
        <v>35.5</v>
      </c>
      <c r="S71" s="11">
        <v>813.52</v>
      </c>
      <c r="T71" s="9" t="s">
        <v>41</v>
      </c>
      <c r="U71" s="9" t="s">
        <v>41</v>
      </c>
      <c r="V71" s="12">
        <v>33.6</v>
      </c>
      <c r="W71" s="11">
        <v>7.55</v>
      </c>
      <c r="X71" s="11">
        <v>40</v>
      </c>
      <c r="Y71" s="9" t="s">
        <v>41</v>
      </c>
      <c r="Z71" s="9" t="s">
        <v>41</v>
      </c>
      <c r="AA71" s="9" t="s">
        <v>41</v>
      </c>
      <c r="AB71" s="11">
        <v>4.95</v>
      </c>
      <c r="AC71" s="11">
        <v>95.14</v>
      </c>
      <c r="AD71" s="11">
        <v>20.52</v>
      </c>
      <c r="AE71" s="11">
        <v>8.77</v>
      </c>
      <c r="AF71" s="11">
        <v>129.37</v>
      </c>
      <c r="AJ71" s="11">
        <v>6900.23</v>
      </c>
      <c r="AK71" s="9" t="s">
        <v>41</v>
      </c>
      <c r="AL71" s="11">
        <v>6900.23</v>
      </c>
      <c r="AM71" s="13"/>
      <c r="AN71" s="13"/>
      <c r="AO71" s="13"/>
      <c r="AP71" s="13"/>
      <c r="AQ71" s="13"/>
      <c r="AR71" s="13"/>
    </row>
    <row r="72" spans="1:44" ht="15.75" customHeight="1">
      <c r="A72" s="9" t="s">
        <v>175</v>
      </c>
      <c r="B72" s="9" t="s">
        <v>176</v>
      </c>
      <c r="C72" s="10" t="s">
        <v>40</v>
      </c>
      <c r="D72" s="11">
        <v>218.61</v>
      </c>
      <c r="E72" s="11">
        <v>0.42</v>
      </c>
      <c r="F72" s="11">
        <v>11.45</v>
      </c>
      <c r="G72" s="11">
        <v>111.44</v>
      </c>
      <c r="H72" s="11">
        <v>59.44</v>
      </c>
      <c r="I72" s="11">
        <v>15.98</v>
      </c>
      <c r="J72" s="11">
        <v>43.74</v>
      </c>
      <c r="K72" s="11">
        <v>181.48</v>
      </c>
      <c r="L72" s="11">
        <v>112.49</v>
      </c>
      <c r="M72" s="11">
        <v>0.9</v>
      </c>
      <c r="N72" s="11">
        <v>9.76</v>
      </c>
      <c r="O72" s="11">
        <v>1.31</v>
      </c>
      <c r="P72" s="9" t="s">
        <v>41</v>
      </c>
      <c r="Q72" s="11">
        <v>8.2100000000000009</v>
      </c>
      <c r="R72" s="11">
        <v>12.55</v>
      </c>
      <c r="S72" s="11">
        <v>32.799999999999997</v>
      </c>
      <c r="T72" s="9" t="s">
        <v>41</v>
      </c>
      <c r="U72" s="9" t="s">
        <v>41</v>
      </c>
      <c r="V72" s="12">
        <v>5.48</v>
      </c>
      <c r="W72" s="9" t="s">
        <v>41</v>
      </c>
      <c r="X72" s="9" t="s">
        <v>41</v>
      </c>
      <c r="Y72" s="9" t="s">
        <v>41</v>
      </c>
      <c r="Z72" s="9" t="s">
        <v>41</v>
      </c>
      <c r="AA72" s="9" t="s">
        <v>41</v>
      </c>
      <c r="AB72" s="11">
        <v>23.91</v>
      </c>
      <c r="AC72" s="11">
        <v>7.61</v>
      </c>
      <c r="AD72" s="11">
        <v>3.41</v>
      </c>
      <c r="AE72" s="11">
        <v>6.67</v>
      </c>
      <c r="AF72" s="11">
        <v>41.6</v>
      </c>
      <c r="AJ72" s="11">
        <v>867.65</v>
      </c>
      <c r="AK72" s="9" t="s">
        <v>41</v>
      </c>
      <c r="AL72" s="11">
        <v>867.65</v>
      </c>
      <c r="AM72" s="13"/>
      <c r="AN72" s="13"/>
      <c r="AO72" s="13"/>
      <c r="AP72" s="13"/>
      <c r="AQ72" s="13"/>
      <c r="AR72" s="13"/>
    </row>
    <row r="73" spans="1:44" ht="15.75" customHeight="1">
      <c r="A73" s="9" t="s">
        <v>177</v>
      </c>
      <c r="B73" s="9" t="s">
        <v>178</v>
      </c>
      <c r="C73" s="10" t="s">
        <v>40</v>
      </c>
      <c r="D73" s="11">
        <v>189.48</v>
      </c>
      <c r="E73" s="11">
        <v>2.2799999999999998</v>
      </c>
      <c r="F73" s="11">
        <v>4.1100000000000003</v>
      </c>
      <c r="G73" s="11">
        <v>28.86</v>
      </c>
      <c r="H73" s="9" t="s">
        <v>41</v>
      </c>
      <c r="I73" s="11">
        <v>7.58</v>
      </c>
      <c r="J73" s="11">
        <v>40.11</v>
      </c>
      <c r="K73" s="11">
        <v>0.44</v>
      </c>
      <c r="L73" s="9" t="s">
        <v>179</v>
      </c>
      <c r="M73" s="9" t="s">
        <v>41</v>
      </c>
      <c r="N73" s="11">
        <v>8.83</v>
      </c>
      <c r="O73" s="11">
        <v>0.6</v>
      </c>
      <c r="P73" s="11">
        <v>31.08</v>
      </c>
      <c r="Q73" s="11">
        <v>2.69</v>
      </c>
      <c r="R73" s="11">
        <v>18.899999999999999</v>
      </c>
      <c r="S73" s="11">
        <v>52.09</v>
      </c>
      <c r="T73" s="9" t="s">
        <v>41</v>
      </c>
      <c r="U73" s="9" t="s">
        <v>41</v>
      </c>
      <c r="V73" s="14" t="s">
        <v>41</v>
      </c>
      <c r="W73" s="9" t="s">
        <v>41</v>
      </c>
      <c r="X73" s="9" t="s">
        <v>41</v>
      </c>
      <c r="Y73" s="9" t="s">
        <v>41</v>
      </c>
      <c r="Z73" s="9" t="s">
        <v>41</v>
      </c>
      <c r="AA73" s="9" t="s">
        <v>41</v>
      </c>
      <c r="AB73" s="11">
        <v>110.44</v>
      </c>
      <c r="AC73" s="9" t="s">
        <v>41</v>
      </c>
      <c r="AD73" s="11">
        <v>0.19</v>
      </c>
      <c r="AE73" s="9" t="s">
        <v>41</v>
      </c>
      <c r="AF73" s="11">
        <v>110.63</v>
      </c>
      <c r="AJ73" s="11">
        <v>497.69</v>
      </c>
      <c r="AK73" s="9" t="s">
        <v>41</v>
      </c>
      <c r="AL73" s="11">
        <v>497.69</v>
      </c>
      <c r="AM73" s="13"/>
      <c r="AN73" s="13"/>
      <c r="AO73" s="13"/>
      <c r="AP73" s="13"/>
      <c r="AQ73" s="13"/>
      <c r="AR73" s="13"/>
    </row>
    <row r="74" spans="1:44" ht="15.75" customHeight="1">
      <c r="A74" s="9" t="s">
        <v>180</v>
      </c>
      <c r="B74" s="9" t="s">
        <v>181</v>
      </c>
      <c r="C74" s="10" t="s">
        <v>40</v>
      </c>
      <c r="D74" s="11">
        <v>2626.87</v>
      </c>
      <c r="E74" s="11">
        <v>11.53</v>
      </c>
      <c r="F74" s="11">
        <v>37.520000000000003</v>
      </c>
      <c r="G74" s="11">
        <v>98.68</v>
      </c>
      <c r="H74" s="11">
        <v>34.01</v>
      </c>
      <c r="I74" s="11">
        <v>76.28</v>
      </c>
      <c r="J74" s="11">
        <v>11.98</v>
      </c>
      <c r="K74" s="11">
        <v>37.69</v>
      </c>
      <c r="L74" s="11">
        <v>117.06</v>
      </c>
      <c r="M74" s="11">
        <v>5.23</v>
      </c>
      <c r="N74" s="11">
        <v>17.23</v>
      </c>
      <c r="O74" s="11">
        <v>7.11</v>
      </c>
      <c r="P74" s="11">
        <v>96.32</v>
      </c>
      <c r="Q74" s="11">
        <v>19.88</v>
      </c>
      <c r="R74" s="11">
        <v>19.329999999999998</v>
      </c>
      <c r="S74" s="11">
        <v>21.12</v>
      </c>
      <c r="T74" s="9" t="s">
        <v>41</v>
      </c>
      <c r="U74" s="9" t="s">
        <v>41</v>
      </c>
      <c r="V74" s="12">
        <v>5.16</v>
      </c>
      <c r="W74" s="9" t="s">
        <v>41</v>
      </c>
      <c r="X74" s="9" t="s">
        <v>41</v>
      </c>
      <c r="Y74" s="9" t="s">
        <v>41</v>
      </c>
      <c r="Z74" s="9" t="s">
        <v>41</v>
      </c>
      <c r="AA74" s="11">
        <v>3</v>
      </c>
      <c r="AB74" s="9" t="s">
        <v>41</v>
      </c>
      <c r="AC74" s="11">
        <v>41.65</v>
      </c>
      <c r="AD74" s="11">
        <v>16.23</v>
      </c>
      <c r="AE74" s="11">
        <v>22.09</v>
      </c>
      <c r="AF74" s="11">
        <v>79.98</v>
      </c>
      <c r="AJ74" s="11">
        <v>3325.98</v>
      </c>
      <c r="AK74" s="11">
        <v>9.2799999999999994</v>
      </c>
      <c r="AL74" s="11">
        <v>3316.7</v>
      </c>
      <c r="AM74" s="13"/>
      <c r="AN74" s="13"/>
      <c r="AO74" s="13"/>
      <c r="AP74" s="13"/>
      <c r="AQ74" s="13"/>
      <c r="AR74" s="13"/>
    </row>
    <row r="75" spans="1:44" ht="15.75" customHeight="1">
      <c r="A75" s="9" t="s">
        <v>182</v>
      </c>
      <c r="B75" s="9" t="s">
        <v>183</v>
      </c>
      <c r="C75" s="10" t="s">
        <v>40</v>
      </c>
      <c r="D75" s="11">
        <v>298.22000000000003</v>
      </c>
      <c r="E75" s="9" t="s">
        <v>41</v>
      </c>
      <c r="F75" s="11">
        <v>12.5</v>
      </c>
      <c r="G75" s="11">
        <v>15.84</v>
      </c>
      <c r="H75" s="9" t="s">
        <v>41</v>
      </c>
      <c r="I75" s="11">
        <v>5.07</v>
      </c>
      <c r="J75" s="11">
        <v>39.89</v>
      </c>
      <c r="K75" s="11">
        <v>25.74</v>
      </c>
      <c r="L75" s="11">
        <v>28.88</v>
      </c>
      <c r="M75" s="11">
        <v>0.09</v>
      </c>
      <c r="N75" s="11">
        <v>5.92</v>
      </c>
      <c r="O75" s="11">
        <v>14.59</v>
      </c>
      <c r="P75" s="11">
        <v>32.090000000000003</v>
      </c>
      <c r="Q75" s="11">
        <v>3.83</v>
      </c>
      <c r="R75" s="11">
        <v>13.4</v>
      </c>
      <c r="S75" s="11">
        <v>7.43</v>
      </c>
      <c r="T75" s="9" t="s">
        <v>41</v>
      </c>
      <c r="U75" s="9" t="s">
        <v>41</v>
      </c>
      <c r="V75" s="12">
        <v>0.11</v>
      </c>
      <c r="W75" s="9" t="s">
        <v>41</v>
      </c>
      <c r="X75" s="9" t="s">
        <v>41</v>
      </c>
      <c r="Y75" s="9" t="s">
        <v>41</v>
      </c>
      <c r="Z75" s="9" t="s">
        <v>41</v>
      </c>
      <c r="AA75" s="9" t="s">
        <v>41</v>
      </c>
      <c r="AB75" s="11">
        <v>2.34</v>
      </c>
      <c r="AC75" s="9" t="s">
        <v>41</v>
      </c>
      <c r="AD75" s="11">
        <v>10.58</v>
      </c>
      <c r="AE75" s="11">
        <v>12.99</v>
      </c>
      <c r="AF75" s="11">
        <v>25.91</v>
      </c>
      <c r="AJ75" s="11">
        <v>529.52</v>
      </c>
      <c r="AK75" s="11">
        <v>0.83</v>
      </c>
      <c r="AL75" s="11">
        <v>528.69000000000005</v>
      </c>
      <c r="AM75" s="13"/>
      <c r="AN75" s="13"/>
      <c r="AO75" s="13"/>
      <c r="AP75" s="13"/>
      <c r="AQ75" s="13"/>
      <c r="AR75" s="13"/>
    </row>
    <row r="76" spans="1:44" ht="15.75" customHeight="1">
      <c r="A76" s="9" t="s">
        <v>184</v>
      </c>
      <c r="B76" s="9" t="s">
        <v>185</v>
      </c>
      <c r="C76" s="10" t="s">
        <v>40</v>
      </c>
      <c r="D76" s="11">
        <v>340070.75</v>
      </c>
      <c r="E76" s="11">
        <v>29.02</v>
      </c>
      <c r="F76" s="11">
        <v>33.56</v>
      </c>
      <c r="G76" s="11">
        <v>70.31</v>
      </c>
      <c r="H76" s="11">
        <v>1.81</v>
      </c>
      <c r="I76" s="11">
        <v>12.39</v>
      </c>
      <c r="J76" s="11">
        <v>49.6</v>
      </c>
      <c r="K76" s="11">
        <v>1341.95</v>
      </c>
      <c r="L76" s="11">
        <v>21.16</v>
      </c>
      <c r="M76" s="11">
        <v>1.41</v>
      </c>
      <c r="N76" s="11">
        <v>42.99</v>
      </c>
      <c r="O76" s="11">
        <v>14.81</v>
      </c>
      <c r="P76" s="11">
        <v>166.02</v>
      </c>
      <c r="Q76" s="11">
        <v>11.94</v>
      </c>
      <c r="R76" s="11">
        <v>62.36</v>
      </c>
      <c r="S76" s="11">
        <v>246.49</v>
      </c>
      <c r="T76" s="9" t="s">
        <v>41</v>
      </c>
      <c r="U76" s="9" t="s">
        <v>41</v>
      </c>
      <c r="V76" s="14" t="s">
        <v>41</v>
      </c>
      <c r="W76" s="9" t="s">
        <v>41</v>
      </c>
      <c r="X76" s="9" t="s">
        <v>41</v>
      </c>
      <c r="Y76" s="9" t="s">
        <v>41</v>
      </c>
      <c r="Z76" s="9" t="s">
        <v>41</v>
      </c>
      <c r="AA76" s="9" t="s">
        <v>41</v>
      </c>
      <c r="AB76" s="11">
        <v>11.89</v>
      </c>
      <c r="AC76" s="11">
        <v>29.9</v>
      </c>
      <c r="AD76" s="11">
        <v>14.73</v>
      </c>
      <c r="AE76" s="11">
        <v>144.22</v>
      </c>
      <c r="AF76" s="11">
        <v>200.74</v>
      </c>
      <c r="AJ76" s="11">
        <v>342377.29</v>
      </c>
      <c r="AK76" s="11">
        <v>1007.51</v>
      </c>
      <c r="AL76" s="11">
        <v>341369.78</v>
      </c>
      <c r="AM76" s="13"/>
      <c r="AN76" s="13"/>
      <c r="AO76" s="13"/>
      <c r="AP76" s="13"/>
      <c r="AQ76" s="13"/>
      <c r="AR76" s="13"/>
    </row>
    <row r="77" spans="1:44" ht="15.75" customHeight="1">
      <c r="A77" s="9" t="s">
        <v>186</v>
      </c>
      <c r="B77" s="9" t="s">
        <v>187</v>
      </c>
      <c r="C77" s="10" t="s">
        <v>40</v>
      </c>
      <c r="D77" s="11">
        <v>605.91</v>
      </c>
      <c r="E77" s="11">
        <v>2.67</v>
      </c>
      <c r="F77" s="11">
        <v>3.79</v>
      </c>
      <c r="G77" s="11">
        <v>18.86</v>
      </c>
      <c r="H77" s="11">
        <v>0.41</v>
      </c>
      <c r="I77" s="11">
        <v>1.22</v>
      </c>
      <c r="J77" s="11">
        <v>103.34</v>
      </c>
      <c r="K77" s="11">
        <v>3.61</v>
      </c>
      <c r="L77" s="11">
        <v>15.2</v>
      </c>
      <c r="M77" s="11">
        <v>1.37</v>
      </c>
      <c r="N77" s="11">
        <v>6.91</v>
      </c>
      <c r="O77" s="11">
        <v>0.93</v>
      </c>
      <c r="P77" s="11">
        <v>99.14</v>
      </c>
      <c r="Q77" s="11">
        <v>2.2799999999999998</v>
      </c>
      <c r="R77" s="11">
        <v>6.28</v>
      </c>
      <c r="S77" s="11">
        <v>115.56</v>
      </c>
      <c r="T77" s="9" t="s">
        <v>41</v>
      </c>
      <c r="U77" s="9" t="s">
        <v>41</v>
      </c>
      <c r="V77" s="12">
        <v>6.11</v>
      </c>
      <c r="W77" s="9" t="s">
        <v>41</v>
      </c>
      <c r="X77" s="9" t="s">
        <v>41</v>
      </c>
      <c r="Y77" s="9" t="s">
        <v>41</v>
      </c>
      <c r="Z77" s="9" t="s">
        <v>41</v>
      </c>
      <c r="AA77" s="11">
        <v>36</v>
      </c>
      <c r="AB77" s="11">
        <v>82.2</v>
      </c>
      <c r="AC77" s="11">
        <v>27.89</v>
      </c>
      <c r="AD77" s="11">
        <v>3.73</v>
      </c>
      <c r="AE77" s="11">
        <v>36.119999999999997</v>
      </c>
      <c r="AF77" s="11">
        <v>149.94</v>
      </c>
      <c r="AJ77" s="11">
        <v>1179.53</v>
      </c>
      <c r="AK77" s="11">
        <v>1.08</v>
      </c>
      <c r="AL77" s="11">
        <v>1178.45</v>
      </c>
      <c r="AM77" s="13"/>
      <c r="AN77" s="13"/>
      <c r="AO77" s="13"/>
      <c r="AP77" s="13"/>
      <c r="AQ77" s="13"/>
      <c r="AR77" s="13"/>
    </row>
    <row r="78" spans="1:44" ht="15.75" customHeight="1">
      <c r="A78" s="9" t="s">
        <v>188</v>
      </c>
      <c r="B78" s="9" t="s">
        <v>188</v>
      </c>
      <c r="C78" s="10" t="s">
        <v>40</v>
      </c>
      <c r="D78" s="11">
        <v>4805.29</v>
      </c>
      <c r="E78" s="11">
        <v>6.37</v>
      </c>
      <c r="F78" s="11">
        <v>92.06</v>
      </c>
      <c r="G78" s="11">
        <v>1016.95</v>
      </c>
      <c r="H78" s="11">
        <v>103.32</v>
      </c>
      <c r="I78" s="11">
        <v>22.92</v>
      </c>
      <c r="J78" s="11">
        <v>233.79</v>
      </c>
      <c r="K78" s="11">
        <v>79.52</v>
      </c>
      <c r="L78" s="11">
        <v>105.4</v>
      </c>
      <c r="M78" s="11">
        <v>0.01</v>
      </c>
      <c r="N78" s="11">
        <v>38.299999999999997</v>
      </c>
      <c r="O78" s="11">
        <v>154.97999999999999</v>
      </c>
      <c r="P78" s="11">
        <v>475.52</v>
      </c>
      <c r="Q78" s="11">
        <v>42.94</v>
      </c>
      <c r="R78" s="11">
        <v>58.68</v>
      </c>
      <c r="S78" s="11">
        <v>55.65</v>
      </c>
      <c r="T78" s="9" t="s">
        <v>41</v>
      </c>
      <c r="U78" s="9" t="s">
        <v>41</v>
      </c>
      <c r="V78" s="14" t="s">
        <v>41</v>
      </c>
      <c r="W78" s="9" t="s">
        <v>41</v>
      </c>
      <c r="X78" s="9" t="s">
        <v>41</v>
      </c>
      <c r="Y78" s="9" t="s">
        <v>41</v>
      </c>
      <c r="Z78" s="9" t="s">
        <v>41</v>
      </c>
      <c r="AA78" s="11">
        <v>143.61000000000001</v>
      </c>
      <c r="AB78" s="11">
        <v>27</v>
      </c>
      <c r="AC78" s="11">
        <v>122.5</v>
      </c>
      <c r="AD78" s="11">
        <v>91.95</v>
      </c>
      <c r="AE78" s="11">
        <v>92.03</v>
      </c>
      <c r="AF78" s="11">
        <v>333.48</v>
      </c>
      <c r="AJ78" s="11">
        <v>7768.81</v>
      </c>
      <c r="AK78" s="11">
        <v>333.34</v>
      </c>
      <c r="AL78" s="11">
        <v>7435.47</v>
      </c>
      <c r="AM78" s="13"/>
      <c r="AN78" s="13"/>
      <c r="AO78" s="13"/>
      <c r="AP78" s="13"/>
      <c r="AQ78" s="13"/>
      <c r="AR78" s="13"/>
    </row>
    <row r="79" spans="1:44" ht="15.75" customHeight="1">
      <c r="A79" s="9" t="s">
        <v>189</v>
      </c>
      <c r="B79" s="9" t="s">
        <v>190</v>
      </c>
      <c r="C79" s="10" t="s">
        <v>40</v>
      </c>
      <c r="D79" s="11">
        <v>376.27</v>
      </c>
      <c r="E79" s="9" t="s">
        <v>41</v>
      </c>
      <c r="F79" s="11">
        <v>10.79</v>
      </c>
      <c r="G79" s="11">
        <v>28.86</v>
      </c>
      <c r="H79" s="11">
        <v>2.4300000000000002</v>
      </c>
      <c r="I79" s="11">
        <v>42.12</v>
      </c>
      <c r="J79" s="11">
        <v>8.11</v>
      </c>
      <c r="K79" s="11">
        <v>13.5</v>
      </c>
      <c r="L79" s="11">
        <v>8.5299999999999994</v>
      </c>
      <c r="M79" s="11">
        <v>0.93</v>
      </c>
      <c r="N79" s="11">
        <v>3.09</v>
      </c>
      <c r="O79" s="11">
        <v>1.58</v>
      </c>
      <c r="P79" s="11">
        <v>58.07</v>
      </c>
      <c r="Q79" s="11">
        <v>8.14</v>
      </c>
      <c r="R79" s="11">
        <v>4.6100000000000003</v>
      </c>
      <c r="S79" s="11">
        <v>29.54</v>
      </c>
      <c r="T79" s="9" t="s">
        <v>41</v>
      </c>
      <c r="U79" s="9" t="s">
        <v>41</v>
      </c>
      <c r="V79" s="12">
        <v>6.67</v>
      </c>
      <c r="W79" s="9" t="s">
        <v>41</v>
      </c>
      <c r="X79" s="9" t="s">
        <v>41</v>
      </c>
      <c r="Y79" s="9" t="s">
        <v>41</v>
      </c>
      <c r="Z79" s="9" t="s">
        <v>41</v>
      </c>
      <c r="AA79" s="11">
        <v>29.92</v>
      </c>
      <c r="AB79" s="11">
        <v>1.28</v>
      </c>
      <c r="AC79" s="11">
        <v>13.58</v>
      </c>
      <c r="AD79" s="11">
        <v>15.72</v>
      </c>
      <c r="AE79" s="11">
        <v>5.89</v>
      </c>
      <c r="AF79" s="11">
        <v>36.46</v>
      </c>
      <c r="AJ79" s="11">
        <v>669.62</v>
      </c>
      <c r="AK79" s="11">
        <v>4.84</v>
      </c>
      <c r="AL79" s="11">
        <v>664.78</v>
      </c>
      <c r="AM79" s="13"/>
      <c r="AN79" s="13"/>
      <c r="AO79" s="13"/>
      <c r="AP79" s="13"/>
      <c r="AQ79" s="13"/>
      <c r="AR79" s="13"/>
    </row>
    <row r="80" spans="1:44" ht="15.75" customHeight="1">
      <c r="A80" s="9" t="s">
        <v>191</v>
      </c>
      <c r="B80" s="9" t="s">
        <v>192</v>
      </c>
      <c r="C80" s="10" t="s">
        <v>40</v>
      </c>
      <c r="D80" s="11">
        <v>411.65</v>
      </c>
      <c r="E80" s="11">
        <v>3.03</v>
      </c>
      <c r="F80" s="11">
        <v>13.02</v>
      </c>
      <c r="G80" s="11">
        <v>33.42</v>
      </c>
      <c r="H80" s="11">
        <v>21.07</v>
      </c>
      <c r="I80" s="11">
        <v>2.36</v>
      </c>
      <c r="J80" s="11">
        <v>63.24</v>
      </c>
      <c r="K80" s="11">
        <v>8.0299999999999994</v>
      </c>
      <c r="L80" s="11">
        <v>19.899999999999999</v>
      </c>
      <c r="M80" s="11">
        <v>0.34</v>
      </c>
      <c r="N80" s="11">
        <v>4.09</v>
      </c>
      <c r="O80" s="11">
        <v>1.65</v>
      </c>
      <c r="P80" s="11">
        <v>30.01</v>
      </c>
      <c r="Q80" s="11">
        <v>6.41</v>
      </c>
      <c r="R80" s="11">
        <v>5.71</v>
      </c>
      <c r="S80" s="11">
        <v>6.88</v>
      </c>
      <c r="T80" s="9" t="s">
        <v>41</v>
      </c>
      <c r="U80" s="9" t="s">
        <v>41</v>
      </c>
      <c r="V80" s="12">
        <v>10.14</v>
      </c>
      <c r="W80" s="9" t="s">
        <v>41</v>
      </c>
      <c r="X80" s="9" t="s">
        <v>41</v>
      </c>
      <c r="Y80" s="9" t="s">
        <v>41</v>
      </c>
      <c r="Z80" s="9" t="s">
        <v>41</v>
      </c>
      <c r="AA80" s="11">
        <v>10</v>
      </c>
      <c r="AB80" s="11">
        <v>4.99</v>
      </c>
      <c r="AC80" s="11">
        <v>12.91</v>
      </c>
      <c r="AD80" s="11">
        <v>3.14</v>
      </c>
      <c r="AE80" s="11">
        <v>14.43</v>
      </c>
      <c r="AF80" s="11">
        <v>35.47</v>
      </c>
      <c r="AJ80" s="11">
        <v>686.43</v>
      </c>
      <c r="AK80" s="9" t="s">
        <v>41</v>
      </c>
      <c r="AL80" s="11">
        <v>686.43</v>
      </c>
      <c r="AM80" s="13"/>
      <c r="AN80" s="13"/>
      <c r="AO80" s="13"/>
      <c r="AP80" s="13"/>
      <c r="AQ80" s="13"/>
      <c r="AR80" s="13"/>
    </row>
    <row r="81" spans="1:44" ht="15.75" customHeight="1">
      <c r="A81" s="9" t="s">
        <v>193</v>
      </c>
      <c r="B81" s="9" t="s">
        <v>194</v>
      </c>
      <c r="C81" s="10" t="s">
        <v>40</v>
      </c>
      <c r="D81" s="11">
        <v>277.56</v>
      </c>
      <c r="E81" s="11">
        <v>2.37</v>
      </c>
      <c r="F81" s="11">
        <v>6.22</v>
      </c>
      <c r="G81" s="11">
        <v>18.87</v>
      </c>
      <c r="H81" s="11">
        <v>10.039999999999999</v>
      </c>
      <c r="I81" s="11">
        <v>1.73</v>
      </c>
      <c r="J81" s="11">
        <v>41.13</v>
      </c>
      <c r="K81" s="11">
        <v>6.69</v>
      </c>
      <c r="L81" s="11">
        <v>3.27</v>
      </c>
      <c r="M81" s="11">
        <v>0.15</v>
      </c>
      <c r="N81" s="11">
        <v>3.9</v>
      </c>
      <c r="O81" s="11">
        <v>0.66</v>
      </c>
      <c r="P81" s="11">
        <v>0.66</v>
      </c>
      <c r="Q81" s="11">
        <v>2.9</v>
      </c>
      <c r="R81" s="11">
        <v>2.9</v>
      </c>
      <c r="S81" s="11">
        <v>12.73</v>
      </c>
      <c r="T81" s="9" t="s">
        <v>41</v>
      </c>
      <c r="U81" s="9" t="s">
        <v>41</v>
      </c>
      <c r="V81" s="12">
        <v>3.9</v>
      </c>
      <c r="W81" s="9" t="s">
        <v>41</v>
      </c>
      <c r="X81" s="9" t="s">
        <v>41</v>
      </c>
      <c r="Y81" s="9" t="s">
        <v>41</v>
      </c>
      <c r="Z81" s="9" t="s">
        <v>41</v>
      </c>
      <c r="AA81" s="9" t="s">
        <v>41</v>
      </c>
      <c r="AB81" s="11">
        <v>0.17</v>
      </c>
      <c r="AC81" s="11">
        <v>11.75</v>
      </c>
      <c r="AD81" s="11">
        <v>2.76</v>
      </c>
      <c r="AE81" s="9" t="s">
        <v>41</v>
      </c>
      <c r="AF81" s="11">
        <v>14.68</v>
      </c>
      <c r="AJ81" s="11">
        <v>446.6</v>
      </c>
      <c r="AK81" s="9" t="s">
        <v>41</v>
      </c>
      <c r="AL81" s="11">
        <v>446.6</v>
      </c>
      <c r="AM81" s="13"/>
      <c r="AN81" s="13"/>
      <c r="AO81" s="13"/>
      <c r="AP81" s="13"/>
      <c r="AQ81" s="13"/>
      <c r="AR81" s="13"/>
    </row>
    <row r="82" spans="1:44" ht="15.75" customHeight="1">
      <c r="A82" s="9" t="s">
        <v>195</v>
      </c>
      <c r="B82" s="9" t="s">
        <v>195</v>
      </c>
      <c r="C82" s="10" t="s">
        <v>40</v>
      </c>
      <c r="D82" s="11">
        <v>658.53</v>
      </c>
      <c r="E82" s="11">
        <v>2.5</v>
      </c>
      <c r="F82" s="11">
        <v>17.190000000000001</v>
      </c>
      <c r="G82" s="11">
        <v>57.3</v>
      </c>
      <c r="H82" s="11">
        <v>1.43</v>
      </c>
      <c r="I82" s="11">
        <v>4.4000000000000004</v>
      </c>
      <c r="J82" s="11">
        <v>71.459999999999994</v>
      </c>
      <c r="K82" s="11">
        <v>4.7</v>
      </c>
      <c r="L82" s="11">
        <v>15.28</v>
      </c>
      <c r="M82" s="9" t="s">
        <v>41</v>
      </c>
      <c r="N82" s="11">
        <v>18.18</v>
      </c>
      <c r="O82" s="11">
        <v>2.2999999999999998</v>
      </c>
      <c r="P82" s="11">
        <v>7.74</v>
      </c>
      <c r="Q82" s="11">
        <v>7.74</v>
      </c>
      <c r="R82" s="11">
        <v>32.04</v>
      </c>
      <c r="S82" s="11">
        <v>32.04</v>
      </c>
      <c r="T82" s="9" t="s">
        <v>41</v>
      </c>
      <c r="U82" s="9" t="s">
        <v>41</v>
      </c>
      <c r="V82" s="12">
        <v>25.4</v>
      </c>
      <c r="W82" s="9" t="s">
        <v>41</v>
      </c>
      <c r="X82" s="9" t="s">
        <v>41</v>
      </c>
      <c r="Y82" s="9" t="s">
        <v>41</v>
      </c>
      <c r="Z82" s="9" t="s">
        <v>41</v>
      </c>
      <c r="AA82" s="11">
        <v>13.5</v>
      </c>
      <c r="AB82" s="9" t="s">
        <v>41</v>
      </c>
      <c r="AC82" s="9" t="s">
        <v>41</v>
      </c>
      <c r="AD82" s="11">
        <v>1.98</v>
      </c>
      <c r="AE82" s="11">
        <v>3</v>
      </c>
      <c r="AF82" s="11">
        <v>4.9800000000000004</v>
      </c>
      <c r="AJ82" s="11">
        <v>1036.06</v>
      </c>
      <c r="AK82" s="9" t="s">
        <v>41</v>
      </c>
      <c r="AL82" s="11">
        <v>1036.06</v>
      </c>
      <c r="AM82" s="13"/>
      <c r="AN82" s="13"/>
      <c r="AO82" s="13"/>
      <c r="AP82" s="13"/>
      <c r="AQ82" s="13"/>
      <c r="AR82" s="13"/>
    </row>
    <row r="83" spans="1:44" ht="15.75" customHeight="1">
      <c r="A83" s="17" t="s">
        <v>196</v>
      </c>
      <c r="B83" s="9" t="s">
        <v>196</v>
      </c>
      <c r="C83" s="17"/>
      <c r="D83" s="17">
        <f t="shared" ref="D83:AF83" si="0">SUM(D2:D82)</f>
        <v>597870.87000000011</v>
      </c>
      <c r="E83" s="17">
        <f t="shared" si="0"/>
        <v>3190.3299999999981</v>
      </c>
      <c r="F83" s="17">
        <f t="shared" si="0"/>
        <v>1930.1199999999997</v>
      </c>
      <c r="G83" s="17">
        <f t="shared" si="0"/>
        <v>18150.279999999995</v>
      </c>
      <c r="H83" s="17">
        <f t="shared" si="0"/>
        <v>9191.1600000000017</v>
      </c>
      <c r="I83" s="17">
        <f t="shared" si="0"/>
        <v>1672.8399999999995</v>
      </c>
      <c r="J83" s="17">
        <f t="shared" si="0"/>
        <v>9577.75</v>
      </c>
      <c r="K83" s="17">
        <f t="shared" si="0"/>
        <v>4882.1399999999994</v>
      </c>
      <c r="L83" s="17">
        <f t="shared" si="0"/>
        <v>7623.8199999999988</v>
      </c>
      <c r="M83" s="17">
        <f t="shared" si="0"/>
        <v>8583.2199999999975</v>
      </c>
      <c r="N83" s="17">
        <f t="shared" si="0"/>
        <v>1994.0100000000004</v>
      </c>
      <c r="O83" s="17">
        <f t="shared" si="0"/>
        <v>1735.2799999999993</v>
      </c>
      <c r="P83" s="17">
        <f t="shared" si="0"/>
        <v>20258.760000000002</v>
      </c>
      <c r="Q83" s="17">
        <f t="shared" si="0"/>
        <v>2792.2800000000016</v>
      </c>
      <c r="R83" s="17">
        <f t="shared" si="0"/>
        <v>3450.4099999999994</v>
      </c>
      <c r="S83" s="17">
        <f t="shared" si="0"/>
        <v>100951.59999999999</v>
      </c>
      <c r="T83" s="17">
        <f t="shared" si="0"/>
        <v>140879.17000000001</v>
      </c>
      <c r="U83" s="17">
        <f t="shared" si="0"/>
        <v>424.03</v>
      </c>
      <c r="V83" s="17">
        <f t="shared" si="0"/>
        <v>663.43</v>
      </c>
      <c r="W83" s="17">
        <f t="shared" si="0"/>
        <v>382939.37</v>
      </c>
      <c r="X83" s="17">
        <f t="shared" si="0"/>
        <v>8340.18</v>
      </c>
      <c r="Y83" s="17">
        <f t="shared" si="0"/>
        <v>212435.67</v>
      </c>
      <c r="Z83" s="17">
        <f t="shared" si="0"/>
        <v>35076.920000000006</v>
      </c>
      <c r="AA83" s="17">
        <f t="shared" si="0"/>
        <v>32263.85</v>
      </c>
      <c r="AB83" s="17">
        <f t="shared" si="0"/>
        <v>1251.82</v>
      </c>
      <c r="AC83" s="17">
        <f t="shared" si="0"/>
        <v>2626.15</v>
      </c>
      <c r="AD83" s="17">
        <f t="shared" si="0"/>
        <v>1443.73</v>
      </c>
      <c r="AE83" s="17">
        <f t="shared" si="0"/>
        <v>3356.1899999999991</v>
      </c>
      <c r="AF83" s="17">
        <f t="shared" si="0"/>
        <v>8684.7699999999968</v>
      </c>
      <c r="AJ83" s="17">
        <f>SUM(AJ2:AJ82)</f>
        <v>1615641.6799999997</v>
      </c>
      <c r="AK83" s="17">
        <f>SUM(AK2:AK82)</f>
        <v>197582.90999999997</v>
      </c>
      <c r="AL83" s="17">
        <f>SUM(AL2:AL82)</f>
        <v>1418058.77</v>
      </c>
      <c r="AM83" s="13"/>
      <c r="AN83" s="13"/>
      <c r="AO83" s="13"/>
      <c r="AP83" s="13"/>
      <c r="AQ83" s="13"/>
      <c r="AR83" s="13"/>
    </row>
    <row r="84" spans="1:44" ht="15.75" customHeight="1">
      <c r="A84" s="18"/>
      <c r="B84" s="9" t="s">
        <v>171</v>
      </c>
      <c r="C84" s="18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1"/>
      <c r="Y84" s="13"/>
      <c r="Z84" s="13"/>
      <c r="AA84" s="13"/>
      <c r="AB84" s="13"/>
      <c r="AC84" s="13"/>
      <c r="AD84" s="13"/>
      <c r="AE84" s="13"/>
      <c r="AF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15.75" customHeight="1">
      <c r="A85" s="9" t="s">
        <v>197</v>
      </c>
      <c r="B85" s="9" t="s">
        <v>39</v>
      </c>
      <c r="C85" s="17" t="s">
        <v>198</v>
      </c>
      <c r="D85" s="11">
        <v>5329.77</v>
      </c>
      <c r="E85" s="11">
        <v>109.32</v>
      </c>
      <c r="F85" s="11">
        <v>151.47</v>
      </c>
      <c r="G85" s="11">
        <v>1000.53</v>
      </c>
      <c r="H85" s="11">
        <v>361.77</v>
      </c>
      <c r="I85" s="11">
        <v>30.88</v>
      </c>
      <c r="J85" s="11">
        <v>196.13</v>
      </c>
      <c r="K85" s="11">
        <v>18.21</v>
      </c>
      <c r="L85" s="11">
        <v>2337.39</v>
      </c>
      <c r="M85" s="11">
        <v>562.29999999999995</v>
      </c>
      <c r="N85" s="11">
        <v>270.64999999999998</v>
      </c>
      <c r="O85" s="11">
        <v>201.59</v>
      </c>
      <c r="P85" s="11">
        <v>126.35</v>
      </c>
      <c r="Q85" s="11">
        <v>129.01</v>
      </c>
      <c r="R85" s="11">
        <v>381.54</v>
      </c>
      <c r="S85" s="11">
        <v>8541.25</v>
      </c>
      <c r="T85" s="9" t="s">
        <v>41</v>
      </c>
      <c r="U85" s="9" t="s">
        <v>41</v>
      </c>
      <c r="V85" s="11">
        <v>361.88</v>
      </c>
      <c r="W85" s="13"/>
      <c r="X85" s="11">
        <v>33.89</v>
      </c>
      <c r="Y85" s="19" t="s">
        <v>41</v>
      </c>
      <c r="Z85" s="9" t="s">
        <v>41</v>
      </c>
      <c r="AA85" s="19" t="s">
        <v>41</v>
      </c>
      <c r="AB85" s="14" t="s">
        <v>41</v>
      </c>
      <c r="AC85" s="14" t="s">
        <v>41</v>
      </c>
      <c r="AD85" s="14" t="s">
        <v>41</v>
      </c>
      <c r="AE85" s="14" t="s">
        <v>41</v>
      </c>
      <c r="AF85" s="11"/>
      <c r="AJ85" s="11">
        <v>20143.93</v>
      </c>
      <c r="AK85" s="12">
        <v>31.36</v>
      </c>
      <c r="AL85" s="11">
        <v>20112.5</v>
      </c>
      <c r="AM85" s="13"/>
      <c r="AN85" s="13"/>
      <c r="AO85" s="13"/>
      <c r="AP85" s="13"/>
      <c r="AQ85" s="13"/>
      <c r="AR85" s="13"/>
    </row>
    <row r="86" spans="1:44" ht="15.75" customHeight="1">
      <c r="A86" s="9" t="s">
        <v>199</v>
      </c>
      <c r="B86" s="9" t="s">
        <v>43</v>
      </c>
      <c r="C86" s="17" t="s">
        <v>198</v>
      </c>
      <c r="D86" s="11">
        <v>156.12</v>
      </c>
      <c r="E86" s="11">
        <v>3.21</v>
      </c>
      <c r="F86" s="11">
        <v>4.95</v>
      </c>
      <c r="G86" s="11">
        <v>63</v>
      </c>
      <c r="H86" s="11">
        <v>40.76</v>
      </c>
      <c r="I86" s="11">
        <v>0.63</v>
      </c>
      <c r="J86" s="11">
        <v>12.85</v>
      </c>
      <c r="K86" s="11">
        <v>3.49</v>
      </c>
      <c r="L86" s="11">
        <v>84.56</v>
      </c>
      <c r="M86" s="11">
        <v>3.3</v>
      </c>
      <c r="N86" s="11">
        <v>32.01</v>
      </c>
      <c r="O86" s="11">
        <v>83.84</v>
      </c>
      <c r="P86" s="11">
        <v>2.63</v>
      </c>
      <c r="Q86" s="11">
        <v>11.36</v>
      </c>
      <c r="R86" s="11">
        <v>15.8</v>
      </c>
      <c r="S86" s="11">
        <v>193.92</v>
      </c>
      <c r="T86" s="9" t="s">
        <v>41</v>
      </c>
      <c r="U86" s="9" t="s">
        <v>41</v>
      </c>
      <c r="V86" s="11">
        <v>30</v>
      </c>
      <c r="W86" s="13"/>
      <c r="X86" s="9" t="s">
        <v>41</v>
      </c>
      <c r="Y86" s="9" t="s">
        <v>41</v>
      </c>
      <c r="Z86" s="9" t="s">
        <v>41</v>
      </c>
      <c r="AA86" s="14" t="s">
        <v>41</v>
      </c>
      <c r="AB86" s="14" t="s">
        <v>41</v>
      </c>
      <c r="AC86" s="12">
        <v>91.96</v>
      </c>
      <c r="AD86" s="12">
        <v>82.8</v>
      </c>
      <c r="AE86" s="12">
        <v>9.83</v>
      </c>
      <c r="AF86" s="11"/>
      <c r="AJ86" s="11">
        <v>927.02</v>
      </c>
      <c r="AK86" s="14" t="s">
        <v>41</v>
      </c>
      <c r="AL86" s="11">
        <v>927</v>
      </c>
      <c r="AM86" s="13"/>
      <c r="AN86" s="13"/>
      <c r="AO86" s="13"/>
      <c r="AP86" s="13"/>
      <c r="AQ86" s="13"/>
      <c r="AR86" s="13"/>
    </row>
    <row r="87" spans="1:44" ht="15.75" customHeight="1">
      <c r="A87" s="9" t="s">
        <v>200</v>
      </c>
      <c r="B87" s="9" t="s">
        <v>45</v>
      </c>
      <c r="C87" s="17" t="s">
        <v>198</v>
      </c>
      <c r="D87" s="11">
        <v>40.450000000000003</v>
      </c>
      <c r="E87" s="9" t="s">
        <v>41</v>
      </c>
      <c r="F87" s="11">
        <v>3.95</v>
      </c>
      <c r="G87" s="11">
        <v>72.849999999999994</v>
      </c>
      <c r="H87" s="11">
        <v>21.5</v>
      </c>
      <c r="I87" s="11">
        <v>5.1100000000000003</v>
      </c>
      <c r="J87" s="11">
        <v>49.8</v>
      </c>
      <c r="K87" s="9" t="s">
        <v>41</v>
      </c>
      <c r="L87" s="11">
        <v>56.19</v>
      </c>
      <c r="M87" s="11">
        <v>1.58</v>
      </c>
      <c r="N87" s="11">
        <v>1.86</v>
      </c>
      <c r="O87" s="11">
        <v>0.8</v>
      </c>
      <c r="P87" s="9" t="s">
        <v>41</v>
      </c>
      <c r="Q87" s="11">
        <v>7.17</v>
      </c>
      <c r="R87" s="11">
        <v>18.14</v>
      </c>
      <c r="S87" s="9"/>
      <c r="T87" s="9" t="s">
        <v>41</v>
      </c>
      <c r="U87" s="9" t="s">
        <v>41</v>
      </c>
      <c r="V87" s="9" t="s">
        <v>41</v>
      </c>
      <c r="W87" s="13"/>
      <c r="X87" s="9" t="s">
        <v>41</v>
      </c>
      <c r="Y87" s="9" t="s">
        <v>41</v>
      </c>
      <c r="Z87" s="9" t="s">
        <v>41</v>
      </c>
      <c r="AA87" s="14" t="s">
        <v>41</v>
      </c>
      <c r="AB87" s="12">
        <v>27.1</v>
      </c>
      <c r="AC87" s="12">
        <v>76.680000000000007</v>
      </c>
      <c r="AD87" s="12">
        <v>109.68</v>
      </c>
      <c r="AE87" s="12">
        <v>29.49</v>
      </c>
      <c r="AF87" s="9"/>
      <c r="AJ87" s="9"/>
      <c r="AK87" s="20"/>
      <c r="AL87" s="9"/>
      <c r="AM87" s="13"/>
      <c r="AN87" s="13"/>
      <c r="AO87" s="13"/>
      <c r="AP87" s="13"/>
      <c r="AQ87" s="13"/>
      <c r="AR87" s="13"/>
    </row>
    <row r="88" spans="1:44" ht="15.75" customHeight="1">
      <c r="A88" s="9" t="s">
        <v>201</v>
      </c>
      <c r="B88" s="9" t="s">
        <v>202</v>
      </c>
      <c r="C88" s="17" t="s">
        <v>198</v>
      </c>
      <c r="D88" s="11">
        <v>74815.67</v>
      </c>
      <c r="E88" s="11">
        <v>1008.21</v>
      </c>
      <c r="F88" s="11">
        <v>118.84</v>
      </c>
      <c r="G88" s="11">
        <v>995.14</v>
      </c>
      <c r="H88" s="11">
        <v>8.94</v>
      </c>
      <c r="I88" s="11">
        <v>7.88</v>
      </c>
      <c r="J88" s="11">
        <v>385.95</v>
      </c>
      <c r="K88" s="11">
        <v>513.42999999999995</v>
      </c>
      <c r="L88" s="11">
        <v>248.07</v>
      </c>
      <c r="M88" s="11">
        <v>3860.34</v>
      </c>
      <c r="N88" s="11">
        <v>589.72</v>
      </c>
      <c r="O88" s="11">
        <v>95.35</v>
      </c>
      <c r="P88" s="11">
        <v>10765.47</v>
      </c>
      <c r="Q88" s="11">
        <v>78.75</v>
      </c>
      <c r="R88" s="11">
        <v>947.57</v>
      </c>
      <c r="S88" s="11">
        <v>10194.32</v>
      </c>
      <c r="T88" s="9" t="s">
        <v>41</v>
      </c>
      <c r="U88" s="9" t="s">
        <v>41</v>
      </c>
      <c r="V88" s="11">
        <v>73.34</v>
      </c>
      <c r="W88" s="13"/>
      <c r="X88" s="9" t="s">
        <v>41</v>
      </c>
      <c r="Y88" s="11">
        <v>2218.87</v>
      </c>
      <c r="Z88" s="11">
        <v>19.440000000000001</v>
      </c>
      <c r="AA88" s="14" t="s">
        <v>41</v>
      </c>
      <c r="AB88" s="12">
        <v>1.29</v>
      </c>
      <c r="AC88" s="12">
        <v>16.170000000000002</v>
      </c>
      <c r="AD88" s="12">
        <v>18.489999999999998</v>
      </c>
      <c r="AE88" s="12">
        <v>1113.95</v>
      </c>
      <c r="AF88" s="11"/>
      <c r="AJ88" s="11">
        <v>108095.21</v>
      </c>
      <c r="AK88" s="14" t="s">
        <v>41</v>
      </c>
      <c r="AL88" s="11">
        <v>108095.2</v>
      </c>
      <c r="AM88" s="13"/>
      <c r="AN88" s="13"/>
      <c r="AO88" s="13"/>
      <c r="AP88" s="13"/>
      <c r="AQ88" s="13"/>
      <c r="AR88" s="13"/>
    </row>
    <row r="89" spans="1:44" ht="15.75" customHeight="1">
      <c r="A89" s="9" t="s">
        <v>203</v>
      </c>
      <c r="B89" s="9" t="s">
        <v>54</v>
      </c>
      <c r="C89" s="17" t="s">
        <v>198</v>
      </c>
      <c r="D89" s="11">
        <v>22489.1</v>
      </c>
      <c r="E89" s="11">
        <v>460</v>
      </c>
      <c r="F89" s="11">
        <v>10.83</v>
      </c>
      <c r="G89" s="11">
        <v>221.41</v>
      </c>
      <c r="H89" s="11">
        <v>0.22</v>
      </c>
      <c r="I89" s="11">
        <v>5.09</v>
      </c>
      <c r="J89" s="11">
        <v>83.01</v>
      </c>
      <c r="K89" s="11">
        <v>253.45</v>
      </c>
      <c r="L89" s="11">
        <v>29.22</v>
      </c>
      <c r="M89" s="11">
        <v>4982.79</v>
      </c>
      <c r="N89" s="11">
        <v>79.02</v>
      </c>
      <c r="O89" s="11">
        <v>12.04</v>
      </c>
      <c r="P89" s="11">
        <v>1500</v>
      </c>
      <c r="Q89" s="11">
        <v>53.1</v>
      </c>
      <c r="R89" s="11">
        <v>761.31</v>
      </c>
      <c r="S89" s="11">
        <v>215.58</v>
      </c>
      <c r="T89" s="9" t="s">
        <v>41</v>
      </c>
      <c r="U89" s="9" t="s">
        <v>41</v>
      </c>
      <c r="V89" s="11">
        <v>12.97</v>
      </c>
      <c r="W89" s="13"/>
      <c r="X89" s="11">
        <v>7.96</v>
      </c>
      <c r="Y89" s="9" t="s">
        <v>41</v>
      </c>
      <c r="Z89" s="9" t="s">
        <v>41</v>
      </c>
      <c r="AA89" s="14" t="s">
        <v>41</v>
      </c>
      <c r="AB89" s="14" t="s">
        <v>41</v>
      </c>
      <c r="AC89" s="12">
        <v>16.27</v>
      </c>
      <c r="AD89" s="12">
        <v>49.81</v>
      </c>
      <c r="AE89" s="12">
        <v>26.32</v>
      </c>
      <c r="AF89" s="11"/>
      <c r="AJ89" s="11">
        <v>31269.49</v>
      </c>
      <c r="AK89" s="12">
        <v>3.5</v>
      </c>
      <c r="AL89" s="11">
        <v>31265.9</v>
      </c>
      <c r="AM89" s="13"/>
      <c r="AN89" s="13"/>
      <c r="AO89" s="13"/>
      <c r="AP89" s="13"/>
      <c r="AQ89" s="13"/>
      <c r="AR89" s="13"/>
    </row>
    <row r="90" spans="1:44" ht="15.75" customHeight="1">
      <c r="A90" s="9" t="s">
        <v>204</v>
      </c>
      <c r="B90" s="9" t="s">
        <v>60</v>
      </c>
      <c r="C90" s="17" t="s">
        <v>198</v>
      </c>
      <c r="D90" s="11">
        <v>3990.93</v>
      </c>
      <c r="E90" s="11">
        <v>65.709999999999994</v>
      </c>
      <c r="F90" s="11">
        <v>6.81</v>
      </c>
      <c r="G90" s="11">
        <v>203.61</v>
      </c>
      <c r="H90" s="11">
        <v>0.25</v>
      </c>
      <c r="I90" s="11">
        <v>0.3</v>
      </c>
      <c r="J90" s="11">
        <v>13.73</v>
      </c>
      <c r="K90" s="11">
        <v>11.92</v>
      </c>
      <c r="L90" s="11">
        <v>208.14</v>
      </c>
      <c r="M90" s="11">
        <v>93.65</v>
      </c>
      <c r="N90" s="11">
        <v>-0.43</v>
      </c>
      <c r="O90" s="11">
        <v>58.19</v>
      </c>
      <c r="P90" s="9" t="s">
        <v>41</v>
      </c>
      <c r="Q90" s="11">
        <v>4.2300000000000004</v>
      </c>
      <c r="R90" s="11">
        <v>71.34</v>
      </c>
      <c r="S90" s="11">
        <v>3466.29</v>
      </c>
      <c r="T90" s="9" t="s">
        <v>41</v>
      </c>
      <c r="U90" s="9" t="s">
        <v>41</v>
      </c>
      <c r="V90" s="11">
        <v>1.95</v>
      </c>
      <c r="W90" s="13"/>
      <c r="X90" s="9" t="s">
        <v>41</v>
      </c>
      <c r="Y90" s="11">
        <v>433.81</v>
      </c>
      <c r="Z90" s="11">
        <v>4.16</v>
      </c>
      <c r="AA90" s="14" t="s">
        <v>41</v>
      </c>
      <c r="AB90" s="14" t="s">
        <v>41</v>
      </c>
      <c r="AC90" s="14" t="s">
        <v>41</v>
      </c>
      <c r="AD90" s="14" t="s">
        <v>41</v>
      </c>
      <c r="AE90" s="12">
        <v>109.49</v>
      </c>
      <c r="AF90" s="11"/>
      <c r="AJ90" s="11">
        <v>8744.1</v>
      </c>
      <c r="AK90" s="12">
        <v>8.75</v>
      </c>
      <c r="AL90" s="11">
        <v>8735.2999999999993</v>
      </c>
      <c r="AM90" s="13"/>
      <c r="AN90" s="13"/>
      <c r="AO90" s="13"/>
      <c r="AP90" s="13"/>
      <c r="AQ90" s="13"/>
      <c r="AR90" s="13"/>
    </row>
    <row r="91" spans="1:44" ht="15.75" customHeight="1">
      <c r="A91" s="9" t="s">
        <v>205</v>
      </c>
      <c r="B91" s="9" t="s">
        <v>56</v>
      </c>
      <c r="C91" s="17" t="s">
        <v>198</v>
      </c>
      <c r="D91" s="11">
        <v>1340.34</v>
      </c>
      <c r="E91" s="11">
        <v>6.93</v>
      </c>
      <c r="F91" s="11">
        <v>30.48</v>
      </c>
      <c r="G91" s="11">
        <v>75.12</v>
      </c>
      <c r="H91" s="11">
        <v>22.45</v>
      </c>
      <c r="I91" s="11">
        <v>2.0699999999999998</v>
      </c>
      <c r="J91" s="11">
        <v>80.95</v>
      </c>
      <c r="K91" s="11">
        <v>11.18</v>
      </c>
      <c r="L91" s="11">
        <v>73.22</v>
      </c>
      <c r="M91" s="11">
        <v>79.569999999999993</v>
      </c>
      <c r="N91" s="11">
        <v>5.38</v>
      </c>
      <c r="O91" s="11">
        <v>4.76</v>
      </c>
      <c r="P91" s="11">
        <v>0.35</v>
      </c>
      <c r="Q91" s="11">
        <v>8.8000000000000007</v>
      </c>
      <c r="R91" s="11">
        <v>8.17</v>
      </c>
      <c r="S91" s="9"/>
      <c r="T91" s="9" t="s">
        <v>41</v>
      </c>
      <c r="U91" s="9" t="s">
        <v>41</v>
      </c>
      <c r="V91" s="11">
        <v>0.52</v>
      </c>
      <c r="W91" s="13"/>
      <c r="X91" s="11">
        <v>25.3</v>
      </c>
      <c r="Y91" s="9" t="s">
        <v>41</v>
      </c>
      <c r="Z91" s="9" t="s">
        <v>41</v>
      </c>
      <c r="AA91" s="14" t="s">
        <v>41</v>
      </c>
      <c r="AB91" s="14" t="s">
        <v>41</v>
      </c>
      <c r="AC91" s="12">
        <v>0.5</v>
      </c>
      <c r="AD91" s="12">
        <v>5.73</v>
      </c>
      <c r="AE91" s="12">
        <v>1.7</v>
      </c>
      <c r="AF91" s="9"/>
      <c r="AJ91" s="9"/>
      <c r="AK91" s="20"/>
      <c r="AL91" s="9"/>
      <c r="AM91" s="13"/>
      <c r="AN91" s="13"/>
      <c r="AO91" s="13"/>
      <c r="AP91" s="13"/>
      <c r="AQ91" s="13"/>
      <c r="AR91" s="13"/>
    </row>
    <row r="92" spans="1:44" ht="15.75" customHeight="1">
      <c r="A92" s="8" t="s">
        <v>206</v>
      </c>
      <c r="B92" s="9" t="s">
        <v>207</v>
      </c>
      <c r="C92" s="17" t="s">
        <v>198</v>
      </c>
      <c r="D92" s="11">
        <v>250.08</v>
      </c>
      <c r="E92" s="9" t="s">
        <v>41</v>
      </c>
      <c r="F92" s="11">
        <v>3.65</v>
      </c>
      <c r="G92" s="11">
        <v>50.22</v>
      </c>
      <c r="H92" s="11">
        <v>2.11</v>
      </c>
      <c r="I92" s="11">
        <v>0.02</v>
      </c>
      <c r="J92" s="11">
        <v>134.46</v>
      </c>
      <c r="K92" s="11">
        <v>7.6</v>
      </c>
      <c r="L92" s="11">
        <v>34.880000000000003</v>
      </c>
      <c r="M92" s="9" t="s">
        <v>41</v>
      </c>
      <c r="N92" s="11">
        <v>1.44</v>
      </c>
      <c r="O92" s="11">
        <v>0.32</v>
      </c>
      <c r="P92" s="9" t="s">
        <v>41</v>
      </c>
      <c r="Q92" s="11">
        <v>3.74</v>
      </c>
      <c r="R92" s="11">
        <v>2.29</v>
      </c>
      <c r="S92" s="11">
        <v>468.9</v>
      </c>
      <c r="T92" s="9" t="s">
        <v>41</v>
      </c>
      <c r="U92" s="9" t="s">
        <v>41</v>
      </c>
      <c r="V92" s="11">
        <v>21.28</v>
      </c>
      <c r="W92" s="13"/>
      <c r="X92" s="11">
        <v>554.16999999999996</v>
      </c>
      <c r="Y92" s="9" t="s">
        <v>41</v>
      </c>
      <c r="Z92" s="9" t="s">
        <v>41</v>
      </c>
      <c r="AA92" s="14" t="s">
        <v>41</v>
      </c>
      <c r="AB92" s="14" t="s">
        <v>41</v>
      </c>
      <c r="AC92" s="14" t="s">
        <v>41</v>
      </c>
      <c r="AD92" s="12">
        <v>0.31</v>
      </c>
      <c r="AE92" s="14" t="s">
        <v>41</v>
      </c>
      <c r="AF92" s="11"/>
      <c r="AJ92" s="11">
        <v>1535.46</v>
      </c>
      <c r="AK92" s="14" t="s">
        <v>41</v>
      </c>
      <c r="AL92" s="11">
        <v>1535.4</v>
      </c>
      <c r="AM92" s="13"/>
      <c r="AN92" s="13"/>
      <c r="AO92" s="13"/>
      <c r="AP92" s="13"/>
      <c r="AQ92" s="13"/>
      <c r="AR92" s="13"/>
    </row>
    <row r="93" spans="1:44" ht="15.75" customHeight="1">
      <c r="A93" s="8" t="s">
        <v>208</v>
      </c>
      <c r="B93" s="9" t="s">
        <v>209</v>
      </c>
      <c r="C93" s="17" t="s">
        <v>198</v>
      </c>
      <c r="D93" s="11">
        <v>189.06</v>
      </c>
      <c r="E93" s="11">
        <v>0.92</v>
      </c>
      <c r="F93" s="11">
        <v>4.4800000000000004</v>
      </c>
      <c r="G93" s="11">
        <v>40.78</v>
      </c>
      <c r="H93" s="11">
        <v>0.04</v>
      </c>
      <c r="I93" s="11">
        <v>0.82</v>
      </c>
      <c r="J93" s="11">
        <v>81.93</v>
      </c>
      <c r="K93" s="11">
        <v>0.03</v>
      </c>
      <c r="L93" s="11">
        <v>19.11</v>
      </c>
      <c r="M93" s="11">
        <v>0.51</v>
      </c>
      <c r="N93" s="11">
        <v>3.54</v>
      </c>
      <c r="O93" s="11">
        <v>48.45</v>
      </c>
      <c r="P93" s="9" t="s">
        <v>41</v>
      </c>
      <c r="Q93" s="11">
        <v>8.8000000000000007</v>
      </c>
      <c r="R93" s="11">
        <v>4.17</v>
      </c>
      <c r="S93" s="11">
        <v>43.9</v>
      </c>
      <c r="T93" s="9" t="s">
        <v>41</v>
      </c>
      <c r="U93" s="9" t="s">
        <v>41</v>
      </c>
      <c r="V93" s="9" t="s">
        <v>41</v>
      </c>
      <c r="W93" s="13"/>
      <c r="X93" s="9" t="s">
        <v>41</v>
      </c>
      <c r="Y93" s="11">
        <v>659.14</v>
      </c>
      <c r="Z93" s="11">
        <v>5118.1000000000004</v>
      </c>
      <c r="AA93" s="14" t="s">
        <v>41</v>
      </c>
      <c r="AB93" s="14" t="s">
        <v>41</v>
      </c>
      <c r="AC93" s="14" t="s">
        <v>41</v>
      </c>
      <c r="AD93" s="14" t="s">
        <v>41</v>
      </c>
      <c r="AE93" s="14" t="s">
        <v>41</v>
      </c>
      <c r="AF93" s="11"/>
      <c r="AJ93" s="11">
        <v>6223.78</v>
      </c>
      <c r="AK93" s="14" t="s">
        <v>41</v>
      </c>
      <c r="AL93" s="11">
        <v>6223.7</v>
      </c>
      <c r="AM93" s="13"/>
      <c r="AN93" s="13"/>
      <c r="AO93" s="13"/>
      <c r="AP93" s="13"/>
      <c r="AQ93" s="13"/>
      <c r="AR93" s="13"/>
    </row>
    <row r="94" spans="1:44" ht="15.75" customHeight="1">
      <c r="A94" s="8" t="s">
        <v>210</v>
      </c>
      <c r="B94" s="9" t="s">
        <v>66</v>
      </c>
      <c r="C94" s="17" t="s">
        <v>198</v>
      </c>
      <c r="D94" s="11">
        <v>1567</v>
      </c>
      <c r="E94" s="9" t="s">
        <v>41</v>
      </c>
      <c r="F94" s="11">
        <v>13.09</v>
      </c>
      <c r="G94" s="11">
        <v>61.78</v>
      </c>
      <c r="H94" s="11">
        <v>28.51</v>
      </c>
      <c r="I94" s="11">
        <v>15.36</v>
      </c>
      <c r="J94" s="9" t="s">
        <v>41</v>
      </c>
      <c r="K94" s="11">
        <v>54.13</v>
      </c>
      <c r="L94" s="11">
        <v>42.89</v>
      </c>
      <c r="M94" s="11">
        <v>38.97</v>
      </c>
      <c r="N94" s="11">
        <v>29.42</v>
      </c>
      <c r="O94" s="11">
        <v>11.89</v>
      </c>
      <c r="P94" s="9" t="s">
        <v>41</v>
      </c>
      <c r="Q94" s="11">
        <v>36.380000000000003</v>
      </c>
      <c r="R94" s="11">
        <v>31.56</v>
      </c>
      <c r="S94" s="11">
        <v>85.99</v>
      </c>
      <c r="T94" s="9" t="s">
        <v>41</v>
      </c>
      <c r="U94" s="9" t="s">
        <v>41</v>
      </c>
      <c r="V94" s="11">
        <v>35</v>
      </c>
      <c r="W94" s="13"/>
      <c r="X94" s="11">
        <v>133420.29</v>
      </c>
      <c r="Y94" s="9" t="s">
        <v>41</v>
      </c>
      <c r="Z94" s="9" t="s">
        <v>41</v>
      </c>
      <c r="AA94" s="14" t="s">
        <v>41</v>
      </c>
      <c r="AB94" s="12">
        <v>10</v>
      </c>
      <c r="AC94" s="12">
        <v>11</v>
      </c>
      <c r="AD94" s="12">
        <v>17.34</v>
      </c>
      <c r="AE94" s="12">
        <v>4.5</v>
      </c>
      <c r="AF94" s="11"/>
      <c r="AJ94" s="11">
        <v>135515.1</v>
      </c>
      <c r="AK94" s="14" t="s">
        <v>41</v>
      </c>
      <c r="AL94" s="11">
        <v>135515.1</v>
      </c>
      <c r="AM94" s="13"/>
      <c r="AN94" s="13"/>
      <c r="AO94" s="13"/>
      <c r="AP94" s="13"/>
      <c r="AQ94" s="13"/>
      <c r="AR94" s="13"/>
    </row>
    <row r="95" spans="1:44" ht="15.75" customHeight="1">
      <c r="A95" s="8" t="s">
        <v>211</v>
      </c>
      <c r="B95" s="9" t="s">
        <v>212</v>
      </c>
      <c r="C95" s="17" t="s">
        <v>198</v>
      </c>
      <c r="D95" s="11">
        <v>7067.16</v>
      </c>
      <c r="E95" s="11">
        <v>335.92</v>
      </c>
      <c r="F95" s="11">
        <v>186.43</v>
      </c>
      <c r="G95" s="11">
        <v>161.41</v>
      </c>
      <c r="H95" s="11">
        <v>1262.08</v>
      </c>
      <c r="I95" s="11">
        <v>28.26</v>
      </c>
      <c r="J95" s="11">
        <v>1914.53</v>
      </c>
      <c r="K95" s="11">
        <v>7.79</v>
      </c>
      <c r="L95" s="11">
        <v>397.69</v>
      </c>
      <c r="M95" s="11">
        <v>32.79</v>
      </c>
      <c r="N95" s="11">
        <v>46.75</v>
      </c>
      <c r="O95" s="11">
        <v>95.31</v>
      </c>
      <c r="P95" s="11">
        <v>82.23</v>
      </c>
      <c r="Q95" s="11">
        <v>96.6</v>
      </c>
      <c r="R95" s="11">
        <v>84.13</v>
      </c>
      <c r="S95" s="11">
        <v>1136.8900000000001</v>
      </c>
      <c r="T95" s="9" t="s">
        <v>41</v>
      </c>
      <c r="U95" s="9" t="s">
        <v>41</v>
      </c>
      <c r="V95" s="11">
        <v>63.05</v>
      </c>
      <c r="W95" s="13"/>
      <c r="X95" s="11">
        <v>464.36</v>
      </c>
      <c r="Y95" s="11">
        <v>79.86</v>
      </c>
      <c r="Z95" s="9" t="s">
        <v>41</v>
      </c>
      <c r="AA95" s="14" t="s">
        <v>41</v>
      </c>
      <c r="AB95" s="14" t="s">
        <v>41</v>
      </c>
      <c r="AC95" s="14" t="s">
        <v>41</v>
      </c>
      <c r="AD95" s="14" t="s">
        <v>41</v>
      </c>
      <c r="AE95" s="12">
        <v>322.27</v>
      </c>
      <c r="AF95" s="11"/>
      <c r="AJ95" s="11">
        <v>13865.54</v>
      </c>
      <c r="AK95" s="14" t="s">
        <v>41</v>
      </c>
      <c r="AL95" s="11">
        <v>13865.5</v>
      </c>
      <c r="AM95" s="13"/>
      <c r="AN95" s="13"/>
      <c r="AO95" s="13"/>
      <c r="AP95" s="13"/>
      <c r="AQ95" s="13"/>
      <c r="AR95" s="13"/>
    </row>
    <row r="96" spans="1:44" ht="15.75" customHeight="1">
      <c r="A96" s="9" t="s">
        <v>213</v>
      </c>
      <c r="B96" s="9" t="s">
        <v>68</v>
      </c>
      <c r="C96" s="17" t="s">
        <v>198</v>
      </c>
      <c r="D96" s="11">
        <v>2391.83</v>
      </c>
      <c r="E96" s="11">
        <v>93.11</v>
      </c>
      <c r="F96" s="11">
        <v>51.68</v>
      </c>
      <c r="G96" s="11">
        <v>46.91</v>
      </c>
      <c r="H96" s="11">
        <v>446.84</v>
      </c>
      <c r="I96" s="11">
        <v>7.37</v>
      </c>
      <c r="J96" s="11">
        <v>626.76</v>
      </c>
      <c r="K96" s="11">
        <v>1.97</v>
      </c>
      <c r="L96" s="11">
        <v>62.73</v>
      </c>
      <c r="M96" s="11">
        <v>8.99</v>
      </c>
      <c r="N96" s="11">
        <v>13.01</v>
      </c>
      <c r="O96" s="11">
        <v>27.48</v>
      </c>
      <c r="P96" s="11">
        <v>19.37</v>
      </c>
      <c r="Q96" s="11">
        <v>30.09</v>
      </c>
      <c r="R96" s="11">
        <v>22.3</v>
      </c>
      <c r="S96" s="11">
        <v>328.92</v>
      </c>
      <c r="T96" s="9" t="s">
        <v>41</v>
      </c>
      <c r="U96" s="9" t="s">
        <v>41</v>
      </c>
      <c r="V96" s="11">
        <v>15.97</v>
      </c>
      <c r="W96" s="13"/>
      <c r="X96" s="11">
        <v>160.68</v>
      </c>
      <c r="Y96" s="11">
        <v>20.23</v>
      </c>
      <c r="Z96" s="9" t="s">
        <v>41</v>
      </c>
      <c r="AA96" s="14" t="s">
        <v>41</v>
      </c>
      <c r="AB96" s="14" t="s">
        <v>41</v>
      </c>
      <c r="AC96" s="14" t="s">
        <v>41</v>
      </c>
      <c r="AD96" s="14" t="s">
        <v>41</v>
      </c>
      <c r="AE96" s="12">
        <v>126.61</v>
      </c>
      <c r="AF96" s="11"/>
      <c r="AJ96" s="11">
        <v>4502.8599999999997</v>
      </c>
      <c r="AK96" s="12">
        <v>132.47</v>
      </c>
      <c r="AL96" s="11">
        <v>4370.3</v>
      </c>
      <c r="AM96" s="13"/>
      <c r="AN96" s="13"/>
      <c r="AO96" s="13"/>
      <c r="AP96" s="13"/>
      <c r="AQ96" s="13"/>
      <c r="AR96" s="13"/>
    </row>
    <row r="97" spans="1:44" ht="15.75" customHeight="1">
      <c r="A97" s="9" t="s">
        <v>214</v>
      </c>
      <c r="B97" s="9" t="s">
        <v>70</v>
      </c>
      <c r="C97" s="17" t="s">
        <v>198</v>
      </c>
      <c r="D97" s="9" t="s">
        <v>41</v>
      </c>
      <c r="E97" s="11">
        <v>4.79</v>
      </c>
      <c r="F97" s="11">
        <v>12.3</v>
      </c>
      <c r="G97" s="11">
        <v>47.82</v>
      </c>
      <c r="H97" s="11">
        <v>174.12</v>
      </c>
      <c r="I97" s="11">
        <v>2.98</v>
      </c>
      <c r="J97" s="11">
        <v>34.1</v>
      </c>
      <c r="K97" s="11">
        <v>2.2000000000000002</v>
      </c>
      <c r="L97" s="11">
        <v>20.76</v>
      </c>
      <c r="M97" s="9" t="s">
        <v>41</v>
      </c>
      <c r="N97" s="11">
        <v>1.06</v>
      </c>
      <c r="O97" s="11">
        <v>0.24</v>
      </c>
      <c r="P97" s="9" t="s">
        <v>41</v>
      </c>
      <c r="Q97" s="11">
        <v>18.989999999999998</v>
      </c>
      <c r="R97" s="11">
        <v>7.34</v>
      </c>
      <c r="S97" s="9"/>
      <c r="T97" s="9" t="s">
        <v>41</v>
      </c>
      <c r="U97" s="9" t="s">
        <v>41</v>
      </c>
      <c r="V97" s="9" t="s">
        <v>41</v>
      </c>
      <c r="W97" s="13"/>
      <c r="X97" s="9" t="s">
        <v>41</v>
      </c>
      <c r="Y97" s="9" t="s">
        <v>41</v>
      </c>
      <c r="Z97" s="9" t="s">
        <v>41</v>
      </c>
      <c r="AA97" s="14" t="s">
        <v>41</v>
      </c>
      <c r="AB97" s="14" t="s">
        <v>41</v>
      </c>
      <c r="AC97" s="14" t="s">
        <v>41</v>
      </c>
      <c r="AD97" s="14" t="s">
        <v>41</v>
      </c>
      <c r="AE97" s="14" t="s">
        <v>41</v>
      </c>
      <c r="AF97" s="9"/>
      <c r="AJ97" s="9"/>
      <c r="AK97" s="20"/>
      <c r="AL97" s="9"/>
      <c r="AM97" s="13"/>
      <c r="AN97" s="13"/>
      <c r="AO97" s="13"/>
      <c r="AP97" s="13"/>
      <c r="AQ97" s="13"/>
      <c r="AR97" s="13"/>
    </row>
    <row r="98" spans="1:44" ht="15.75" customHeight="1">
      <c r="A98" s="9" t="s">
        <v>215</v>
      </c>
      <c r="B98" s="9" t="s">
        <v>72</v>
      </c>
      <c r="C98" s="17" t="s">
        <v>198</v>
      </c>
      <c r="D98" s="11">
        <v>6921.77</v>
      </c>
      <c r="E98" s="11">
        <v>1.21</v>
      </c>
      <c r="F98" s="11">
        <v>3.8</v>
      </c>
      <c r="G98" s="11">
        <v>56.35</v>
      </c>
      <c r="H98" s="11">
        <v>3.06</v>
      </c>
      <c r="I98" s="11">
        <v>4.04</v>
      </c>
      <c r="J98" s="11">
        <v>50.15</v>
      </c>
      <c r="K98" s="11">
        <v>5.6</v>
      </c>
      <c r="L98" s="11">
        <v>17.43</v>
      </c>
      <c r="M98" s="11">
        <v>0.28999999999999998</v>
      </c>
      <c r="N98" s="11">
        <v>4.3</v>
      </c>
      <c r="O98" s="11">
        <v>2.82</v>
      </c>
      <c r="P98" s="9" t="s">
        <v>41</v>
      </c>
      <c r="Q98" s="11">
        <v>9.11</v>
      </c>
      <c r="R98" s="11">
        <v>4.24</v>
      </c>
      <c r="S98" s="11">
        <v>15.52</v>
      </c>
      <c r="T98" s="9" t="s">
        <v>41</v>
      </c>
      <c r="U98" s="9" t="s">
        <v>41</v>
      </c>
      <c r="V98" s="11">
        <v>10.97</v>
      </c>
      <c r="W98" s="13"/>
      <c r="X98" s="9" t="s">
        <v>41</v>
      </c>
      <c r="Y98" s="11">
        <v>7144.96</v>
      </c>
      <c r="Z98" s="9" t="s">
        <v>41</v>
      </c>
      <c r="AA98" s="14" t="s">
        <v>41</v>
      </c>
      <c r="AB98" s="14" t="s">
        <v>41</v>
      </c>
      <c r="AC98" s="14" t="s">
        <v>41</v>
      </c>
      <c r="AD98" s="14" t="s">
        <v>41</v>
      </c>
      <c r="AE98" s="14" t="s">
        <v>41</v>
      </c>
      <c r="AF98" s="11"/>
      <c r="AJ98" s="11">
        <v>14255.6</v>
      </c>
      <c r="AK98" s="12">
        <v>6831.68</v>
      </c>
      <c r="AL98" s="11">
        <v>7423.9</v>
      </c>
      <c r="AM98" s="13"/>
      <c r="AN98" s="13"/>
      <c r="AO98" s="13"/>
      <c r="AP98" s="13"/>
      <c r="AQ98" s="13"/>
      <c r="AR98" s="13"/>
    </row>
    <row r="99" spans="1:44" ht="15.75" customHeight="1">
      <c r="A99" s="9" t="s">
        <v>216</v>
      </c>
      <c r="B99" s="9" t="s">
        <v>217</v>
      </c>
      <c r="C99" s="17" t="s">
        <v>198</v>
      </c>
      <c r="D99" s="11">
        <v>238.19</v>
      </c>
      <c r="E99" s="11">
        <v>6.79</v>
      </c>
      <c r="F99" s="11">
        <v>8.31</v>
      </c>
      <c r="G99" s="11">
        <v>36.479999999999997</v>
      </c>
      <c r="H99" s="11">
        <v>13.09</v>
      </c>
      <c r="I99" s="11">
        <v>2.2000000000000002</v>
      </c>
      <c r="J99" s="11">
        <v>46.35</v>
      </c>
      <c r="K99" s="11">
        <v>8.89</v>
      </c>
      <c r="L99" s="11">
        <v>22.34</v>
      </c>
      <c r="M99" s="11">
        <v>5.08</v>
      </c>
      <c r="N99" s="11">
        <v>9.61</v>
      </c>
      <c r="O99" s="11">
        <v>8.16</v>
      </c>
      <c r="P99" s="9" t="s">
        <v>41</v>
      </c>
      <c r="Q99" s="11">
        <v>8.1300000000000008</v>
      </c>
      <c r="R99" s="11">
        <v>13.42</v>
      </c>
      <c r="S99" s="11">
        <v>5.19</v>
      </c>
      <c r="T99" s="9" t="s">
        <v>41</v>
      </c>
      <c r="U99" s="9" t="s">
        <v>41</v>
      </c>
      <c r="V99" s="11">
        <v>5.47</v>
      </c>
      <c r="W99" s="13"/>
      <c r="X99" s="9" t="s">
        <v>41</v>
      </c>
      <c r="Y99" s="11">
        <v>46029.61</v>
      </c>
      <c r="Z99" s="11">
        <v>3426.79</v>
      </c>
      <c r="AA99" s="12">
        <v>10685</v>
      </c>
      <c r="AB99" s="14" t="s">
        <v>41</v>
      </c>
      <c r="AC99" s="12">
        <v>24.13</v>
      </c>
      <c r="AD99" s="14" t="s">
        <v>41</v>
      </c>
      <c r="AE99" s="14" t="s">
        <v>41</v>
      </c>
      <c r="AF99" s="11"/>
      <c r="AJ99" s="11">
        <v>60603.22</v>
      </c>
      <c r="AK99" s="14" t="s">
        <v>41</v>
      </c>
      <c r="AL99" s="11">
        <v>60603.22</v>
      </c>
      <c r="AM99" s="13"/>
      <c r="AN99" s="13"/>
      <c r="AO99" s="13"/>
      <c r="AP99" s="13"/>
      <c r="AQ99" s="13"/>
      <c r="AR99" s="13"/>
    </row>
    <row r="100" spans="1:44" ht="15.75" customHeight="1">
      <c r="A100" s="9" t="s">
        <v>218</v>
      </c>
      <c r="B100" s="9" t="s">
        <v>219</v>
      </c>
      <c r="C100" s="17" t="s">
        <v>198</v>
      </c>
      <c r="D100" s="11">
        <v>3878.72</v>
      </c>
      <c r="E100" s="9" t="s">
        <v>41</v>
      </c>
      <c r="F100" s="11">
        <v>2.36</v>
      </c>
      <c r="G100" s="11">
        <v>26.91</v>
      </c>
      <c r="H100" s="11">
        <v>1.21</v>
      </c>
      <c r="I100" s="11">
        <v>1.26</v>
      </c>
      <c r="J100" s="11">
        <v>22.95</v>
      </c>
      <c r="K100" s="11">
        <v>2.33</v>
      </c>
      <c r="L100" s="11">
        <v>4.3600000000000003</v>
      </c>
      <c r="M100" s="9" t="s">
        <v>41</v>
      </c>
      <c r="N100" s="11">
        <v>15.4</v>
      </c>
      <c r="O100" s="11">
        <v>3.62</v>
      </c>
      <c r="P100" s="9" t="s">
        <v>41</v>
      </c>
      <c r="Q100" s="11">
        <v>423.21</v>
      </c>
      <c r="R100" s="11">
        <v>27.94</v>
      </c>
      <c r="S100" s="11">
        <v>5132.63</v>
      </c>
      <c r="T100" s="11">
        <v>61225.1</v>
      </c>
      <c r="U100" s="9" t="s">
        <v>41</v>
      </c>
      <c r="V100" s="9" t="s">
        <v>41</v>
      </c>
      <c r="W100" s="13"/>
      <c r="X100" s="11">
        <v>33148.58</v>
      </c>
      <c r="Y100" s="9" t="s">
        <v>41</v>
      </c>
      <c r="Z100" s="9" t="s">
        <v>41</v>
      </c>
      <c r="AA100" s="14" t="s">
        <v>41</v>
      </c>
      <c r="AB100" s="14" t="s">
        <v>41</v>
      </c>
      <c r="AC100" s="14" t="s">
        <v>41</v>
      </c>
      <c r="AD100" s="14" t="s">
        <v>41</v>
      </c>
      <c r="AE100" s="14" t="s">
        <v>41</v>
      </c>
      <c r="AF100" s="11"/>
      <c r="AJ100" s="11">
        <v>103916.59</v>
      </c>
      <c r="AK100" s="14" t="s">
        <v>41</v>
      </c>
      <c r="AL100" s="11">
        <v>103916.59</v>
      </c>
      <c r="AM100" s="13"/>
      <c r="AN100" s="13"/>
      <c r="AO100" s="13"/>
      <c r="AP100" s="13"/>
      <c r="AQ100" s="13"/>
      <c r="AR100" s="13"/>
    </row>
    <row r="101" spans="1:44" ht="15.75" customHeight="1">
      <c r="A101" s="9" t="s">
        <v>220</v>
      </c>
      <c r="B101" s="9" t="s">
        <v>221</v>
      </c>
      <c r="C101" s="17" t="s">
        <v>198</v>
      </c>
      <c r="D101" s="11">
        <v>55.57</v>
      </c>
      <c r="E101" s="9" t="s">
        <v>41</v>
      </c>
      <c r="F101" s="11">
        <v>0.59</v>
      </c>
      <c r="G101" s="11">
        <v>19.95</v>
      </c>
      <c r="H101" s="11">
        <v>3</v>
      </c>
      <c r="I101" s="11">
        <v>0.06</v>
      </c>
      <c r="J101" s="11">
        <v>6.56</v>
      </c>
      <c r="K101" s="11">
        <v>17.420000000000002</v>
      </c>
      <c r="L101" s="11">
        <v>10.1</v>
      </c>
      <c r="M101" s="11">
        <v>0.28000000000000003</v>
      </c>
      <c r="N101" s="11">
        <v>0.55000000000000004</v>
      </c>
      <c r="O101" s="11">
        <v>0.6</v>
      </c>
      <c r="P101" s="9" t="s">
        <v>41</v>
      </c>
      <c r="Q101" s="11">
        <v>0.85</v>
      </c>
      <c r="R101" s="11">
        <v>0.53</v>
      </c>
      <c r="S101" s="11">
        <v>5.31</v>
      </c>
      <c r="T101" s="9" t="s">
        <v>41</v>
      </c>
      <c r="U101" s="9" t="s">
        <v>41</v>
      </c>
      <c r="V101" s="11">
        <v>8</v>
      </c>
      <c r="W101" s="13"/>
      <c r="X101" s="9" t="s">
        <v>41</v>
      </c>
      <c r="Y101" s="9" t="s">
        <v>41</v>
      </c>
      <c r="Z101" s="9" t="s">
        <v>41</v>
      </c>
      <c r="AA101" s="14" t="s">
        <v>41</v>
      </c>
      <c r="AB101" s="14" t="s">
        <v>41</v>
      </c>
      <c r="AC101" s="14" t="s">
        <v>41</v>
      </c>
      <c r="AD101" s="14" t="s">
        <v>41</v>
      </c>
      <c r="AE101" s="14" t="s">
        <v>41</v>
      </c>
      <c r="AF101" s="11"/>
      <c r="AJ101" s="11">
        <v>129.36000000000001</v>
      </c>
      <c r="AK101" s="14" t="s">
        <v>41</v>
      </c>
      <c r="AL101" s="11">
        <v>129.36000000000001</v>
      </c>
      <c r="AM101" s="13"/>
      <c r="AN101" s="13"/>
      <c r="AO101" s="13"/>
      <c r="AP101" s="13"/>
      <c r="AQ101" s="13"/>
      <c r="AR101" s="13"/>
    </row>
    <row r="102" spans="1:44" ht="15.75" customHeight="1">
      <c r="A102" s="9" t="s">
        <v>222</v>
      </c>
      <c r="B102" s="9" t="s">
        <v>223</v>
      </c>
      <c r="C102" s="17" t="s">
        <v>198</v>
      </c>
      <c r="D102" s="11">
        <v>37.49</v>
      </c>
      <c r="E102" s="9" t="s">
        <v>41</v>
      </c>
      <c r="F102" s="11">
        <v>0.38</v>
      </c>
      <c r="G102" s="11">
        <v>39.1</v>
      </c>
      <c r="H102" s="11">
        <v>2.19</v>
      </c>
      <c r="I102" s="11">
        <v>6.74</v>
      </c>
      <c r="J102" s="11">
        <v>5.97</v>
      </c>
      <c r="K102" s="11">
        <v>5.8</v>
      </c>
      <c r="L102" s="11">
        <v>36.42</v>
      </c>
      <c r="M102" s="11">
        <v>2</v>
      </c>
      <c r="N102" s="11">
        <v>0.64</v>
      </c>
      <c r="O102" s="11">
        <v>0.43</v>
      </c>
      <c r="P102" s="9" t="s">
        <v>41</v>
      </c>
      <c r="Q102" s="11">
        <v>4.7</v>
      </c>
      <c r="R102" s="11">
        <v>1.7</v>
      </c>
      <c r="S102" s="11">
        <v>11.43</v>
      </c>
      <c r="T102" s="9" t="s">
        <v>41</v>
      </c>
      <c r="U102" s="9" t="s">
        <v>41</v>
      </c>
      <c r="V102" s="11">
        <v>2.4</v>
      </c>
      <c r="W102" s="13"/>
      <c r="X102" s="9" t="s">
        <v>41</v>
      </c>
      <c r="Y102" s="9" t="s">
        <v>41</v>
      </c>
      <c r="Z102" s="9" t="s">
        <v>41</v>
      </c>
      <c r="AA102" s="14" t="s">
        <v>41</v>
      </c>
      <c r="AB102" s="14" t="s">
        <v>41</v>
      </c>
      <c r="AC102" s="12">
        <v>20.58</v>
      </c>
      <c r="AD102" s="14" t="s">
        <v>41</v>
      </c>
      <c r="AE102" s="14" t="s">
        <v>41</v>
      </c>
      <c r="AF102" s="11"/>
      <c r="AJ102" s="11">
        <v>177.98</v>
      </c>
      <c r="AK102" s="14" t="s">
        <v>41</v>
      </c>
      <c r="AL102" s="11">
        <v>177.98</v>
      </c>
      <c r="AM102" s="13"/>
      <c r="AN102" s="13"/>
      <c r="AO102" s="13"/>
      <c r="AP102" s="13"/>
      <c r="AQ102" s="13"/>
      <c r="AR102" s="13"/>
    </row>
    <row r="103" spans="1:44" ht="15.75" customHeight="1">
      <c r="A103" s="9" t="s">
        <v>224</v>
      </c>
      <c r="B103" s="9" t="s">
        <v>77</v>
      </c>
      <c r="C103" s="17" t="s">
        <v>198</v>
      </c>
      <c r="D103" s="11">
        <v>3243.52</v>
      </c>
      <c r="E103" s="11">
        <v>49.1</v>
      </c>
      <c r="F103" s="11">
        <v>27.17</v>
      </c>
      <c r="G103" s="11">
        <v>129.75</v>
      </c>
      <c r="H103" s="11">
        <v>59.98</v>
      </c>
      <c r="I103" s="11">
        <v>9.11</v>
      </c>
      <c r="J103" s="11">
        <v>43.36</v>
      </c>
      <c r="K103" s="11">
        <v>72.09</v>
      </c>
      <c r="L103" s="11">
        <v>339.46</v>
      </c>
      <c r="M103" s="11">
        <v>6.27</v>
      </c>
      <c r="N103" s="11">
        <v>14.3</v>
      </c>
      <c r="O103" s="11">
        <v>3.27</v>
      </c>
      <c r="P103" s="11">
        <v>2801.63</v>
      </c>
      <c r="Q103" s="11">
        <v>50.63</v>
      </c>
      <c r="R103" s="11">
        <v>10.65</v>
      </c>
      <c r="S103" s="11">
        <v>11159.33</v>
      </c>
      <c r="T103" s="9" t="s">
        <v>41</v>
      </c>
      <c r="U103" s="9" t="s">
        <v>41</v>
      </c>
      <c r="V103" s="11">
        <v>39.43</v>
      </c>
      <c r="W103" s="13"/>
      <c r="X103" s="11">
        <v>4389.59</v>
      </c>
      <c r="Y103" s="11">
        <v>32472.959999999999</v>
      </c>
      <c r="Z103" s="11">
        <v>389.57</v>
      </c>
      <c r="AA103" s="12">
        <v>48.89</v>
      </c>
      <c r="AB103" s="14" t="s">
        <v>41</v>
      </c>
      <c r="AC103" s="14" t="s">
        <v>41</v>
      </c>
      <c r="AD103" s="14" t="s">
        <v>41</v>
      </c>
      <c r="AE103" s="14" t="s">
        <v>41</v>
      </c>
      <c r="AF103" s="11"/>
      <c r="AJ103" s="11">
        <v>55360.06</v>
      </c>
      <c r="AK103" s="12">
        <v>4389.59</v>
      </c>
      <c r="AL103" s="11">
        <v>50970.47</v>
      </c>
      <c r="AM103" s="13"/>
      <c r="AN103" s="13"/>
      <c r="AO103" s="13"/>
      <c r="AP103" s="13"/>
      <c r="AQ103" s="13"/>
      <c r="AR103" s="13"/>
    </row>
    <row r="104" spans="1:44" ht="15.75" customHeight="1">
      <c r="A104" s="9" t="s">
        <v>225</v>
      </c>
      <c r="B104" s="9" t="s">
        <v>226</v>
      </c>
      <c r="C104" s="17" t="s">
        <v>198</v>
      </c>
      <c r="D104" s="11">
        <v>437.55</v>
      </c>
      <c r="E104" s="11">
        <v>0.61</v>
      </c>
      <c r="F104" s="11">
        <v>4.93</v>
      </c>
      <c r="G104" s="11">
        <v>45.45</v>
      </c>
      <c r="H104" s="11">
        <v>2.74</v>
      </c>
      <c r="I104" s="11">
        <v>1.49</v>
      </c>
      <c r="J104" s="11">
        <v>57.75</v>
      </c>
      <c r="K104" s="11">
        <v>10.15</v>
      </c>
      <c r="L104" s="11">
        <v>44.41</v>
      </c>
      <c r="M104" s="11">
        <v>7.07</v>
      </c>
      <c r="N104" s="11">
        <v>19.88</v>
      </c>
      <c r="O104" s="11">
        <v>2</v>
      </c>
      <c r="P104" s="9" t="s">
        <v>41</v>
      </c>
      <c r="Q104" s="11">
        <v>16.100000000000001</v>
      </c>
      <c r="R104" s="11">
        <v>19.100000000000001</v>
      </c>
      <c r="S104" s="11">
        <v>16.57</v>
      </c>
      <c r="T104" s="9" t="s">
        <v>41</v>
      </c>
      <c r="U104" s="9" t="s">
        <v>41</v>
      </c>
      <c r="V104" s="11">
        <v>20.38</v>
      </c>
      <c r="W104" s="13"/>
      <c r="X104" s="9" t="s">
        <v>41</v>
      </c>
      <c r="Y104" s="11">
        <v>2633.4</v>
      </c>
      <c r="Z104" s="9" t="s">
        <v>41</v>
      </c>
      <c r="AA104" s="12">
        <v>317.77999999999997</v>
      </c>
      <c r="AB104" s="14" t="s">
        <v>41</v>
      </c>
      <c r="AC104" s="14" t="s">
        <v>41</v>
      </c>
      <c r="AD104" s="14" t="s">
        <v>41</v>
      </c>
      <c r="AE104" s="14" t="s">
        <v>41</v>
      </c>
      <c r="AF104" s="11"/>
      <c r="AJ104" s="11">
        <v>3657.37</v>
      </c>
      <c r="AK104" s="14" t="s">
        <v>41</v>
      </c>
      <c r="AL104" s="11">
        <v>3657.37</v>
      </c>
      <c r="AM104" s="13"/>
      <c r="AN104" s="13"/>
      <c r="AO104" s="13"/>
      <c r="AP104" s="13"/>
      <c r="AQ104" s="13"/>
      <c r="AR104" s="13"/>
    </row>
    <row r="105" spans="1:44" ht="15.75" customHeight="1">
      <c r="A105" s="9" t="s">
        <v>227</v>
      </c>
      <c r="B105" s="9" t="s">
        <v>228</v>
      </c>
      <c r="C105" s="17" t="s">
        <v>198</v>
      </c>
      <c r="D105" s="11">
        <v>14318.6</v>
      </c>
      <c r="E105" s="11">
        <v>76.84</v>
      </c>
      <c r="F105" s="11">
        <v>13.29</v>
      </c>
      <c r="G105" s="11">
        <v>206.16</v>
      </c>
      <c r="H105" s="11">
        <v>12.47</v>
      </c>
      <c r="I105" s="11">
        <v>12.92</v>
      </c>
      <c r="J105" s="11">
        <v>5.69</v>
      </c>
      <c r="K105" s="11">
        <v>491.33</v>
      </c>
      <c r="L105" s="11">
        <v>77.930000000000007</v>
      </c>
      <c r="M105" s="11">
        <v>579.85</v>
      </c>
      <c r="N105" s="11">
        <v>24.34</v>
      </c>
      <c r="O105" s="11">
        <v>245.95</v>
      </c>
      <c r="P105" s="9" t="s">
        <v>41</v>
      </c>
      <c r="Q105" s="11">
        <v>40.81</v>
      </c>
      <c r="R105" s="11">
        <v>70.87</v>
      </c>
      <c r="S105" s="11">
        <v>247.31</v>
      </c>
      <c r="T105" s="9" t="s">
        <v>41</v>
      </c>
      <c r="U105" s="9" t="s">
        <v>41</v>
      </c>
      <c r="V105" s="11">
        <v>75</v>
      </c>
      <c r="W105" s="13"/>
      <c r="X105" s="11">
        <v>52094.69</v>
      </c>
      <c r="Y105" s="11">
        <v>7.02</v>
      </c>
      <c r="Z105" s="11">
        <v>76.73</v>
      </c>
      <c r="AA105" s="14" t="s">
        <v>41</v>
      </c>
      <c r="AB105" s="14" t="s">
        <v>41</v>
      </c>
      <c r="AC105" s="12">
        <v>49.48</v>
      </c>
      <c r="AD105" s="12">
        <v>23.59</v>
      </c>
      <c r="AE105" s="12">
        <v>195.83</v>
      </c>
      <c r="AF105" s="11"/>
      <c r="AJ105" s="11">
        <v>68946.69</v>
      </c>
      <c r="AK105" s="12">
        <v>20446.05</v>
      </c>
      <c r="AL105" s="11">
        <v>48500.639999999999</v>
      </c>
      <c r="AM105" s="13"/>
      <c r="AN105" s="13"/>
      <c r="AO105" s="13"/>
      <c r="AP105" s="13"/>
      <c r="AQ105" s="13"/>
      <c r="AR105" s="13"/>
    </row>
    <row r="106" spans="1:44" ht="15.75" customHeight="1">
      <c r="A106" s="9" t="s">
        <v>229</v>
      </c>
      <c r="B106" s="9" t="s">
        <v>230</v>
      </c>
      <c r="C106" s="17" t="s">
        <v>198</v>
      </c>
      <c r="D106" s="9" t="s">
        <v>41</v>
      </c>
      <c r="E106" s="11">
        <v>8.99</v>
      </c>
      <c r="F106" s="11">
        <v>2.0499999999999998</v>
      </c>
      <c r="G106" s="11">
        <v>19.600000000000001</v>
      </c>
      <c r="H106" s="9" t="s">
        <v>41</v>
      </c>
      <c r="I106" s="11">
        <v>1.96</v>
      </c>
      <c r="J106" s="9" t="s">
        <v>41</v>
      </c>
      <c r="K106" s="11">
        <v>53.66</v>
      </c>
      <c r="L106" s="11">
        <v>16.63</v>
      </c>
      <c r="M106" s="11">
        <v>18.45</v>
      </c>
      <c r="N106" s="11">
        <v>4.1900000000000004</v>
      </c>
      <c r="O106" s="11">
        <v>2.5299999999999998</v>
      </c>
      <c r="P106" s="9" t="s">
        <v>41</v>
      </c>
      <c r="Q106" s="11">
        <v>3.7</v>
      </c>
      <c r="R106" s="11">
        <v>4.9400000000000004</v>
      </c>
      <c r="S106" s="11">
        <v>39.479999999999997</v>
      </c>
      <c r="T106" s="9" t="s">
        <v>41</v>
      </c>
      <c r="U106" s="9" t="s">
        <v>41</v>
      </c>
      <c r="V106" s="9" t="s">
        <v>41</v>
      </c>
      <c r="W106" s="13"/>
      <c r="X106" s="11">
        <v>17.34</v>
      </c>
      <c r="Y106" s="11">
        <v>644.47</v>
      </c>
      <c r="Z106" s="9" t="s">
        <v>41</v>
      </c>
      <c r="AA106" s="14" t="s">
        <v>41</v>
      </c>
      <c r="AB106" s="14" t="s">
        <v>41</v>
      </c>
      <c r="AC106" s="12">
        <v>9</v>
      </c>
      <c r="AD106" s="12">
        <v>0.62</v>
      </c>
      <c r="AE106" s="12">
        <v>0.42</v>
      </c>
      <c r="AF106" s="11"/>
      <c r="AJ106" s="11">
        <v>848.05</v>
      </c>
      <c r="AK106" s="14" t="s">
        <v>41</v>
      </c>
      <c r="AL106" s="11">
        <v>848.05</v>
      </c>
      <c r="AM106" s="13"/>
      <c r="AN106" s="13"/>
      <c r="AO106" s="13"/>
      <c r="AP106" s="13"/>
      <c r="AQ106" s="13"/>
      <c r="AR106" s="13"/>
    </row>
    <row r="107" spans="1:44" ht="15.75" customHeight="1">
      <c r="A107" s="9" t="s">
        <v>231</v>
      </c>
      <c r="B107" s="9" t="s">
        <v>232</v>
      </c>
      <c r="C107" s="17" t="s">
        <v>198</v>
      </c>
      <c r="D107" s="11">
        <v>1159.5899999999999</v>
      </c>
      <c r="E107" s="11">
        <v>25.33</v>
      </c>
      <c r="F107" s="11">
        <v>2.06</v>
      </c>
      <c r="G107" s="11">
        <v>6.59</v>
      </c>
      <c r="H107" s="9" t="s">
        <v>41</v>
      </c>
      <c r="I107" s="11">
        <v>0.94</v>
      </c>
      <c r="J107" s="9" t="s">
        <v>41</v>
      </c>
      <c r="K107" s="11">
        <v>0.01</v>
      </c>
      <c r="L107" s="11">
        <v>4.76</v>
      </c>
      <c r="M107" s="11">
        <v>8.08</v>
      </c>
      <c r="N107" s="11">
        <v>1.63</v>
      </c>
      <c r="O107" s="11">
        <v>4.2300000000000004</v>
      </c>
      <c r="P107" s="11">
        <v>4.1900000000000004</v>
      </c>
      <c r="Q107" s="11">
        <v>8.6199999999999992</v>
      </c>
      <c r="R107" s="11">
        <v>1.21</v>
      </c>
      <c r="S107" s="11">
        <v>13.85</v>
      </c>
      <c r="T107" s="9" t="s">
        <v>41</v>
      </c>
      <c r="U107" s="9" t="s">
        <v>41</v>
      </c>
      <c r="V107" s="11">
        <v>28.62</v>
      </c>
      <c r="W107" s="13"/>
      <c r="X107" s="11">
        <v>126.8</v>
      </c>
      <c r="Y107" s="11">
        <v>65246.23</v>
      </c>
      <c r="Z107" s="9" t="s">
        <v>41</v>
      </c>
      <c r="AA107" s="14" t="s">
        <v>41</v>
      </c>
      <c r="AB107" s="14" t="s">
        <v>41</v>
      </c>
      <c r="AC107" s="14" t="s">
        <v>41</v>
      </c>
      <c r="AD107" s="14" t="s">
        <v>41</v>
      </c>
      <c r="AE107" s="12">
        <v>2.46</v>
      </c>
      <c r="AF107" s="11"/>
      <c r="AJ107" s="11">
        <v>66645.210000000006</v>
      </c>
      <c r="AK107" s="12">
        <v>65246.23</v>
      </c>
      <c r="AL107" s="11">
        <v>1398.98</v>
      </c>
      <c r="AM107" s="13"/>
      <c r="AN107" s="13"/>
      <c r="AO107" s="13"/>
      <c r="AP107" s="13"/>
      <c r="AQ107" s="13"/>
      <c r="AR107" s="13"/>
    </row>
    <row r="108" spans="1:44" ht="15.75" customHeight="1">
      <c r="A108" s="9" t="s">
        <v>233</v>
      </c>
      <c r="B108" s="9" t="s">
        <v>87</v>
      </c>
      <c r="C108" s="17" t="s">
        <v>198</v>
      </c>
      <c r="D108" s="11">
        <v>185.97</v>
      </c>
      <c r="E108" s="11">
        <v>10.19</v>
      </c>
      <c r="F108" s="11">
        <v>4.8899999999999997</v>
      </c>
      <c r="G108" s="11">
        <v>20.72</v>
      </c>
      <c r="H108" s="11">
        <v>6.21</v>
      </c>
      <c r="I108" s="11">
        <v>9.16</v>
      </c>
      <c r="J108" s="11">
        <v>3.52</v>
      </c>
      <c r="K108" s="11">
        <v>8.75</v>
      </c>
      <c r="L108" s="11">
        <v>11.39</v>
      </c>
      <c r="M108" s="11">
        <v>20.86</v>
      </c>
      <c r="N108" s="11">
        <v>2.5299999999999998</v>
      </c>
      <c r="O108" s="11">
        <v>4.68</v>
      </c>
      <c r="P108" s="9" t="s">
        <v>41</v>
      </c>
      <c r="Q108" s="11">
        <v>13.39</v>
      </c>
      <c r="R108" s="11">
        <v>7.32</v>
      </c>
      <c r="S108" s="11">
        <v>26.29</v>
      </c>
      <c r="T108" s="9" t="s">
        <v>41</v>
      </c>
      <c r="U108" s="9" t="s">
        <v>41</v>
      </c>
      <c r="V108" s="11">
        <v>17.87</v>
      </c>
      <c r="W108" s="13"/>
      <c r="X108" s="9" t="s">
        <v>41</v>
      </c>
      <c r="Y108" s="11">
        <v>10116.56</v>
      </c>
      <c r="Z108" s="9" t="s">
        <v>41</v>
      </c>
      <c r="AA108" s="14" t="s">
        <v>41</v>
      </c>
      <c r="AB108" s="12">
        <v>1.24</v>
      </c>
      <c r="AC108" s="14" t="s">
        <v>41</v>
      </c>
      <c r="AD108" s="12">
        <v>0.79</v>
      </c>
      <c r="AE108" s="14" t="s">
        <v>41</v>
      </c>
      <c r="AF108" s="11"/>
      <c r="AJ108" s="11">
        <v>10472.31</v>
      </c>
      <c r="AK108" s="12">
        <v>9871.17</v>
      </c>
      <c r="AL108" s="11">
        <v>601.14</v>
      </c>
      <c r="AM108" s="13"/>
      <c r="AN108" s="13"/>
      <c r="AO108" s="13"/>
      <c r="AP108" s="13"/>
      <c r="AQ108" s="13"/>
      <c r="AR108" s="13"/>
    </row>
    <row r="109" spans="1:44" ht="15.75" customHeight="1">
      <c r="A109" s="9" t="s">
        <v>234</v>
      </c>
      <c r="B109" s="9" t="s">
        <v>89</v>
      </c>
      <c r="C109" s="17" t="s">
        <v>198</v>
      </c>
      <c r="D109" s="11">
        <v>107.88</v>
      </c>
      <c r="E109" s="9" t="s">
        <v>41</v>
      </c>
      <c r="F109" s="11">
        <v>0.85</v>
      </c>
      <c r="G109" s="11">
        <v>13.34</v>
      </c>
      <c r="H109" s="11">
        <v>4.08</v>
      </c>
      <c r="I109" s="11">
        <v>43.92</v>
      </c>
      <c r="J109" s="11">
        <v>24.2</v>
      </c>
      <c r="K109" s="11">
        <v>7.13</v>
      </c>
      <c r="L109" s="11">
        <v>7.54</v>
      </c>
      <c r="M109" s="11">
        <v>0.37</v>
      </c>
      <c r="N109" s="11">
        <v>0.56000000000000005</v>
      </c>
      <c r="O109" s="11">
        <v>1.76</v>
      </c>
      <c r="P109" s="9" t="s">
        <v>41</v>
      </c>
      <c r="Q109" s="11">
        <v>2.39</v>
      </c>
      <c r="R109" s="11">
        <v>3.95</v>
      </c>
      <c r="S109" s="11">
        <v>12.93</v>
      </c>
      <c r="T109" s="9" t="s">
        <v>41</v>
      </c>
      <c r="U109" s="9" t="s">
        <v>41</v>
      </c>
      <c r="V109" s="11">
        <v>13.01</v>
      </c>
      <c r="W109" s="13"/>
      <c r="X109" s="9" t="s">
        <v>41</v>
      </c>
      <c r="Y109" s="11">
        <v>1442.56</v>
      </c>
      <c r="Z109" s="9" t="s">
        <v>41</v>
      </c>
      <c r="AA109" s="14" t="s">
        <v>41</v>
      </c>
      <c r="AB109" s="12">
        <v>0.31</v>
      </c>
      <c r="AC109" s="12">
        <v>16.899999999999999</v>
      </c>
      <c r="AD109" s="12">
        <v>2.87</v>
      </c>
      <c r="AE109" s="14" t="s">
        <v>41</v>
      </c>
      <c r="AF109" s="11"/>
      <c r="AJ109" s="11">
        <v>1706.55</v>
      </c>
      <c r="AK109" s="12">
        <v>1179</v>
      </c>
      <c r="AL109" s="11">
        <v>527.54999999999995</v>
      </c>
      <c r="AM109" s="13"/>
      <c r="AN109" s="13"/>
      <c r="AO109" s="13"/>
      <c r="AP109" s="13"/>
      <c r="AQ109" s="13"/>
      <c r="AR109" s="13"/>
    </row>
    <row r="110" spans="1:44" ht="15.75" customHeight="1">
      <c r="A110" s="9" t="s">
        <v>235</v>
      </c>
      <c r="B110" s="9" t="s">
        <v>91</v>
      </c>
      <c r="C110" s="17" t="s">
        <v>198</v>
      </c>
      <c r="D110" s="11">
        <v>814.13</v>
      </c>
      <c r="E110" s="11">
        <v>15.04</v>
      </c>
      <c r="F110" s="11">
        <v>1.35</v>
      </c>
      <c r="G110" s="11">
        <v>5.23</v>
      </c>
      <c r="H110" s="11">
        <v>0.21</v>
      </c>
      <c r="I110" s="11">
        <v>0.48</v>
      </c>
      <c r="J110" s="11">
        <v>103.46</v>
      </c>
      <c r="K110" s="11">
        <v>1.45</v>
      </c>
      <c r="L110" s="11">
        <v>2.65</v>
      </c>
      <c r="M110" s="11">
        <v>7.56</v>
      </c>
      <c r="N110" s="11">
        <v>1.69</v>
      </c>
      <c r="O110" s="11">
        <v>1.63</v>
      </c>
      <c r="P110" s="9" t="s">
        <v>41</v>
      </c>
      <c r="Q110" s="11">
        <v>2.79</v>
      </c>
      <c r="R110" s="11">
        <v>1.55</v>
      </c>
      <c r="S110" s="11">
        <v>155.88999999999999</v>
      </c>
      <c r="T110" s="9" t="s">
        <v>41</v>
      </c>
      <c r="U110" s="9" t="s">
        <v>41</v>
      </c>
      <c r="V110" s="11">
        <v>10.3</v>
      </c>
      <c r="W110" s="13"/>
      <c r="X110" s="9" t="s">
        <v>41</v>
      </c>
      <c r="Y110" s="11">
        <v>83.2</v>
      </c>
      <c r="Z110" s="9" t="s">
        <v>41</v>
      </c>
      <c r="AA110" s="14" t="s">
        <v>41</v>
      </c>
      <c r="AB110" s="14" t="s">
        <v>41</v>
      </c>
      <c r="AC110" s="14" t="s">
        <v>41</v>
      </c>
      <c r="AD110" s="14" t="s">
        <v>41</v>
      </c>
      <c r="AE110" s="14" t="s">
        <v>41</v>
      </c>
      <c r="AF110" s="11"/>
      <c r="AJ110" s="11">
        <v>1208.6099999999999</v>
      </c>
      <c r="AK110" s="14" t="s">
        <v>41</v>
      </c>
      <c r="AL110" s="11">
        <v>1208.6099999999999</v>
      </c>
      <c r="AM110" s="13"/>
      <c r="AN110" s="13"/>
      <c r="AO110" s="13"/>
      <c r="AP110" s="13"/>
      <c r="AQ110" s="13"/>
      <c r="AR110" s="13"/>
    </row>
    <row r="111" spans="1:44" ht="15.75" customHeight="1">
      <c r="A111" s="9" t="s">
        <v>236</v>
      </c>
      <c r="B111" s="9" t="s">
        <v>93</v>
      </c>
      <c r="C111" s="17" t="s">
        <v>198</v>
      </c>
      <c r="D111" s="11">
        <v>740.21</v>
      </c>
      <c r="E111" s="11">
        <v>9.26</v>
      </c>
      <c r="F111" s="11">
        <v>1.95</v>
      </c>
      <c r="G111" s="11">
        <v>17.84</v>
      </c>
      <c r="H111" s="11">
        <v>0.26</v>
      </c>
      <c r="I111" s="11">
        <v>0.31</v>
      </c>
      <c r="J111" s="11">
        <v>76.75</v>
      </c>
      <c r="K111" s="11">
        <v>0.42</v>
      </c>
      <c r="L111" s="11">
        <v>10.94</v>
      </c>
      <c r="M111" s="11">
        <v>3.62</v>
      </c>
      <c r="N111" s="11">
        <v>1.37</v>
      </c>
      <c r="O111" s="11">
        <v>19.440000000000001</v>
      </c>
      <c r="P111" s="11">
        <v>0.46</v>
      </c>
      <c r="Q111" s="11">
        <v>2.94</v>
      </c>
      <c r="R111" s="11">
        <v>6.59</v>
      </c>
      <c r="S111" s="11">
        <v>60.38</v>
      </c>
      <c r="T111" s="9" t="s">
        <v>41</v>
      </c>
      <c r="U111" s="9" t="s">
        <v>41</v>
      </c>
      <c r="V111" s="11">
        <v>4.8899999999999997</v>
      </c>
      <c r="W111" s="13"/>
      <c r="X111" s="9" t="s">
        <v>41</v>
      </c>
      <c r="Y111" s="11">
        <v>1218.3</v>
      </c>
      <c r="Z111" s="9" t="s">
        <v>41</v>
      </c>
      <c r="AA111" s="14" t="s">
        <v>41</v>
      </c>
      <c r="AB111" s="14" t="s">
        <v>41</v>
      </c>
      <c r="AC111" s="14" t="s">
        <v>41</v>
      </c>
      <c r="AD111" s="14" t="s">
        <v>41</v>
      </c>
      <c r="AE111" s="14" t="s">
        <v>41</v>
      </c>
      <c r="AF111" s="11"/>
      <c r="AJ111" s="11">
        <v>2175.91</v>
      </c>
      <c r="AK111" s="12">
        <v>810.32</v>
      </c>
      <c r="AL111" s="11">
        <v>1365.59</v>
      </c>
      <c r="AM111" s="13"/>
      <c r="AN111" s="13"/>
      <c r="AO111" s="13"/>
      <c r="AP111" s="13"/>
      <c r="AQ111" s="13"/>
      <c r="AR111" s="13"/>
    </row>
    <row r="112" spans="1:44" ht="15.75" customHeight="1">
      <c r="A112" s="9" t="s">
        <v>237</v>
      </c>
      <c r="B112" s="9" t="s">
        <v>238</v>
      </c>
      <c r="C112" s="17" t="s">
        <v>198</v>
      </c>
      <c r="D112" s="11">
        <v>643.11</v>
      </c>
      <c r="E112" s="11">
        <v>5.33</v>
      </c>
      <c r="F112" s="11">
        <v>1.4</v>
      </c>
      <c r="G112" s="11">
        <v>25.94</v>
      </c>
      <c r="H112" s="11">
        <v>2.64</v>
      </c>
      <c r="I112" s="11">
        <v>0.73</v>
      </c>
      <c r="J112" s="9" t="s">
        <v>41</v>
      </c>
      <c r="K112" s="11">
        <v>1.22</v>
      </c>
      <c r="L112" s="11">
        <v>3.88</v>
      </c>
      <c r="M112" s="11">
        <v>3.08</v>
      </c>
      <c r="N112" s="11">
        <v>7.69</v>
      </c>
      <c r="O112" s="9" t="s">
        <v>41</v>
      </c>
      <c r="P112" s="9" t="s">
        <v>41</v>
      </c>
      <c r="Q112" s="11">
        <v>2.58</v>
      </c>
      <c r="R112" s="11">
        <v>6.44</v>
      </c>
      <c r="S112" s="11">
        <v>2344.4299999999998</v>
      </c>
      <c r="T112" s="9" t="s">
        <v>41</v>
      </c>
      <c r="U112" s="9" t="s">
        <v>41</v>
      </c>
      <c r="V112" s="11">
        <v>8.11</v>
      </c>
      <c r="W112" s="13"/>
      <c r="X112" s="9" t="s">
        <v>41</v>
      </c>
      <c r="Y112" s="11">
        <v>3058.74</v>
      </c>
      <c r="Z112" s="9" t="s">
        <v>41</v>
      </c>
      <c r="AA112" s="14" t="s">
        <v>41</v>
      </c>
      <c r="AB112" s="14" t="s">
        <v>41</v>
      </c>
      <c r="AC112" s="12">
        <v>4.99</v>
      </c>
      <c r="AD112" s="12">
        <v>1.73</v>
      </c>
      <c r="AE112" s="12">
        <v>3.01</v>
      </c>
      <c r="AF112" s="11"/>
      <c r="AJ112" s="11">
        <v>6125.04</v>
      </c>
      <c r="AK112" s="12">
        <v>2318.96</v>
      </c>
      <c r="AL112" s="11">
        <v>3806.08</v>
      </c>
      <c r="AM112" s="13"/>
      <c r="AN112" s="13"/>
      <c r="AO112" s="13"/>
      <c r="AP112" s="13"/>
      <c r="AQ112" s="13"/>
      <c r="AR112" s="13"/>
    </row>
    <row r="113" spans="1:44" ht="15.75" customHeight="1">
      <c r="A113" s="9" t="s">
        <v>239</v>
      </c>
      <c r="B113" s="9" t="s">
        <v>95</v>
      </c>
      <c r="C113" s="17" t="s">
        <v>198</v>
      </c>
      <c r="D113" s="9" t="s">
        <v>41</v>
      </c>
      <c r="E113" s="11">
        <v>0.05</v>
      </c>
      <c r="F113" s="11">
        <v>1.5</v>
      </c>
      <c r="G113" s="11">
        <v>5.69</v>
      </c>
      <c r="H113" s="11">
        <v>0.17</v>
      </c>
      <c r="I113" s="11">
        <v>0.02</v>
      </c>
      <c r="J113" s="9" t="s">
        <v>41</v>
      </c>
      <c r="K113" s="11">
        <v>0.22</v>
      </c>
      <c r="L113" s="11">
        <v>0.1</v>
      </c>
      <c r="M113" s="11">
        <v>0.15</v>
      </c>
      <c r="N113" s="11">
        <v>0.43</v>
      </c>
      <c r="O113" s="11">
        <v>0.47</v>
      </c>
      <c r="P113" s="9" t="s">
        <v>41</v>
      </c>
      <c r="Q113" s="11">
        <v>5.27</v>
      </c>
      <c r="R113" s="11">
        <v>5.0999999999999996</v>
      </c>
      <c r="S113" s="11">
        <v>35.21</v>
      </c>
      <c r="T113" s="9" t="s">
        <v>41</v>
      </c>
      <c r="U113" s="9" t="s">
        <v>41</v>
      </c>
      <c r="V113" s="9" t="s">
        <v>41</v>
      </c>
      <c r="W113" s="13"/>
      <c r="X113" s="9" t="s">
        <v>41</v>
      </c>
      <c r="Y113" s="11">
        <v>51.5</v>
      </c>
      <c r="Z113" s="9" t="s">
        <v>41</v>
      </c>
      <c r="AA113" s="14" t="s">
        <v>41</v>
      </c>
      <c r="AB113" s="14" t="s">
        <v>41</v>
      </c>
      <c r="AC113" s="14" t="s">
        <v>41</v>
      </c>
      <c r="AD113" s="14" t="s">
        <v>41</v>
      </c>
      <c r="AE113" s="14" t="s">
        <v>41</v>
      </c>
      <c r="AF113" s="11"/>
      <c r="AJ113" s="11">
        <v>105.89</v>
      </c>
      <c r="AK113" s="14" t="s">
        <v>41</v>
      </c>
      <c r="AL113" s="11">
        <v>105.89</v>
      </c>
      <c r="AM113" s="13"/>
      <c r="AN113" s="13"/>
      <c r="AO113" s="13"/>
      <c r="AP113" s="13"/>
      <c r="AQ113" s="13"/>
      <c r="AR113" s="13"/>
    </row>
    <row r="114" spans="1:44" ht="15.75" customHeight="1">
      <c r="A114" s="9" t="s">
        <v>240</v>
      </c>
      <c r="B114" s="9" t="s">
        <v>162</v>
      </c>
      <c r="C114" s="17" t="s">
        <v>198</v>
      </c>
      <c r="D114" s="9" t="s">
        <v>41</v>
      </c>
      <c r="E114" s="9" t="s">
        <v>41</v>
      </c>
      <c r="F114" s="11">
        <v>0.22</v>
      </c>
      <c r="G114" s="11">
        <v>6.34</v>
      </c>
      <c r="H114" s="11">
        <v>1.04</v>
      </c>
      <c r="I114" s="11">
        <v>0.3</v>
      </c>
      <c r="J114" s="11">
        <v>6.07</v>
      </c>
      <c r="K114" s="11">
        <v>0.08</v>
      </c>
      <c r="L114" s="11">
        <v>1.57</v>
      </c>
      <c r="M114" s="9" t="s">
        <v>41</v>
      </c>
      <c r="N114" s="11">
        <v>1.84</v>
      </c>
      <c r="O114" s="11">
        <v>11.96</v>
      </c>
      <c r="P114" s="9" t="s">
        <v>41</v>
      </c>
      <c r="Q114" s="11">
        <v>3.68</v>
      </c>
      <c r="R114" s="11">
        <v>2.14</v>
      </c>
      <c r="S114" s="11">
        <v>15.22</v>
      </c>
      <c r="T114" s="9" t="s">
        <v>41</v>
      </c>
      <c r="U114" s="9" t="s">
        <v>41</v>
      </c>
      <c r="V114" s="9" t="s">
        <v>41</v>
      </c>
      <c r="W114" s="13"/>
      <c r="X114" s="9" t="s">
        <v>41</v>
      </c>
      <c r="Y114" s="11">
        <v>2100.25</v>
      </c>
      <c r="Z114" s="9" t="s">
        <v>41</v>
      </c>
      <c r="AA114" s="14" t="s">
        <v>41</v>
      </c>
      <c r="AB114" s="14" t="s">
        <v>41</v>
      </c>
      <c r="AC114" s="14" t="s">
        <v>41</v>
      </c>
      <c r="AD114" s="14" t="s">
        <v>41</v>
      </c>
      <c r="AE114" s="14" t="s">
        <v>41</v>
      </c>
      <c r="AF114" s="11"/>
      <c r="AJ114" s="11">
        <v>2150.71</v>
      </c>
      <c r="AK114" s="14" t="s">
        <v>41</v>
      </c>
      <c r="AL114" s="11">
        <v>2150.71</v>
      </c>
      <c r="AM114" s="13"/>
      <c r="AN114" s="13"/>
      <c r="AO114" s="13"/>
      <c r="AP114" s="13"/>
      <c r="AQ114" s="13"/>
      <c r="AR114" s="13"/>
    </row>
    <row r="115" spans="1:44" ht="15.75" customHeight="1">
      <c r="A115" s="9" t="s">
        <v>241</v>
      </c>
      <c r="B115" s="9" t="s">
        <v>242</v>
      </c>
      <c r="C115" s="17" t="s">
        <v>198</v>
      </c>
      <c r="D115" s="11">
        <v>1094.44</v>
      </c>
      <c r="E115" s="11">
        <v>21.96</v>
      </c>
      <c r="F115" s="11">
        <v>16.95</v>
      </c>
      <c r="G115" s="11">
        <v>7.44</v>
      </c>
      <c r="H115" s="11">
        <v>2.2400000000000002</v>
      </c>
      <c r="I115" s="11">
        <v>1.52</v>
      </c>
      <c r="J115" s="11">
        <v>60.46</v>
      </c>
      <c r="K115" s="11">
        <v>6.96</v>
      </c>
      <c r="L115" s="11">
        <v>67.19</v>
      </c>
      <c r="M115" s="11">
        <v>42.66</v>
      </c>
      <c r="N115" s="11">
        <v>1.97</v>
      </c>
      <c r="O115" s="11">
        <v>7.69</v>
      </c>
      <c r="P115" s="9" t="s">
        <v>41</v>
      </c>
      <c r="Q115" s="11">
        <v>5.75</v>
      </c>
      <c r="R115" s="11">
        <v>4.97</v>
      </c>
      <c r="S115" s="9"/>
      <c r="T115" s="9" t="s">
        <v>41</v>
      </c>
      <c r="U115" s="9" t="s">
        <v>41</v>
      </c>
      <c r="V115" s="11">
        <v>20.100000000000001</v>
      </c>
      <c r="W115" s="13"/>
      <c r="X115" s="11">
        <v>6914.19</v>
      </c>
      <c r="Y115" s="9" t="s">
        <v>41</v>
      </c>
      <c r="Z115" s="9" t="s">
        <v>41</v>
      </c>
      <c r="AA115" s="12">
        <v>1.06</v>
      </c>
      <c r="AB115" s="14" t="s">
        <v>41</v>
      </c>
      <c r="AC115" s="14" t="s">
        <v>41</v>
      </c>
      <c r="AD115" s="14" t="s">
        <v>41</v>
      </c>
      <c r="AE115" s="14" t="s">
        <v>41</v>
      </c>
      <c r="AF115" s="9"/>
      <c r="AJ115" s="9"/>
      <c r="AK115" s="20"/>
      <c r="AL115" s="9"/>
      <c r="AM115" s="13"/>
      <c r="AN115" s="13"/>
      <c r="AO115" s="13"/>
      <c r="AP115" s="13"/>
      <c r="AQ115" s="13"/>
      <c r="AR115" s="13"/>
    </row>
    <row r="116" spans="1:44" ht="15.75" customHeight="1">
      <c r="A116" s="9" t="s">
        <v>243</v>
      </c>
      <c r="B116" s="9" t="s">
        <v>244</v>
      </c>
      <c r="C116" s="17" t="s">
        <v>198</v>
      </c>
      <c r="D116" s="11">
        <v>2545.15</v>
      </c>
      <c r="E116" s="11">
        <v>56.49</v>
      </c>
      <c r="F116" s="11">
        <v>6.63</v>
      </c>
      <c r="G116" s="11">
        <v>40.159999999999997</v>
      </c>
      <c r="H116" s="11">
        <v>0.01</v>
      </c>
      <c r="I116" s="11">
        <v>0.33</v>
      </c>
      <c r="J116" s="11">
        <v>68.95</v>
      </c>
      <c r="K116" s="11">
        <v>41.69</v>
      </c>
      <c r="L116" s="11">
        <v>4.78</v>
      </c>
      <c r="M116" s="11">
        <v>28.03</v>
      </c>
      <c r="N116" s="11">
        <v>3.67</v>
      </c>
      <c r="O116" s="11">
        <v>0.41</v>
      </c>
      <c r="P116" s="9" t="s">
        <v>41</v>
      </c>
      <c r="Q116" s="11">
        <v>0.96</v>
      </c>
      <c r="R116" s="11">
        <v>5.6</v>
      </c>
      <c r="S116" s="11">
        <v>20.61</v>
      </c>
      <c r="T116" s="9" t="s">
        <v>41</v>
      </c>
      <c r="U116" s="9" t="s">
        <v>41</v>
      </c>
      <c r="V116" s="11">
        <v>28.93</v>
      </c>
      <c r="W116" s="13"/>
      <c r="X116" s="9" t="s">
        <v>41</v>
      </c>
      <c r="Y116" s="9" t="s">
        <v>41</v>
      </c>
      <c r="Z116" s="9" t="s">
        <v>41</v>
      </c>
      <c r="AA116" s="14" t="s">
        <v>41</v>
      </c>
      <c r="AB116" s="14" t="s">
        <v>41</v>
      </c>
      <c r="AC116" s="12">
        <v>0.01</v>
      </c>
      <c r="AD116" s="14" t="s">
        <v>41</v>
      </c>
      <c r="AE116" s="14" t="s">
        <v>41</v>
      </c>
      <c r="AF116" s="11"/>
      <c r="AJ116" s="11">
        <v>2852.42</v>
      </c>
      <c r="AK116" s="12">
        <v>6.75</v>
      </c>
      <c r="AL116" s="11">
        <v>2845.67</v>
      </c>
      <c r="AM116" s="13"/>
      <c r="AN116" s="13"/>
      <c r="AO116" s="13"/>
      <c r="AP116" s="13"/>
      <c r="AQ116" s="13"/>
      <c r="AR116" s="13"/>
    </row>
    <row r="117" spans="1:44" ht="15.75" customHeight="1">
      <c r="A117" s="9" t="s">
        <v>245</v>
      </c>
      <c r="B117" s="9" t="s">
        <v>101</v>
      </c>
      <c r="C117" s="17" t="s">
        <v>198</v>
      </c>
      <c r="D117" s="11">
        <v>274.26</v>
      </c>
      <c r="E117" s="9" t="s">
        <v>41</v>
      </c>
      <c r="F117" s="11">
        <v>4.66</v>
      </c>
      <c r="G117" s="11">
        <v>19.260000000000002</v>
      </c>
      <c r="H117" s="11">
        <v>0.92</v>
      </c>
      <c r="I117" s="11">
        <v>0.55000000000000004</v>
      </c>
      <c r="J117" s="11">
        <v>85.83</v>
      </c>
      <c r="K117" s="11">
        <v>11.1</v>
      </c>
      <c r="L117" s="11">
        <v>7.07</v>
      </c>
      <c r="M117" s="9" t="s">
        <v>41</v>
      </c>
      <c r="N117" s="11">
        <v>5.0599999999999996</v>
      </c>
      <c r="O117" s="11">
        <v>0.62</v>
      </c>
      <c r="P117" s="9" t="s">
        <v>41</v>
      </c>
      <c r="Q117" s="11">
        <v>4.66</v>
      </c>
      <c r="R117" s="11">
        <v>6.94</v>
      </c>
      <c r="S117" s="11">
        <v>6.75</v>
      </c>
      <c r="T117" s="9" t="s">
        <v>41</v>
      </c>
      <c r="U117" s="9" t="s">
        <v>41</v>
      </c>
      <c r="V117" s="11">
        <v>40.4</v>
      </c>
      <c r="W117" s="13"/>
      <c r="X117" s="9" t="s">
        <v>41</v>
      </c>
      <c r="Y117" s="11">
        <v>1597.1</v>
      </c>
      <c r="Z117" s="9" t="s">
        <v>41</v>
      </c>
      <c r="AA117" s="14" t="s">
        <v>41</v>
      </c>
      <c r="AB117" s="14" t="s">
        <v>41</v>
      </c>
      <c r="AC117" s="14" t="s">
        <v>41</v>
      </c>
      <c r="AD117" s="14" t="s">
        <v>41</v>
      </c>
      <c r="AE117" s="12">
        <v>0.54</v>
      </c>
      <c r="AF117" s="11"/>
      <c r="AJ117" s="11">
        <v>2065.7199999999998</v>
      </c>
      <c r="AK117" s="14" t="s">
        <v>41</v>
      </c>
      <c r="AL117" s="11">
        <v>2065.7199999999998</v>
      </c>
      <c r="AM117" s="13"/>
      <c r="AN117" s="13"/>
      <c r="AO117" s="13"/>
      <c r="AP117" s="13"/>
      <c r="AQ117" s="13"/>
      <c r="AR117" s="13"/>
    </row>
    <row r="118" spans="1:44" ht="15.75" customHeight="1">
      <c r="A118" s="9" t="s">
        <v>246</v>
      </c>
      <c r="B118" s="9" t="s">
        <v>103</v>
      </c>
      <c r="C118" s="17" t="s">
        <v>198</v>
      </c>
      <c r="D118" s="11">
        <v>465.12</v>
      </c>
      <c r="E118" s="11">
        <v>6.6</v>
      </c>
      <c r="F118" s="11">
        <v>9.31</v>
      </c>
      <c r="G118" s="11">
        <v>78.349999999999994</v>
      </c>
      <c r="H118" s="11">
        <v>2.3199999999999998</v>
      </c>
      <c r="I118" s="11">
        <v>662.41</v>
      </c>
      <c r="J118" s="11">
        <v>52.34</v>
      </c>
      <c r="K118" s="11">
        <v>4.0999999999999996</v>
      </c>
      <c r="L118" s="11">
        <v>44.25</v>
      </c>
      <c r="M118" s="11">
        <v>9.09</v>
      </c>
      <c r="N118" s="11">
        <v>4.8899999999999997</v>
      </c>
      <c r="O118" s="11">
        <v>1.95</v>
      </c>
      <c r="P118" s="9" t="s">
        <v>41</v>
      </c>
      <c r="Q118" s="11">
        <v>4.01</v>
      </c>
      <c r="R118" s="11">
        <v>7.64</v>
      </c>
      <c r="S118" s="11">
        <v>18.53</v>
      </c>
      <c r="T118" s="9" t="s">
        <v>41</v>
      </c>
      <c r="U118" s="9" t="s">
        <v>41</v>
      </c>
      <c r="V118" s="11">
        <v>9.98</v>
      </c>
      <c r="W118" s="13"/>
      <c r="X118" s="9" t="s">
        <v>41</v>
      </c>
      <c r="Y118" s="11">
        <v>4100.76</v>
      </c>
      <c r="Z118" s="9" t="s">
        <v>41</v>
      </c>
      <c r="AA118" s="14" t="s">
        <v>41</v>
      </c>
      <c r="AB118" s="14" t="s">
        <v>41</v>
      </c>
      <c r="AC118" s="14" t="s">
        <v>41</v>
      </c>
      <c r="AD118" s="14" t="s">
        <v>41</v>
      </c>
      <c r="AE118" s="14" t="s">
        <v>41</v>
      </c>
      <c r="AF118" s="11"/>
      <c r="AJ118" s="11">
        <v>5481.68</v>
      </c>
      <c r="AK118" s="12">
        <v>1922.4</v>
      </c>
      <c r="AL118" s="11">
        <v>3559.27</v>
      </c>
      <c r="AM118" s="13"/>
      <c r="AN118" s="13"/>
      <c r="AO118" s="13"/>
      <c r="AP118" s="13"/>
      <c r="AQ118" s="13"/>
      <c r="AR118" s="13"/>
    </row>
    <row r="119" spans="1:44" ht="15.75" customHeight="1">
      <c r="A119" s="9" t="s">
        <v>247</v>
      </c>
      <c r="B119" s="9" t="s">
        <v>105</v>
      </c>
      <c r="C119" s="17" t="s">
        <v>198</v>
      </c>
      <c r="D119" s="11">
        <v>212.18</v>
      </c>
      <c r="E119" s="11">
        <v>0.57999999999999996</v>
      </c>
      <c r="F119" s="11">
        <v>0.81</v>
      </c>
      <c r="G119" s="11">
        <v>13.94</v>
      </c>
      <c r="H119" s="11">
        <v>1.68</v>
      </c>
      <c r="I119" s="11">
        <v>0.35</v>
      </c>
      <c r="J119" s="11">
        <v>50.34</v>
      </c>
      <c r="K119" s="11">
        <v>0.38</v>
      </c>
      <c r="L119" s="11">
        <v>6.97</v>
      </c>
      <c r="M119" s="11">
        <v>5.39</v>
      </c>
      <c r="N119" s="11">
        <v>5.6</v>
      </c>
      <c r="O119" s="11">
        <v>2.79</v>
      </c>
      <c r="P119" s="9" t="s">
        <v>41</v>
      </c>
      <c r="Q119" s="11">
        <v>4.0999999999999996</v>
      </c>
      <c r="R119" s="11">
        <v>7.71</v>
      </c>
      <c r="S119" s="11">
        <v>3.84</v>
      </c>
      <c r="T119" s="9" t="s">
        <v>41</v>
      </c>
      <c r="U119" s="9" t="s">
        <v>41</v>
      </c>
      <c r="V119" s="11">
        <v>20.91</v>
      </c>
      <c r="W119" s="13"/>
      <c r="X119" s="11">
        <v>1318.3</v>
      </c>
      <c r="Y119" s="9" t="s">
        <v>41</v>
      </c>
      <c r="Z119" s="9" t="s">
        <v>41</v>
      </c>
      <c r="AA119" s="14" t="s">
        <v>41</v>
      </c>
      <c r="AB119" s="14" t="s">
        <v>41</v>
      </c>
      <c r="AC119" s="14" t="s">
        <v>41</v>
      </c>
      <c r="AD119" s="14" t="s">
        <v>41</v>
      </c>
      <c r="AE119" s="14" t="s">
        <v>41</v>
      </c>
      <c r="AF119" s="11"/>
      <c r="AJ119" s="11">
        <v>1655.89</v>
      </c>
      <c r="AK119" s="14" t="s">
        <v>41</v>
      </c>
      <c r="AL119" s="11">
        <v>1655.89</v>
      </c>
      <c r="AM119" s="13"/>
      <c r="AN119" s="13"/>
      <c r="AO119" s="13"/>
      <c r="AP119" s="13"/>
      <c r="AQ119" s="13"/>
      <c r="AR119" s="13"/>
    </row>
    <row r="120" spans="1:44" ht="15.75" customHeight="1">
      <c r="A120" s="9" t="s">
        <v>248</v>
      </c>
      <c r="B120" s="9" t="s">
        <v>249</v>
      </c>
      <c r="C120" s="17" t="s">
        <v>198</v>
      </c>
      <c r="D120" s="11">
        <v>240.91</v>
      </c>
      <c r="E120" s="11">
        <v>3.43</v>
      </c>
      <c r="F120" s="11">
        <v>4.01</v>
      </c>
      <c r="G120" s="11">
        <v>23.55</v>
      </c>
      <c r="H120" s="11">
        <v>2.2599999999999998</v>
      </c>
      <c r="I120" s="11">
        <v>7.86</v>
      </c>
      <c r="J120" s="11">
        <v>57.18</v>
      </c>
      <c r="K120" s="11">
        <v>13.33</v>
      </c>
      <c r="L120" s="11">
        <v>33.229999999999997</v>
      </c>
      <c r="M120" s="11">
        <v>23.34</v>
      </c>
      <c r="N120" s="11">
        <v>0.82</v>
      </c>
      <c r="O120" s="11">
        <v>5.45</v>
      </c>
      <c r="P120" s="9" t="s">
        <v>41</v>
      </c>
      <c r="Q120" s="11">
        <v>2.35</v>
      </c>
      <c r="R120" s="11">
        <v>3.59</v>
      </c>
      <c r="S120" s="11">
        <v>7.98</v>
      </c>
      <c r="T120" s="9" t="s">
        <v>41</v>
      </c>
      <c r="U120" s="9" t="s">
        <v>41</v>
      </c>
      <c r="V120" s="11">
        <v>12.85</v>
      </c>
      <c r="W120" s="13"/>
      <c r="X120" s="11">
        <v>1976.44</v>
      </c>
      <c r="Y120" s="9" t="s">
        <v>41</v>
      </c>
      <c r="Z120" s="9" t="s">
        <v>41</v>
      </c>
      <c r="AA120" s="14" t="s">
        <v>41</v>
      </c>
      <c r="AB120" s="14" t="s">
        <v>41</v>
      </c>
      <c r="AC120" s="14" t="s">
        <v>41</v>
      </c>
      <c r="AD120" s="14" t="s">
        <v>41</v>
      </c>
      <c r="AE120" s="14" t="s">
        <v>41</v>
      </c>
      <c r="AF120" s="11"/>
      <c r="AJ120" s="11">
        <v>2418.59</v>
      </c>
      <c r="AK120" s="12">
        <v>-0.82</v>
      </c>
      <c r="AL120" s="11">
        <v>2419.42</v>
      </c>
      <c r="AM120" s="13"/>
      <c r="AN120" s="13"/>
      <c r="AO120" s="13"/>
      <c r="AP120" s="13"/>
      <c r="AQ120" s="13"/>
      <c r="AR120" s="13"/>
    </row>
    <row r="121" spans="1:44" ht="15.75" customHeight="1">
      <c r="A121" s="9" t="s">
        <v>250</v>
      </c>
      <c r="B121" s="9" t="s">
        <v>111</v>
      </c>
      <c r="C121" s="17" t="s">
        <v>198</v>
      </c>
      <c r="D121" s="11">
        <v>331.23</v>
      </c>
      <c r="E121" s="11">
        <v>2.57</v>
      </c>
      <c r="F121" s="11">
        <v>12.34</v>
      </c>
      <c r="G121" s="11">
        <v>54.33</v>
      </c>
      <c r="H121" s="11">
        <v>5.34</v>
      </c>
      <c r="I121" s="11">
        <v>1.2</v>
      </c>
      <c r="J121" s="9" t="s">
        <v>41</v>
      </c>
      <c r="K121" s="11">
        <v>5.94</v>
      </c>
      <c r="L121" s="11">
        <v>28.07</v>
      </c>
      <c r="M121" s="11">
        <v>2.35</v>
      </c>
      <c r="N121" s="11">
        <v>6.93</v>
      </c>
      <c r="O121" s="11">
        <v>6.12</v>
      </c>
      <c r="P121" s="9" t="s">
        <v>41</v>
      </c>
      <c r="Q121" s="11">
        <v>9.0500000000000007</v>
      </c>
      <c r="R121" s="11">
        <v>12.11</v>
      </c>
      <c r="S121" s="11">
        <v>10.63</v>
      </c>
      <c r="T121" s="9" t="s">
        <v>41</v>
      </c>
      <c r="U121" s="9" t="s">
        <v>41</v>
      </c>
      <c r="V121" s="11">
        <v>19.95</v>
      </c>
      <c r="W121" s="13"/>
      <c r="X121" s="9" t="s">
        <v>41</v>
      </c>
      <c r="Y121" s="11">
        <v>3689.72</v>
      </c>
      <c r="Z121" s="9" t="s">
        <v>41</v>
      </c>
      <c r="AA121" s="14" t="s">
        <v>41</v>
      </c>
      <c r="AB121" s="14" t="s">
        <v>41</v>
      </c>
      <c r="AC121" s="12">
        <v>0.04</v>
      </c>
      <c r="AD121" s="12">
        <v>5.35</v>
      </c>
      <c r="AE121" s="12">
        <v>1.05</v>
      </c>
      <c r="AF121" s="11"/>
      <c r="AJ121" s="11">
        <v>4204.34</v>
      </c>
      <c r="AK121" s="12">
        <v>115.75</v>
      </c>
      <c r="AL121" s="11">
        <v>4088.59</v>
      </c>
      <c r="AM121" s="13"/>
      <c r="AN121" s="13"/>
      <c r="AO121" s="13"/>
      <c r="AP121" s="13"/>
      <c r="AQ121" s="13"/>
      <c r="AR121" s="13"/>
    </row>
    <row r="122" spans="1:44" ht="15.75" customHeight="1">
      <c r="A122" s="9" t="s">
        <v>251</v>
      </c>
      <c r="B122" s="9" t="s">
        <v>252</v>
      </c>
      <c r="C122" s="17" t="s">
        <v>198</v>
      </c>
      <c r="D122" s="11">
        <v>1420.66</v>
      </c>
      <c r="E122" s="11">
        <v>39</v>
      </c>
      <c r="F122" s="11">
        <v>6.23</v>
      </c>
      <c r="G122" s="11">
        <v>42.43</v>
      </c>
      <c r="H122" s="11">
        <v>2.36</v>
      </c>
      <c r="I122" s="11">
        <v>5.97</v>
      </c>
      <c r="J122" s="11">
        <v>64.19</v>
      </c>
      <c r="K122" s="11">
        <v>20.98</v>
      </c>
      <c r="L122" s="11">
        <v>20.05</v>
      </c>
      <c r="M122" s="11">
        <v>137.31</v>
      </c>
      <c r="N122" s="11">
        <v>7.69</v>
      </c>
      <c r="O122" s="11">
        <v>3.64</v>
      </c>
      <c r="P122" s="11">
        <v>0.11</v>
      </c>
      <c r="Q122" s="11">
        <v>9.61</v>
      </c>
      <c r="R122" s="11">
        <v>9.93</v>
      </c>
      <c r="S122" s="11">
        <v>129.97999999999999</v>
      </c>
      <c r="T122" s="9" t="s">
        <v>41</v>
      </c>
      <c r="U122" s="9" t="s">
        <v>41</v>
      </c>
      <c r="V122" s="11">
        <v>3.37</v>
      </c>
      <c r="W122" s="13"/>
      <c r="X122" s="9" t="s">
        <v>41</v>
      </c>
      <c r="Y122" s="11">
        <v>406.85</v>
      </c>
      <c r="Z122" s="9" t="s">
        <v>41</v>
      </c>
      <c r="AA122" s="14" t="s">
        <v>41</v>
      </c>
      <c r="AB122" s="14" t="s">
        <v>41</v>
      </c>
      <c r="AC122" s="12">
        <v>31.12</v>
      </c>
      <c r="AD122" s="12">
        <v>4.78</v>
      </c>
      <c r="AE122" s="12">
        <v>1.56</v>
      </c>
      <c r="AF122" s="11"/>
      <c r="AJ122" s="11">
        <v>2367.83</v>
      </c>
      <c r="AK122" s="12">
        <v>14.42</v>
      </c>
      <c r="AL122" s="11">
        <v>2353.4</v>
      </c>
      <c r="AM122" s="13"/>
      <c r="AN122" s="13"/>
      <c r="AO122" s="13"/>
      <c r="AP122" s="13"/>
      <c r="AQ122" s="13"/>
      <c r="AR122" s="13"/>
    </row>
    <row r="123" spans="1:44" ht="15.75" customHeight="1">
      <c r="A123" s="9" t="s">
        <v>253</v>
      </c>
      <c r="B123" s="9" t="s">
        <v>117</v>
      </c>
      <c r="C123" s="17" t="s">
        <v>198</v>
      </c>
      <c r="D123" s="11">
        <v>734.23</v>
      </c>
      <c r="E123" s="11">
        <v>9.27</v>
      </c>
      <c r="F123" s="11">
        <v>7.67</v>
      </c>
      <c r="G123" s="11">
        <v>16.53</v>
      </c>
      <c r="H123" s="9" t="s">
        <v>41</v>
      </c>
      <c r="I123" s="11">
        <v>1.43</v>
      </c>
      <c r="J123" s="11">
        <v>34.159999999999997</v>
      </c>
      <c r="K123" s="11">
        <v>4.9000000000000004</v>
      </c>
      <c r="L123" s="11">
        <v>5.47</v>
      </c>
      <c r="M123" s="11">
        <v>3.37</v>
      </c>
      <c r="N123" s="11">
        <v>2.09</v>
      </c>
      <c r="O123" s="11">
        <v>5.72</v>
      </c>
      <c r="P123" s="11">
        <v>2.7</v>
      </c>
      <c r="Q123" s="11">
        <v>5.36</v>
      </c>
      <c r="R123" s="11">
        <v>2.67</v>
      </c>
      <c r="S123" s="11">
        <v>4159.93</v>
      </c>
      <c r="T123" s="11">
        <v>3999.1</v>
      </c>
      <c r="U123" s="9" t="s">
        <v>41</v>
      </c>
      <c r="V123" s="11">
        <v>18.38</v>
      </c>
      <c r="W123" s="13"/>
      <c r="X123" s="11">
        <v>6478.09</v>
      </c>
      <c r="Y123" s="9" t="s">
        <v>41</v>
      </c>
      <c r="Z123" s="9" t="s">
        <v>41</v>
      </c>
      <c r="AA123" s="14" t="s">
        <v>41</v>
      </c>
      <c r="AB123" s="14" t="s">
        <v>41</v>
      </c>
      <c r="AC123" s="14" t="s">
        <v>41</v>
      </c>
      <c r="AD123" s="14" t="s">
        <v>41</v>
      </c>
      <c r="AE123" s="14" t="s">
        <v>41</v>
      </c>
      <c r="AF123" s="11"/>
      <c r="AJ123" s="11">
        <v>15491.05</v>
      </c>
      <c r="AK123" s="12">
        <v>4118.67</v>
      </c>
      <c r="AL123" s="11">
        <v>11372.37</v>
      </c>
      <c r="AM123" s="13"/>
      <c r="AN123" s="13"/>
      <c r="AO123" s="13"/>
      <c r="AP123" s="13"/>
      <c r="AQ123" s="13"/>
      <c r="AR123" s="13"/>
    </row>
    <row r="124" spans="1:44" ht="15.75" customHeight="1">
      <c r="A124" s="9" t="s">
        <v>254</v>
      </c>
      <c r="B124" s="9" t="s">
        <v>255</v>
      </c>
      <c r="C124" s="17" t="s">
        <v>198</v>
      </c>
      <c r="D124" s="11">
        <v>160.13</v>
      </c>
      <c r="E124" s="11">
        <v>2.2200000000000002</v>
      </c>
      <c r="F124" s="11">
        <v>2.12</v>
      </c>
      <c r="G124" s="11">
        <v>12.47</v>
      </c>
      <c r="H124" s="11">
        <v>2.97</v>
      </c>
      <c r="I124" s="11">
        <v>1.7</v>
      </c>
      <c r="J124" s="11">
        <v>0.88</v>
      </c>
      <c r="K124" s="11">
        <v>9.16</v>
      </c>
      <c r="L124" s="11">
        <v>4.4400000000000004</v>
      </c>
      <c r="M124" s="11">
        <v>33.69</v>
      </c>
      <c r="N124" s="11">
        <v>6.54</v>
      </c>
      <c r="O124" s="11">
        <v>1.32</v>
      </c>
      <c r="P124" s="9" t="s">
        <v>41</v>
      </c>
      <c r="Q124" s="11">
        <v>5.1100000000000003</v>
      </c>
      <c r="R124" s="11">
        <v>4.8099999999999996</v>
      </c>
      <c r="S124" s="11">
        <v>21.11</v>
      </c>
      <c r="T124" s="9" t="s">
        <v>41</v>
      </c>
      <c r="U124" s="9" t="s">
        <v>41</v>
      </c>
      <c r="V124" s="11">
        <v>23.31</v>
      </c>
      <c r="W124" s="13"/>
      <c r="X124" s="9" t="s">
        <v>41</v>
      </c>
      <c r="Y124" s="11">
        <v>1957.15</v>
      </c>
      <c r="Z124" s="9" t="s">
        <v>41</v>
      </c>
      <c r="AA124" s="14" t="s">
        <v>41</v>
      </c>
      <c r="AB124" s="14" t="s">
        <v>41</v>
      </c>
      <c r="AC124" s="12">
        <v>28.29</v>
      </c>
      <c r="AD124" s="14" t="s">
        <v>41</v>
      </c>
      <c r="AE124" s="14" t="s">
        <v>41</v>
      </c>
      <c r="AF124" s="11"/>
      <c r="AJ124" s="11">
        <v>2277.41</v>
      </c>
      <c r="AK124" s="14" t="s">
        <v>41</v>
      </c>
      <c r="AL124" s="11">
        <v>2277.41</v>
      </c>
      <c r="AM124" s="13"/>
      <c r="AN124" s="13"/>
      <c r="AO124" s="13"/>
      <c r="AP124" s="13"/>
      <c r="AQ124" s="13"/>
      <c r="AR124" s="13"/>
    </row>
    <row r="125" spans="1:44" ht="15.75" customHeight="1">
      <c r="A125" s="9" t="s">
        <v>256</v>
      </c>
      <c r="B125" s="9" t="s">
        <v>119</v>
      </c>
      <c r="C125" s="17" t="s">
        <v>198</v>
      </c>
      <c r="D125" s="11">
        <v>251.19</v>
      </c>
      <c r="E125" s="9" t="s">
        <v>41</v>
      </c>
      <c r="F125" s="11">
        <v>6.79</v>
      </c>
      <c r="G125" s="11">
        <v>52.01</v>
      </c>
      <c r="H125" s="11">
        <v>10.33</v>
      </c>
      <c r="I125" s="11">
        <v>47.82</v>
      </c>
      <c r="J125" s="11">
        <v>10.83</v>
      </c>
      <c r="K125" s="11">
        <v>7.79</v>
      </c>
      <c r="L125" s="11">
        <v>39.08</v>
      </c>
      <c r="M125" s="11">
        <v>3.19</v>
      </c>
      <c r="N125" s="11">
        <v>5.2</v>
      </c>
      <c r="O125" s="11">
        <v>1.78</v>
      </c>
      <c r="P125" s="9" t="s">
        <v>41</v>
      </c>
      <c r="Q125" s="11">
        <v>12.5</v>
      </c>
      <c r="R125" s="11">
        <v>11.76</v>
      </c>
      <c r="S125" s="11">
        <v>17.61</v>
      </c>
      <c r="T125" s="9" t="s">
        <v>41</v>
      </c>
      <c r="U125" s="9" t="s">
        <v>41</v>
      </c>
      <c r="V125" s="11">
        <v>7.43</v>
      </c>
      <c r="W125" s="13"/>
      <c r="X125" s="9" t="s">
        <v>41</v>
      </c>
      <c r="Y125" s="11">
        <v>1355.69</v>
      </c>
      <c r="Z125" s="9" t="s">
        <v>41</v>
      </c>
      <c r="AA125" s="12">
        <v>142.99</v>
      </c>
      <c r="AB125" s="14" t="s">
        <v>41</v>
      </c>
      <c r="AC125" s="14" t="s">
        <v>41</v>
      </c>
      <c r="AD125" s="14" t="s">
        <v>41</v>
      </c>
      <c r="AE125" s="14" t="s">
        <v>41</v>
      </c>
      <c r="AF125" s="11"/>
      <c r="AJ125" s="11">
        <v>1983.99</v>
      </c>
      <c r="AK125" s="12">
        <v>1259.8499999999999</v>
      </c>
      <c r="AL125" s="11">
        <v>724.14</v>
      </c>
      <c r="AM125" s="13"/>
      <c r="AN125" s="13"/>
      <c r="AO125" s="13"/>
      <c r="AP125" s="13"/>
      <c r="AQ125" s="13"/>
      <c r="AR125" s="13"/>
    </row>
    <row r="126" spans="1:44" ht="15.75" customHeight="1">
      <c r="A126" s="9" t="s">
        <v>257</v>
      </c>
      <c r="B126" s="9" t="s">
        <v>121</v>
      </c>
      <c r="C126" s="17" t="s">
        <v>198</v>
      </c>
      <c r="D126" s="11">
        <v>605.67999999999995</v>
      </c>
      <c r="E126" s="11">
        <v>14.02</v>
      </c>
      <c r="F126" s="11">
        <v>3.11</v>
      </c>
      <c r="G126" s="11">
        <v>36.81</v>
      </c>
      <c r="H126" s="11">
        <v>18.77</v>
      </c>
      <c r="I126" s="11">
        <v>0.98</v>
      </c>
      <c r="J126" s="11">
        <v>224.72</v>
      </c>
      <c r="K126" s="11">
        <v>4.46</v>
      </c>
      <c r="L126" s="11">
        <v>21.97</v>
      </c>
      <c r="M126" s="11">
        <v>3.65</v>
      </c>
      <c r="N126" s="11">
        <v>1.74</v>
      </c>
      <c r="O126" s="11">
        <v>1.63</v>
      </c>
      <c r="P126" s="11">
        <v>7.55</v>
      </c>
      <c r="Q126" s="11">
        <v>6.11</v>
      </c>
      <c r="R126" s="11">
        <v>5.12</v>
      </c>
      <c r="S126" s="11">
        <v>50.68</v>
      </c>
      <c r="T126" s="9" t="s">
        <v>41</v>
      </c>
      <c r="U126" s="9" t="s">
        <v>41</v>
      </c>
      <c r="V126" s="11">
        <v>13.95</v>
      </c>
      <c r="W126" s="13"/>
      <c r="X126" s="9" t="s">
        <v>41</v>
      </c>
      <c r="Y126" s="11">
        <v>1288.8800000000001</v>
      </c>
      <c r="Z126" s="11">
        <v>29.3</v>
      </c>
      <c r="AA126" s="14" t="s">
        <v>41</v>
      </c>
      <c r="AB126" s="14" t="s">
        <v>41</v>
      </c>
      <c r="AC126" s="14" t="s">
        <v>41</v>
      </c>
      <c r="AD126" s="14" t="s">
        <v>41</v>
      </c>
      <c r="AE126" s="12">
        <v>1.91</v>
      </c>
      <c r="AF126" s="11"/>
      <c r="AJ126" s="11">
        <v>2341.04</v>
      </c>
      <c r="AK126" s="12">
        <v>15.79</v>
      </c>
      <c r="AL126" s="11">
        <v>2325.25</v>
      </c>
      <c r="AM126" s="13"/>
      <c r="AN126" s="13"/>
      <c r="AO126" s="13"/>
      <c r="AP126" s="13"/>
      <c r="AQ126" s="13"/>
      <c r="AR126" s="13"/>
    </row>
    <row r="127" spans="1:44" ht="15.75" customHeight="1">
      <c r="A127" s="9" t="s">
        <v>258</v>
      </c>
      <c r="B127" s="9" t="s">
        <v>127</v>
      </c>
      <c r="C127" s="17" t="s">
        <v>198</v>
      </c>
      <c r="D127" s="9" t="s">
        <v>41</v>
      </c>
      <c r="E127" s="9" t="s">
        <v>41</v>
      </c>
      <c r="F127" s="11">
        <v>3.13</v>
      </c>
      <c r="G127" s="11">
        <v>19.420000000000002</v>
      </c>
      <c r="H127" s="11">
        <v>10.89</v>
      </c>
      <c r="I127" s="11">
        <v>0.52</v>
      </c>
      <c r="J127" s="11">
        <v>2.5</v>
      </c>
      <c r="K127" s="11">
        <v>5.08</v>
      </c>
      <c r="L127" s="11">
        <v>6.39</v>
      </c>
      <c r="M127" s="11">
        <v>2.5099999999999998</v>
      </c>
      <c r="N127" s="11">
        <v>4.97</v>
      </c>
      <c r="O127" s="11">
        <v>0.04</v>
      </c>
      <c r="P127" s="9" t="s">
        <v>41</v>
      </c>
      <c r="Q127" s="11">
        <v>6.51</v>
      </c>
      <c r="R127" s="11">
        <v>4.71</v>
      </c>
      <c r="S127" s="9"/>
      <c r="T127" s="9" t="s">
        <v>41</v>
      </c>
      <c r="U127" s="9" t="s">
        <v>41</v>
      </c>
      <c r="V127" s="9" t="s">
        <v>41</v>
      </c>
      <c r="W127" s="13"/>
      <c r="X127" s="11">
        <v>275.79000000000002</v>
      </c>
      <c r="Y127" s="9" t="s">
        <v>41</v>
      </c>
      <c r="Z127" s="9" t="s">
        <v>41</v>
      </c>
      <c r="AA127" s="14" t="s">
        <v>41</v>
      </c>
      <c r="AB127" s="12">
        <v>10.39</v>
      </c>
      <c r="AC127" s="12">
        <v>27.98</v>
      </c>
      <c r="AD127" s="12">
        <v>11.39</v>
      </c>
      <c r="AE127" s="12">
        <v>4.3</v>
      </c>
      <c r="AF127" s="9"/>
      <c r="AJ127" s="9"/>
      <c r="AK127" s="20"/>
      <c r="AL127" s="9"/>
      <c r="AM127" s="13"/>
      <c r="AN127" s="13"/>
      <c r="AO127" s="13"/>
      <c r="AP127" s="13"/>
      <c r="AQ127" s="13"/>
      <c r="AR127" s="13"/>
    </row>
    <row r="128" spans="1:44" ht="15.75" customHeight="1">
      <c r="A128" s="9" t="s">
        <v>259</v>
      </c>
      <c r="B128" s="9" t="s">
        <v>260</v>
      </c>
      <c r="C128" s="17" t="s">
        <v>198</v>
      </c>
      <c r="D128" s="9" t="s">
        <v>41</v>
      </c>
      <c r="E128" s="11">
        <v>2.4700000000000002</v>
      </c>
      <c r="F128" s="9" t="s">
        <v>41</v>
      </c>
      <c r="G128" s="11">
        <v>6.14</v>
      </c>
      <c r="H128" s="11">
        <v>7.49</v>
      </c>
      <c r="I128" s="11">
        <v>2.08</v>
      </c>
      <c r="J128" s="11">
        <v>10.24</v>
      </c>
      <c r="K128" s="11">
        <v>7.03</v>
      </c>
      <c r="L128" s="11">
        <v>15.29</v>
      </c>
      <c r="M128" s="9" t="s">
        <v>41</v>
      </c>
      <c r="N128" s="11">
        <v>0.69</v>
      </c>
      <c r="O128" s="9" t="s">
        <v>41</v>
      </c>
      <c r="P128" s="9" t="s">
        <v>41</v>
      </c>
      <c r="Q128" s="11">
        <v>1.82</v>
      </c>
      <c r="R128" s="11">
        <v>2.34</v>
      </c>
      <c r="S128" s="11">
        <v>3.74</v>
      </c>
      <c r="T128" s="9" t="s">
        <v>41</v>
      </c>
      <c r="U128" s="9" t="s">
        <v>41</v>
      </c>
      <c r="V128" s="9" t="s">
        <v>41</v>
      </c>
      <c r="W128" s="13"/>
      <c r="X128" s="11">
        <v>269.05</v>
      </c>
      <c r="Y128" s="9" t="s">
        <v>41</v>
      </c>
      <c r="Z128" s="9" t="s">
        <v>41</v>
      </c>
      <c r="AA128" s="14" t="s">
        <v>41</v>
      </c>
      <c r="AB128" s="14" t="s">
        <v>41</v>
      </c>
      <c r="AC128" s="14" t="s">
        <v>41</v>
      </c>
      <c r="AD128" s="14" t="s">
        <v>41</v>
      </c>
      <c r="AE128" s="12">
        <v>15.98</v>
      </c>
      <c r="AF128" s="11"/>
      <c r="AJ128" s="11">
        <v>344.38</v>
      </c>
      <c r="AK128" s="14" t="s">
        <v>41</v>
      </c>
      <c r="AL128" s="11">
        <v>344.38</v>
      </c>
      <c r="AM128" s="13"/>
      <c r="AN128" s="13"/>
      <c r="AO128" s="13"/>
      <c r="AP128" s="13"/>
      <c r="AQ128" s="13"/>
      <c r="AR128" s="13"/>
    </row>
    <row r="129" spans="1:44" ht="15.75" customHeight="1">
      <c r="A129" s="9" t="s">
        <v>261</v>
      </c>
      <c r="B129" s="9" t="s">
        <v>262</v>
      </c>
      <c r="C129" s="17" t="s">
        <v>198</v>
      </c>
      <c r="D129" s="11">
        <v>364.59</v>
      </c>
      <c r="E129" s="11">
        <v>0.05</v>
      </c>
      <c r="F129" s="11">
        <v>1.92</v>
      </c>
      <c r="G129" s="11">
        <v>21.22</v>
      </c>
      <c r="H129" s="11">
        <v>1.68</v>
      </c>
      <c r="I129" s="9" t="s">
        <v>41</v>
      </c>
      <c r="J129" s="11">
        <v>122.6</v>
      </c>
      <c r="K129" s="11">
        <v>9.7100000000000009</v>
      </c>
      <c r="L129" s="11">
        <v>4.0999999999999996</v>
      </c>
      <c r="M129" s="11">
        <v>29.1</v>
      </c>
      <c r="N129" s="11">
        <v>1.26</v>
      </c>
      <c r="O129" s="11">
        <v>0.19</v>
      </c>
      <c r="P129" s="9" t="s">
        <v>41</v>
      </c>
      <c r="Q129" s="11">
        <v>6.15</v>
      </c>
      <c r="R129" s="11">
        <v>4.51</v>
      </c>
      <c r="S129" s="11">
        <v>366.31</v>
      </c>
      <c r="T129" s="9" t="s">
        <v>41</v>
      </c>
      <c r="U129" s="9" t="s">
        <v>41</v>
      </c>
      <c r="V129" s="9" t="s">
        <v>41</v>
      </c>
      <c r="W129" s="13"/>
      <c r="X129" s="9" t="s">
        <v>41</v>
      </c>
      <c r="Y129" s="11">
        <v>1512.28</v>
      </c>
      <c r="Z129" s="11">
        <v>35.31</v>
      </c>
      <c r="AA129" s="14" t="s">
        <v>41</v>
      </c>
      <c r="AB129" s="12">
        <v>0.05</v>
      </c>
      <c r="AC129" s="14" t="s">
        <v>41</v>
      </c>
      <c r="AD129" s="14" t="s">
        <v>41</v>
      </c>
      <c r="AE129" s="14" t="s">
        <v>41</v>
      </c>
      <c r="AF129" s="11"/>
      <c r="AJ129" s="11">
        <v>2481.04</v>
      </c>
      <c r="AK129" s="12">
        <v>393</v>
      </c>
      <c r="AL129" s="11">
        <v>2088.04</v>
      </c>
      <c r="AM129" s="13"/>
      <c r="AN129" s="13"/>
      <c r="AO129" s="13"/>
      <c r="AP129" s="13"/>
      <c r="AQ129" s="13"/>
      <c r="AR129" s="13"/>
    </row>
    <row r="130" spans="1:44" ht="15.75" customHeight="1">
      <c r="A130" s="9" t="s">
        <v>263</v>
      </c>
      <c r="B130" s="9" t="s">
        <v>264</v>
      </c>
      <c r="C130" s="17" t="s">
        <v>198</v>
      </c>
      <c r="D130" s="11">
        <v>848.35</v>
      </c>
      <c r="E130" s="11">
        <v>22.36</v>
      </c>
      <c r="F130" s="11">
        <v>28.59</v>
      </c>
      <c r="G130" s="11">
        <v>63.18</v>
      </c>
      <c r="H130" s="11">
        <v>29.16</v>
      </c>
      <c r="I130" s="11">
        <v>6.18</v>
      </c>
      <c r="J130" s="11">
        <v>256.76</v>
      </c>
      <c r="K130" s="11">
        <v>12.87</v>
      </c>
      <c r="L130" s="11">
        <v>58.01</v>
      </c>
      <c r="M130" s="11">
        <v>8.3800000000000008</v>
      </c>
      <c r="N130" s="11">
        <v>10.73</v>
      </c>
      <c r="O130" s="11">
        <v>3.96</v>
      </c>
      <c r="P130" s="11">
        <v>0.65</v>
      </c>
      <c r="Q130" s="11">
        <v>23.03</v>
      </c>
      <c r="R130" s="11">
        <v>16.12</v>
      </c>
      <c r="S130" s="11">
        <v>26.8</v>
      </c>
      <c r="T130" s="9" t="s">
        <v>41</v>
      </c>
      <c r="U130" s="9" t="s">
        <v>41</v>
      </c>
      <c r="V130" s="11">
        <v>21.4</v>
      </c>
      <c r="W130" s="13"/>
      <c r="X130" s="11">
        <v>2221.2399999999998</v>
      </c>
      <c r="Y130" s="11">
        <v>4.5</v>
      </c>
      <c r="Z130" s="11">
        <v>5.9</v>
      </c>
      <c r="AA130" s="14" t="s">
        <v>41</v>
      </c>
      <c r="AB130" s="14" t="s">
        <v>41</v>
      </c>
      <c r="AC130" s="12">
        <v>9.9499999999999993</v>
      </c>
      <c r="AD130" s="14" t="s">
        <v>41</v>
      </c>
      <c r="AE130" s="14" t="s">
        <v>41</v>
      </c>
      <c r="AF130" s="11"/>
      <c r="AJ130" s="11">
        <v>3678.15</v>
      </c>
      <c r="AK130" s="14" t="s">
        <v>41</v>
      </c>
      <c r="AL130" s="11">
        <v>3678.15</v>
      </c>
      <c r="AM130" s="13"/>
      <c r="AN130" s="13"/>
      <c r="AO130" s="13"/>
      <c r="AP130" s="13"/>
      <c r="AQ130" s="13"/>
      <c r="AR130" s="13"/>
    </row>
    <row r="131" spans="1:44" ht="15.75" customHeight="1">
      <c r="A131" s="9" t="s">
        <v>265</v>
      </c>
      <c r="B131" s="9" t="s">
        <v>131</v>
      </c>
      <c r="C131" s="17" t="s">
        <v>198</v>
      </c>
      <c r="D131" s="11">
        <v>1641.84</v>
      </c>
      <c r="E131" s="11">
        <v>46.82</v>
      </c>
      <c r="F131" s="11">
        <v>33.9</v>
      </c>
      <c r="G131" s="11">
        <v>101.36</v>
      </c>
      <c r="H131" s="11">
        <v>4.9000000000000004</v>
      </c>
      <c r="I131" s="11">
        <v>65.680000000000007</v>
      </c>
      <c r="J131" s="11">
        <v>40.26</v>
      </c>
      <c r="K131" s="11">
        <v>1.64</v>
      </c>
      <c r="L131" s="11">
        <v>83.91</v>
      </c>
      <c r="M131" s="11">
        <v>213.32</v>
      </c>
      <c r="N131" s="11">
        <v>29.36</v>
      </c>
      <c r="O131" s="11">
        <v>34.840000000000003</v>
      </c>
      <c r="P131" s="9" t="s">
        <v>41</v>
      </c>
      <c r="Q131" s="11">
        <v>37.01</v>
      </c>
      <c r="R131" s="11">
        <v>59.75</v>
      </c>
      <c r="S131" s="11">
        <v>528.59</v>
      </c>
      <c r="T131" s="9" t="s">
        <v>41</v>
      </c>
      <c r="U131" s="9" t="s">
        <v>41</v>
      </c>
      <c r="V131" s="11">
        <v>12.77</v>
      </c>
      <c r="W131" s="13"/>
      <c r="X131" s="9" t="s">
        <v>41</v>
      </c>
      <c r="Y131" s="11">
        <v>1698.42</v>
      </c>
      <c r="Z131" s="11">
        <v>29128.13</v>
      </c>
      <c r="AA131" s="14" t="s">
        <v>41</v>
      </c>
      <c r="AB131" s="14" t="s">
        <v>41</v>
      </c>
      <c r="AC131" s="14" t="s">
        <v>41</v>
      </c>
      <c r="AD131" s="14" t="s">
        <v>41</v>
      </c>
      <c r="AE131" s="14" t="s">
        <v>41</v>
      </c>
      <c r="AF131" s="11"/>
      <c r="AJ131" s="11">
        <v>33762.51</v>
      </c>
      <c r="AK131" s="12">
        <v>60</v>
      </c>
      <c r="AL131" s="11">
        <v>33702.51</v>
      </c>
      <c r="AM131" s="13"/>
      <c r="AN131" s="13"/>
      <c r="AO131" s="13"/>
      <c r="AP131" s="13"/>
      <c r="AQ131" s="13"/>
      <c r="AR131" s="13"/>
    </row>
    <row r="132" spans="1:44" ht="15.75" customHeight="1">
      <c r="A132" s="9" t="s">
        <v>266</v>
      </c>
      <c r="B132" s="9" t="s">
        <v>267</v>
      </c>
      <c r="C132" s="17" t="s">
        <v>198</v>
      </c>
      <c r="D132" s="11">
        <v>513.99</v>
      </c>
      <c r="E132" s="11">
        <v>4.45</v>
      </c>
      <c r="F132" s="11">
        <v>2.89</v>
      </c>
      <c r="G132" s="11">
        <v>11.84</v>
      </c>
      <c r="H132" s="11">
        <v>0.2</v>
      </c>
      <c r="I132" s="11">
        <v>0.96</v>
      </c>
      <c r="J132" s="11">
        <v>54.95</v>
      </c>
      <c r="K132" s="11">
        <v>4.1500000000000004</v>
      </c>
      <c r="L132" s="11">
        <v>7.48</v>
      </c>
      <c r="M132" s="11">
        <v>7.76</v>
      </c>
      <c r="N132" s="11">
        <v>2.36</v>
      </c>
      <c r="O132" s="11">
        <v>51.52</v>
      </c>
      <c r="P132" s="9" t="s">
        <v>41</v>
      </c>
      <c r="Q132" s="11">
        <v>2.2999999999999998</v>
      </c>
      <c r="R132" s="11">
        <v>7.43</v>
      </c>
      <c r="S132" s="11">
        <v>12.19</v>
      </c>
      <c r="T132" s="9" t="s">
        <v>41</v>
      </c>
      <c r="U132" s="11">
        <v>62495.83</v>
      </c>
      <c r="V132" s="11">
        <v>28.75</v>
      </c>
      <c r="W132" s="13"/>
      <c r="X132" s="9" t="s">
        <v>41</v>
      </c>
      <c r="Y132" s="11">
        <v>29.23</v>
      </c>
      <c r="Z132" s="9" t="s">
        <v>41</v>
      </c>
      <c r="AA132" s="14" t="s">
        <v>41</v>
      </c>
      <c r="AB132" s="14" t="s">
        <v>41</v>
      </c>
      <c r="AC132" s="14" t="s">
        <v>41</v>
      </c>
      <c r="AD132" s="14" t="s">
        <v>41</v>
      </c>
      <c r="AE132" s="12">
        <v>87.08</v>
      </c>
      <c r="AF132" s="11"/>
      <c r="AJ132" s="11">
        <v>63325.35</v>
      </c>
      <c r="AK132" s="14" t="s">
        <v>41</v>
      </c>
      <c r="AL132" s="11">
        <v>63325.35</v>
      </c>
      <c r="AM132" s="13"/>
      <c r="AN132" s="13"/>
      <c r="AO132" s="13"/>
      <c r="AP132" s="13"/>
      <c r="AQ132" s="13"/>
      <c r="AR132" s="13"/>
    </row>
    <row r="133" spans="1:44" ht="15.75" customHeight="1">
      <c r="A133" s="9" t="s">
        <v>268</v>
      </c>
      <c r="B133" s="9" t="s">
        <v>133</v>
      </c>
      <c r="C133" s="17" t="s">
        <v>198</v>
      </c>
      <c r="D133" s="9" t="s">
        <v>41</v>
      </c>
      <c r="E133" s="11">
        <v>4.74</v>
      </c>
      <c r="F133" s="11">
        <v>7.83</v>
      </c>
      <c r="G133" s="11">
        <v>54.07</v>
      </c>
      <c r="H133" s="11">
        <v>7.58</v>
      </c>
      <c r="I133" s="11">
        <v>0.43</v>
      </c>
      <c r="J133" s="9" t="s">
        <v>41</v>
      </c>
      <c r="K133" s="11">
        <v>2.4900000000000002</v>
      </c>
      <c r="L133" s="11">
        <v>13.88</v>
      </c>
      <c r="M133" s="11">
        <v>1.67</v>
      </c>
      <c r="N133" s="11">
        <v>13.48</v>
      </c>
      <c r="O133" s="11">
        <v>2.4</v>
      </c>
      <c r="P133" s="9" t="s">
        <v>41</v>
      </c>
      <c r="Q133" s="11">
        <v>16.309999999999999</v>
      </c>
      <c r="R133" s="11">
        <v>19.23</v>
      </c>
      <c r="S133" s="11">
        <v>13.41</v>
      </c>
      <c r="T133" s="9" t="s">
        <v>41</v>
      </c>
      <c r="U133" s="9" t="s">
        <v>41</v>
      </c>
      <c r="V133" s="9" t="s">
        <v>41</v>
      </c>
      <c r="W133" s="13"/>
      <c r="X133" s="11">
        <v>7</v>
      </c>
      <c r="Y133" s="9" t="s">
        <v>41</v>
      </c>
      <c r="Z133" s="9" t="s">
        <v>41</v>
      </c>
      <c r="AA133" s="14" t="s">
        <v>41</v>
      </c>
      <c r="AB133" s="14" t="s">
        <v>41</v>
      </c>
      <c r="AC133" s="12">
        <v>48.88</v>
      </c>
      <c r="AD133" s="12">
        <v>15.36</v>
      </c>
      <c r="AE133" s="14" t="s">
        <v>41</v>
      </c>
      <c r="AF133" s="11"/>
      <c r="AJ133" s="11">
        <v>228.75</v>
      </c>
      <c r="AK133" s="12">
        <v>22.84</v>
      </c>
      <c r="AL133" s="11">
        <v>205.91</v>
      </c>
      <c r="AM133" s="13"/>
      <c r="AN133" s="13"/>
      <c r="AO133" s="13"/>
      <c r="AP133" s="13"/>
      <c r="AQ133" s="13"/>
      <c r="AR133" s="13"/>
    </row>
    <row r="134" spans="1:44" ht="15.75" customHeight="1">
      <c r="A134" s="9" t="s">
        <v>269</v>
      </c>
      <c r="B134" s="9" t="s">
        <v>137</v>
      </c>
      <c r="C134" s="17" t="s">
        <v>198</v>
      </c>
      <c r="D134" s="11">
        <v>188.59</v>
      </c>
      <c r="E134" s="11">
        <v>4.12</v>
      </c>
      <c r="F134" s="11">
        <v>3.07</v>
      </c>
      <c r="G134" s="11">
        <v>25.65</v>
      </c>
      <c r="H134" s="11">
        <v>7.78</v>
      </c>
      <c r="I134" s="11">
        <v>2.2999999999999998</v>
      </c>
      <c r="J134" s="11">
        <v>40.29</v>
      </c>
      <c r="K134" s="11">
        <v>0.35</v>
      </c>
      <c r="L134" s="11">
        <v>43.02</v>
      </c>
      <c r="M134" s="11">
        <v>16.37</v>
      </c>
      <c r="N134" s="11">
        <v>3</v>
      </c>
      <c r="O134" s="11">
        <v>1.39</v>
      </c>
      <c r="P134" s="9" t="s">
        <v>41</v>
      </c>
      <c r="Q134" s="11">
        <v>3.43</v>
      </c>
      <c r="R134" s="11">
        <v>3.48</v>
      </c>
      <c r="S134" s="11">
        <v>22.98</v>
      </c>
      <c r="T134" s="9" t="s">
        <v>41</v>
      </c>
      <c r="U134" s="9" t="s">
        <v>41</v>
      </c>
      <c r="V134" s="11">
        <v>23.59</v>
      </c>
      <c r="W134" s="13"/>
      <c r="X134" s="11">
        <v>8494.44</v>
      </c>
      <c r="Y134" s="9" t="s">
        <v>41</v>
      </c>
      <c r="Z134" s="9" t="s">
        <v>41</v>
      </c>
      <c r="AA134" s="14" t="s">
        <v>41</v>
      </c>
      <c r="AB134" s="14" t="s">
        <v>41</v>
      </c>
      <c r="AC134" s="14" t="s">
        <v>41</v>
      </c>
      <c r="AD134" s="14" t="s">
        <v>41</v>
      </c>
      <c r="AE134" s="14" t="s">
        <v>41</v>
      </c>
      <c r="AF134" s="11"/>
      <c r="AJ134" s="11">
        <v>8883.86</v>
      </c>
      <c r="AK134" s="12">
        <v>7682.2</v>
      </c>
      <c r="AL134" s="11">
        <v>1201.6600000000001</v>
      </c>
      <c r="AM134" s="13"/>
      <c r="AN134" s="13"/>
      <c r="AO134" s="13"/>
      <c r="AP134" s="13"/>
      <c r="AQ134" s="13"/>
      <c r="AR134" s="13"/>
    </row>
    <row r="135" spans="1:44" ht="15.75" customHeight="1">
      <c r="A135" s="9" t="s">
        <v>270</v>
      </c>
      <c r="B135" s="9" t="s">
        <v>139</v>
      </c>
      <c r="C135" s="17" t="s">
        <v>198</v>
      </c>
      <c r="D135" s="11">
        <v>121.85</v>
      </c>
      <c r="E135" s="9" t="s">
        <v>41</v>
      </c>
      <c r="F135" s="11">
        <v>0.97</v>
      </c>
      <c r="G135" s="11">
        <v>23.89</v>
      </c>
      <c r="H135" s="11">
        <v>19.899999999999999</v>
      </c>
      <c r="I135" s="11">
        <v>0.26</v>
      </c>
      <c r="J135" s="11">
        <v>58.14</v>
      </c>
      <c r="K135" s="11">
        <v>0.21</v>
      </c>
      <c r="L135" s="11">
        <v>11.57</v>
      </c>
      <c r="M135" s="11">
        <v>0.62</v>
      </c>
      <c r="N135" s="11">
        <v>4.7699999999999996</v>
      </c>
      <c r="O135" s="11">
        <v>0.9</v>
      </c>
      <c r="P135" s="9" t="s">
        <v>41</v>
      </c>
      <c r="Q135" s="11">
        <v>1.85</v>
      </c>
      <c r="R135" s="11">
        <v>13.71</v>
      </c>
      <c r="S135" s="11">
        <v>1055.72</v>
      </c>
      <c r="T135" s="9" t="s">
        <v>41</v>
      </c>
      <c r="U135" s="9" t="s">
        <v>41</v>
      </c>
      <c r="V135" s="11">
        <v>8.36</v>
      </c>
      <c r="W135" s="13"/>
      <c r="X135" s="9" t="s">
        <v>41</v>
      </c>
      <c r="Y135" s="11">
        <v>8003.59</v>
      </c>
      <c r="Z135" s="9" t="s">
        <v>41</v>
      </c>
      <c r="AA135" s="14" t="s">
        <v>41</v>
      </c>
      <c r="AB135" s="14" t="s">
        <v>41</v>
      </c>
      <c r="AC135" s="12">
        <v>23.05</v>
      </c>
      <c r="AD135" s="14" t="s">
        <v>41</v>
      </c>
      <c r="AE135" s="14" t="s">
        <v>41</v>
      </c>
      <c r="AF135" s="11"/>
      <c r="AJ135" s="11">
        <v>9349.3700000000008</v>
      </c>
      <c r="AK135" s="12">
        <v>5442.59</v>
      </c>
      <c r="AL135" s="11">
        <v>3906.78</v>
      </c>
      <c r="AM135" s="13"/>
      <c r="AN135" s="13"/>
      <c r="AO135" s="13"/>
      <c r="AP135" s="13"/>
      <c r="AQ135" s="13"/>
      <c r="AR135" s="13"/>
    </row>
    <row r="136" spans="1:44" ht="15.75" customHeight="1">
      <c r="A136" s="9" t="s">
        <v>271</v>
      </c>
      <c r="B136" s="9" t="s">
        <v>143</v>
      </c>
      <c r="C136" s="17" t="s">
        <v>198</v>
      </c>
      <c r="D136" s="11">
        <v>6210.29</v>
      </c>
      <c r="E136" s="11">
        <v>20.72</v>
      </c>
      <c r="F136" s="11">
        <v>44.27</v>
      </c>
      <c r="G136" s="11">
        <v>100.68</v>
      </c>
      <c r="H136" s="11">
        <v>9.65</v>
      </c>
      <c r="I136" s="11">
        <v>10.9</v>
      </c>
      <c r="J136" s="11">
        <v>142.91999999999999</v>
      </c>
      <c r="K136" s="11">
        <v>30.37</v>
      </c>
      <c r="L136" s="11">
        <v>52.3</v>
      </c>
      <c r="M136" s="11">
        <v>3.62</v>
      </c>
      <c r="N136" s="11">
        <v>11.25</v>
      </c>
      <c r="O136" s="11">
        <v>19.39</v>
      </c>
      <c r="P136" s="11">
        <v>69.83</v>
      </c>
      <c r="Q136" s="11">
        <v>24.83</v>
      </c>
      <c r="R136" s="11">
        <v>12.5</v>
      </c>
      <c r="S136" s="11">
        <v>78.41</v>
      </c>
      <c r="T136" s="9" t="s">
        <v>41</v>
      </c>
      <c r="U136" s="9" t="s">
        <v>41</v>
      </c>
      <c r="V136" s="11">
        <v>68.66</v>
      </c>
      <c r="W136" s="13"/>
      <c r="X136" s="9" t="s">
        <v>41</v>
      </c>
      <c r="Y136" s="11">
        <v>12862.61</v>
      </c>
      <c r="Z136" s="11">
        <v>39.700000000000003</v>
      </c>
      <c r="AA136" s="14" t="s">
        <v>41</v>
      </c>
      <c r="AB136" s="14" t="s">
        <v>41</v>
      </c>
      <c r="AC136" s="14" t="s">
        <v>41</v>
      </c>
      <c r="AD136" s="14" t="s">
        <v>41</v>
      </c>
      <c r="AE136" s="12">
        <v>34.369999999999997</v>
      </c>
      <c r="AF136" s="11"/>
      <c r="AJ136" s="11">
        <v>19847.29</v>
      </c>
      <c r="AK136" s="12">
        <v>2247.0700000000002</v>
      </c>
      <c r="AL136" s="11">
        <v>17600.22</v>
      </c>
      <c r="AM136" s="13"/>
      <c r="AN136" s="13"/>
      <c r="AO136" s="13"/>
      <c r="AP136" s="13"/>
      <c r="AQ136" s="13"/>
      <c r="AR136" s="13"/>
    </row>
    <row r="137" spans="1:44" ht="15.75" customHeight="1">
      <c r="A137" s="9" t="s">
        <v>272</v>
      </c>
      <c r="B137" s="9" t="s">
        <v>273</v>
      </c>
      <c r="C137" s="17" t="s">
        <v>198</v>
      </c>
      <c r="D137" s="11">
        <v>631.04</v>
      </c>
      <c r="E137" s="11">
        <v>5</v>
      </c>
      <c r="F137" s="11">
        <v>6.81</v>
      </c>
      <c r="G137" s="11">
        <v>16.48</v>
      </c>
      <c r="H137" s="11">
        <v>5.8</v>
      </c>
      <c r="I137" s="11">
        <v>3.98</v>
      </c>
      <c r="J137" s="11">
        <v>83.91</v>
      </c>
      <c r="K137" s="11">
        <v>12.02</v>
      </c>
      <c r="L137" s="11">
        <v>13</v>
      </c>
      <c r="M137" s="11">
        <v>7.43</v>
      </c>
      <c r="N137" s="11">
        <v>4.3899999999999997</v>
      </c>
      <c r="O137" s="11">
        <v>3.46</v>
      </c>
      <c r="P137" s="9" t="s">
        <v>41</v>
      </c>
      <c r="Q137" s="11">
        <v>9.9499999999999993</v>
      </c>
      <c r="R137" s="11">
        <v>6.92</v>
      </c>
      <c r="S137" s="11">
        <v>50.92</v>
      </c>
      <c r="T137" s="9" t="s">
        <v>41</v>
      </c>
      <c r="U137" s="9" t="s">
        <v>41</v>
      </c>
      <c r="V137" s="11">
        <v>14.01</v>
      </c>
      <c r="W137" s="13"/>
      <c r="X137" s="9" t="s">
        <v>41</v>
      </c>
      <c r="Y137" s="11">
        <v>448.28</v>
      </c>
      <c r="Z137" s="9" t="s">
        <v>41</v>
      </c>
      <c r="AA137" s="14" t="s">
        <v>41</v>
      </c>
      <c r="AB137" s="14" t="s">
        <v>41</v>
      </c>
      <c r="AC137" s="14" t="s">
        <v>41</v>
      </c>
      <c r="AD137" s="12">
        <v>3.64</v>
      </c>
      <c r="AE137" s="14" t="s">
        <v>41</v>
      </c>
      <c r="AF137" s="11"/>
      <c r="AJ137" s="11">
        <v>1327.04</v>
      </c>
      <c r="AK137" s="14" t="s">
        <v>41</v>
      </c>
      <c r="AL137" s="11">
        <v>1327.04</v>
      </c>
      <c r="AM137" s="13"/>
      <c r="AN137" s="13"/>
      <c r="AO137" s="13"/>
      <c r="AP137" s="13"/>
      <c r="AQ137" s="13"/>
      <c r="AR137" s="13"/>
    </row>
    <row r="138" spans="1:44" ht="15.75" customHeight="1">
      <c r="A138" s="9" t="s">
        <v>274</v>
      </c>
      <c r="B138" s="9" t="s">
        <v>275</v>
      </c>
      <c r="C138" s="17" t="s">
        <v>198</v>
      </c>
      <c r="D138" s="11">
        <v>275.07</v>
      </c>
      <c r="E138" s="9" t="s">
        <v>41</v>
      </c>
      <c r="F138" s="11">
        <v>2.65</v>
      </c>
      <c r="G138" s="11">
        <v>39.229999999999997</v>
      </c>
      <c r="H138" s="11">
        <v>7.13</v>
      </c>
      <c r="I138" s="11">
        <v>17.690000000000001</v>
      </c>
      <c r="J138" s="11">
        <v>43</v>
      </c>
      <c r="K138" s="11">
        <v>21.45</v>
      </c>
      <c r="L138" s="11">
        <v>51.16</v>
      </c>
      <c r="M138" s="11">
        <v>0.78</v>
      </c>
      <c r="N138" s="11">
        <v>4.04</v>
      </c>
      <c r="O138" s="11">
        <v>1.18</v>
      </c>
      <c r="P138" s="9" t="s">
        <v>41</v>
      </c>
      <c r="Q138" s="11">
        <v>15.08</v>
      </c>
      <c r="R138" s="11">
        <v>10.199999999999999</v>
      </c>
      <c r="S138" s="11">
        <v>18.989999999999998</v>
      </c>
      <c r="T138" s="9" t="s">
        <v>41</v>
      </c>
      <c r="U138" s="9" t="s">
        <v>41</v>
      </c>
      <c r="V138" s="11">
        <v>16.079999999999998</v>
      </c>
      <c r="W138" s="13"/>
      <c r="X138" s="9" t="s">
        <v>41</v>
      </c>
      <c r="Y138" s="11">
        <v>470.94</v>
      </c>
      <c r="Z138" s="9" t="s">
        <v>41</v>
      </c>
      <c r="AA138" s="14" t="s">
        <v>41</v>
      </c>
      <c r="AB138" s="14" t="s">
        <v>41</v>
      </c>
      <c r="AC138" s="14" t="s">
        <v>41</v>
      </c>
      <c r="AD138" s="14" t="s">
        <v>41</v>
      </c>
      <c r="AE138" s="14" t="s">
        <v>41</v>
      </c>
      <c r="AF138" s="11"/>
      <c r="AJ138" s="11">
        <v>994.66</v>
      </c>
      <c r="AK138" s="14" t="s">
        <v>41</v>
      </c>
      <c r="AL138" s="11">
        <v>994.66</v>
      </c>
      <c r="AM138" s="13"/>
      <c r="AN138" s="13"/>
      <c r="AO138" s="13"/>
      <c r="AP138" s="13"/>
      <c r="AQ138" s="13"/>
      <c r="AR138" s="13"/>
    </row>
    <row r="139" spans="1:44" ht="15.75" customHeight="1">
      <c r="A139" s="9" t="s">
        <v>276</v>
      </c>
      <c r="B139" s="9" t="s">
        <v>145</v>
      </c>
      <c r="C139" s="17" t="s">
        <v>198</v>
      </c>
      <c r="D139" s="11">
        <v>323.04000000000002</v>
      </c>
      <c r="E139" s="9" t="s">
        <v>41</v>
      </c>
      <c r="F139" s="11">
        <v>7.79</v>
      </c>
      <c r="G139" s="11">
        <v>40.39</v>
      </c>
      <c r="H139" s="11">
        <v>97.52</v>
      </c>
      <c r="I139" s="11">
        <v>4.38</v>
      </c>
      <c r="J139" s="11">
        <v>115.7</v>
      </c>
      <c r="K139" s="11">
        <v>1.6</v>
      </c>
      <c r="L139" s="11">
        <v>29.42</v>
      </c>
      <c r="M139" s="11">
        <v>0.63</v>
      </c>
      <c r="N139" s="11">
        <v>4.24</v>
      </c>
      <c r="O139" s="11">
        <v>0.37</v>
      </c>
      <c r="P139" s="9" t="s">
        <v>41</v>
      </c>
      <c r="Q139" s="11">
        <v>8.41</v>
      </c>
      <c r="R139" s="11">
        <v>7.26</v>
      </c>
      <c r="S139" s="11">
        <v>10.039999999999999</v>
      </c>
      <c r="T139" s="9" t="s">
        <v>41</v>
      </c>
      <c r="U139" s="9" t="s">
        <v>41</v>
      </c>
      <c r="V139" s="11">
        <v>36</v>
      </c>
      <c r="W139" s="13"/>
      <c r="X139" s="9" t="s">
        <v>41</v>
      </c>
      <c r="Y139" s="9" t="s">
        <v>41</v>
      </c>
      <c r="Z139" s="9" t="s">
        <v>41</v>
      </c>
      <c r="AA139" s="14" t="s">
        <v>41</v>
      </c>
      <c r="AB139" s="14" t="s">
        <v>41</v>
      </c>
      <c r="AC139" s="14" t="s">
        <v>41</v>
      </c>
      <c r="AD139" s="14" t="s">
        <v>41</v>
      </c>
      <c r="AE139" s="12">
        <v>73.86</v>
      </c>
      <c r="AF139" s="11"/>
      <c r="AJ139" s="11">
        <v>760.66</v>
      </c>
      <c r="AK139" s="14" t="s">
        <v>41</v>
      </c>
      <c r="AL139" s="11">
        <v>760.66</v>
      </c>
      <c r="AM139" s="13"/>
      <c r="AN139" s="13"/>
      <c r="AO139" s="13"/>
      <c r="AP139" s="13"/>
      <c r="AQ139" s="13"/>
      <c r="AR139" s="13"/>
    </row>
    <row r="140" spans="1:44" ht="15.75" customHeight="1">
      <c r="A140" s="9" t="s">
        <v>277</v>
      </c>
      <c r="B140" s="9" t="s">
        <v>278</v>
      </c>
      <c r="C140" s="17" t="s">
        <v>198</v>
      </c>
      <c r="D140" s="11">
        <v>90.88</v>
      </c>
      <c r="E140" s="11">
        <v>1.53</v>
      </c>
      <c r="F140" s="11">
        <v>5.55</v>
      </c>
      <c r="G140" s="11">
        <v>33.71</v>
      </c>
      <c r="H140" s="11">
        <v>10.14</v>
      </c>
      <c r="I140" s="11">
        <v>0.94</v>
      </c>
      <c r="J140" s="9" t="s">
        <v>41</v>
      </c>
      <c r="K140" s="11">
        <v>11.2</v>
      </c>
      <c r="L140" s="11">
        <v>18.38</v>
      </c>
      <c r="M140" s="11">
        <v>1.41</v>
      </c>
      <c r="N140" s="11">
        <v>3.95</v>
      </c>
      <c r="O140" s="11">
        <v>2.13</v>
      </c>
      <c r="P140" s="9" t="s">
        <v>41</v>
      </c>
      <c r="Q140" s="11">
        <v>6.05</v>
      </c>
      <c r="R140" s="11">
        <v>9.76</v>
      </c>
      <c r="S140" s="11">
        <v>6.77</v>
      </c>
      <c r="T140" s="9" t="s">
        <v>41</v>
      </c>
      <c r="U140" s="9" t="s">
        <v>41</v>
      </c>
      <c r="V140" s="11">
        <v>4.91</v>
      </c>
      <c r="W140" s="13"/>
      <c r="X140" s="9" t="s">
        <v>41</v>
      </c>
      <c r="Y140" s="11">
        <v>2620.7399999999998</v>
      </c>
      <c r="Z140" s="9" t="s">
        <v>41</v>
      </c>
      <c r="AA140" s="14" t="s">
        <v>41</v>
      </c>
      <c r="AB140" s="14" t="s">
        <v>41</v>
      </c>
      <c r="AC140" s="14" t="s">
        <v>41</v>
      </c>
      <c r="AD140" s="12">
        <v>7.15</v>
      </c>
      <c r="AE140" s="14" t="s">
        <v>41</v>
      </c>
      <c r="AF140" s="11"/>
      <c r="AJ140" s="11">
        <v>2835.2</v>
      </c>
      <c r="AK140" s="14" t="s">
        <v>41</v>
      </c>
      <c r="AL140" s="11">
        <v>2835.2</v>
      </c>
      <c r="AM140" s="13"/>
      <c r="AN140" s="13"/>
      <c r="AO140" s="13"/>
      <c r="AP140" s="13"/>
      <c r="AQ140" s="13"/>
      <c r="AR140" s="13"/>
    </row>
    <row r="141" spans="1:44" ht="15.75" customHeight="1">
      <c r="A141" s="9" t="s">
        <v>279</v>
      </c>
      <c r="B141" s="9" t="s">
        <v>280</v>
      </c>
      <c r="C141" s="17" t="s">
        <v>198</v>
      </c>
      <c r="D141" s="11">
        <v>1654.65</v>
      </c>
      <c r="E141" s="11">
        <v>15.11</v>
      </c>
      <c r="F141" s="11">
        <v>26.72</v>
      </c>
      <c r="G141" s="11">
        <v>181.9</v>
      </c>
      <c r="H141" s="11">
        <v>61.64</v>
      </c>
      <c r="I141" s="11">
        <v>11.51</v>
      </c>
      <c r="J141" s="11">
        <v>96.63</v>
      </c>
      <c r="K141" s="11">
        <v>31.94</v>
      </c>
      <c r="L141" s="11">
        <v>70.319999999999993</v>
      </c>
      <c r="M141" s="11">
        <v>1.93</v>
      </c>
      <c r="N141" s="11">
        <v>15.44</v>
      </c>
      <c r="O141" s="11">
        <v>15.73</v>
      </c>
      <c r="P141" s="9" t="s">
        <v>41</v>
      </c>
      <c r="Q141" s="11">
        <v>66.45</v>
      </c>
      <c r="R141" s="11">
        <v>36.33</v>
      </c>
      <c r="S141" s="11">
        <v>310.38</v>
      </c>
      <c r="T141" s="9" t="s">
        <v>41</v>
      </c>
      <c r="U141" s="9" t="s">
        <v>41</v>
      </c>
      <c r="V141" s="11">
        <v>26.06</v>
      </c>
      <c r="W141" s="13"/>
      <c r="X141" s="9" t="s">
        <v>41</v>
      </c>
      <c r="Y141" s="11">
        <v>2110.64</v>
      </c>
      <c r="Z141" s="9" t="s">
        <v>41</v>
      </c>
      <c r="AA141" s="14" t="s">
        <v>41</v>
      </c>
      <c r="AB141" s="12">
        <v>30.37</v>
      </c>
      <c r="AC141" s="12">
        <v>49.94</v>
      </c>
      <c r="AD141" s="12">
        <v>107.13</v>
      </c>
      <c r="AE141" s="14" t="s">
        <v>41</v>
      </c>
      <c r="AF141" s="11"/>
      <c r="AJ141" s="11">
        <v>4920.8100000000004</v>
      </c>
      <c r="AK141" s="14" t="s">
        <v>41</v>
      </c>
      <c r="AL141" s="11">
        <v>4920.8100000000004</v>
      </c>
      <c r="AM141" s="13"/>
      <c r="AN141" s="13"/>
      <c r="AO141" s="13"/>
      <c r="AP141" s="13"/>
      <c r="AQ141" s="13"/>
      <c r="AR141" s="13"/>
    </row>
    <row r="142" spans="1:44" ht="15.75" customHeight="1">
      <c r="A142" s="9" t="s">
        <v>281</v>
      </c>
      <c r="B142" s="9" t="s">
        <v>148</v>
      </c>
      <c r="C142" s="17" t="s">
        <v>198</v>
      </c>
      <c r="D142" s="11">
        <v>12373.94</v>
      </c>
      <c r="E142" s="11">
        <v>85</v>
      </c>
      <c r="F142" s="11">
        <v>298.54000000000002</v>
      </c>
      <c r="G142" s="11">
        <v>972.72</v>
      </c>
      <c r="H142" s="11">
        <v>189.35</v>
      </c>
      <c r="I142" s="11">
        <v>70.12</v>
      </c>
      <c r="J142" s="11">
        <v>69.36</v>
      </c>
      <c r="K142" s="11">
        <v>52.45</v>
      </c>
      <c r="L142" s="11">
        <v>454.22</v>
      </c>
      <c r="M142" s="11">
        <v>102.57</v>
      </c>
      <c r="N142" s="11">
        <v>165.47</v>
      </c>
      <c r="O142" s="11">
        <v>56.37</v>
      </c>
      <c r="P142" s="11">
        <v>1519.77</v>
      </c>
      <c r="Q142" s="11">
        <v>174.65</v>
      </c>
      <c r="R142" s="11">
        <v>163.95</v>
      </c>
      <c r="S142" s="11">
        <v>503.89</v>
      </c>
      <c r="T142" s="9" t="s">
        <v>41</v>
      </c>
      <c r="U142" s="9" t="s">
        <v>41</v>
      </c>
      <c r="V142" s="9" t="s">
        <v>41</v>
      </c>
      <c r="W142" s="13"/>
      <c r="X142" s="9" t="s">
        <v>41</v>
      </c>
      <c r="Y142" s="9" t="s">
        <v>41</v>
      </c>
      <c r="Z142" s="9" t="s">
        <v>41</v>
      </c>
      <c r="AA142" s="12">
        <v>200</v>
      </c>
      <c r="AB142" s="14" t="s">
        <v>41</v>
      </c>
      <c r="AC142" s="12">
        <v>186.81</v>
      </c>
      <c r="AD142" s="14" t="s">
        <v>41</v>
      </c>
      <c r="AE142" s="12">
        <v>69.209999999999994</v>
      </c>
      <c r="AF142" s="11"/>
      <c r="AJ142" s="11">
        <v>17708.38</v>
      </c>
      <c r="AK142" s="14" t="s">
        <v>41</v>
      </c>
      <c r="AL142" s="11">
        <v>17708.38</v>
      </c>
      <c r="AM142" s="13"/>
      <c r="AN142" s="13"/>
      <c r="AO142" s="13"/>
      <c r="AP142" s="13"/>
      <c r="AQ142" s="13"/>
      <c r="AR142" s="13"/>
    </row>
    <row r="143" spans="1:44" ht="15.75" customHeight="1">
      <c r="A143" s="9" t="s">
        <v>282</v>
      </c>
      <c r="B143" s="9" t="s">
        <v>150</v>
      </c>
      <c r="C143" s="17" t="s">
        <v>198</v>
      </c>
      <c r="D143" s="11">
        <v>2321.7399999999998</v>
      </c>
      <c r="E143" s="11">
        <v>15.82</v>
      </c>
      <c r="F143" s="11">
        <v>72.22</v>
      </c>
      <c r="G143" s="11">
        <v>182.92</v>
      </c>
      <c r="H143" s="11">
        <v>33.28</v>
      </c>
      <c r="I143" s="11">
        <v>14.68</v>
      </c>
      <c r="J143" s="11">
        <v>75.19</v>
      </c>
      <c r="K143" s="11">
        <v>64.22</v>
      </c>
      <c r="L143" s="11">
        <v>59.74</v>
      </c>
      <c r="M143" s="11">
        <v>2.96</v>
      </c>
      <c r="N143" s="11">
        <v>24.76</v>
      </c>
      <c r="O143" s="11">
        <v>14.93</v>
      </c>
      <c r="P143" s="11">
        <v>253.81</v>
      </c>
      <c r="Q143" s="11">
        <v>12.75</v>
      </c>
      <c r="R143" s="11">
        <v>32.85</v>
      </c>
      <c r="S143" s="11">
        <v>238.85</v>
      </c>
      <c r="T143" s="9" t="s">
        <v>41</v>
      </c>
      <c r="U143" s="9" t="s">
        <v>41</v>
      </c>
      <c r="V143" s="9" t="s">
        <v>41</v>
      </c>
      <c r="W143" s="13"/>
      <c r="X143" s="11">
        <v>2.71</v>
      </c>
      <c r="Y143" s="9" t="s">
        <v>41</v>
      </c>
      <c r="Z143" s="9" t="s">
        <v>41</v>
      </c>
      <c r="AA143" s="14" t="s">
        <v>41</v>
      </c>
      <c r="AB143" s="14" t="s">
        <v>41</v>
      </c>
      <c r="AC143" s="14" t="s">
        <v>41</v>
      </c>
      <c r="AD143" s="14" t="s">
        <v>41</v>
      </c>
      <c r="AE143" s="14" t="s">
        <v>41</v>
      </c>
      <c r="AF143" s="11"/>
      <c r="AJ143" s="11">
        <v>3423.43</v>
      </c>
      <c r="AK143" s="14" t="s">
        <v>41</v>
      </c>
      <c r="AL143" s="11">
        <v>3423.43</v>
      </c>
      <c r="AM143" s="13"/>
      <c r="AN143" s="13"/>
      <c r="AO143" s="13"/>
      <c r="AP143" s="13"/>
      <c r="AQ143" s="13"/>
      <c r="AR143" s="13"/>
    </row>
    <row r="144" spans="1:44" ht="15.75" customHeight="1">
      <c r="A144" s="9" t="s">
        <v>283</v>
      </c>
      <c r="B144" s="9" t="s">
        <v>152</v>
      </c>
      <c r="C144" s="17" t="s">
        <v>198</v>
      </c>
      <c r="D144" s="9" t="s">
        <v>41</v>
      </c>
      <c r="E144" s="9" t="s">
        <v>41</v>
      </c>
      <c r="F144" s="9" t="s">
        <v>41</v>
      </c>
      <c r="G144" s="9" t="s">
        <v>41</v>
      </c>
      <c r="H144" s="9" t="s">
        <v>41</v>
      </c>
      <c r="I144" s="9" t="s">
        <v>41</v>
      </c>
      <c r="J144" s="9" t="s">
        <v>41</v>
      </c>
      <c r="K144" s="9" t="s">
        <v>41</v>
      </c>
      <c r="L144" s="9" t="s">
        <v>41</v>
      </c>
      <c r="M144" s="9" t="s">
        <v>41</v>
      </c>
      <c r="N144" s="9" t="s">
        <v>41</v>
      </c>
      <c r="O144" s="9" t="s">
        <v>41</v>
      </c>
      <c r="P144" s="9" t="s">
        <v>41</v>
      </c>
      <c r="Q144" s="9" t="s">
        <v>41</v>
      </c>
      <c r="R144" s="9" t="s">
        <v>41</v>
      </c>
      <c r="S144" s="9" t="s">
        <v>41</v>
      </c>
      <c r="T144" s="9" t="s">
        <v>41</v>
      </c>
      <c r="U144" s="9" t="s">
        <v>41</v>
      </c>
      <c r="V144" s="9" t="s">
        <v>41</v>
      </c>
      <c r="W144" s="13"/>
      <c r="X144" s="9" t="s">
        <v>41</v>
      </c>
      <c r="Y144" s="11">
        <v>35979.120000000003</v>
      </c>
      <c r="Z144" s="9" t="s">
        <v>41</v>
      </c>
      <c r="AA144" s="14" t="s">
        <v>41</v>
      </c>
      <c r="AB144" s="14" t="s">
        <v>41</v>
      </c>
      <c r="AC144" s="14" t="s">
        <v>41</v>
      </c>
      <c r="AD144" s="14" t="s">
        <v>41</v>
      </c>
      <c r="AE144" s="14" t="s">
        <v>41</v>
      </c>
      <c r="AF144" s="11"/>
      <c r="AJ144" s="11">
        <v>35979.120000000003</v>
      </c>
      <c r="AK144" s="14" t="s">
        <v>41</v>
      </c>
      <c r="AL144" s="11">
        <v>35979.120000000003</v>
      </c>
      <c r="AM144" s="13"/>
      <c r="AN144" s="13"/>
      <c r="AO144" s="13"/>
      <c r="AP144" s="13"/>
      <c r="AQ144" s="13"/>
      <c r="AR144" s="13"/>
    </row>
    <row r="145" spans="1:44" ht="15.75" customHeight="1">
      <c r="A145" s="9" t="s">
        <v>284</v>
      </c>
      <c r="B145" s="9" t="s">
        <v>154</v>
      </c>
      <c r="C145" s="17" t="s">
        <v>198</v>
      </c>
      <c r="D145" s="11">
        <v>2370.19</v>
      </c>
      <c r="E145" s="11">
        <v>12.39</v>
      </c>
      <c r="F145" s="11">
        <v>62.12</v>
      </c>
      <c r="G145" s="11">
        <v>146.63999999999999</v>
      </c>
      <c r="H145" s="11">
        <v>57.82</v>
      </c>
      <c r="I145" s="11">
        <v>6.09</v>
      </c>
      <c r="J145" s="11">
        <v>227.98</v>
      </c>
      <c r="K145" s="11">
        <v>74.75</v>
      </c>
      <c r="L145" s="11">
        <v>70.81</v>
      </c>
      <c r="M145" s="11">
        <v>0.37</v>
      </c>
      <c r="N145" s="11">
        <v>29.21</v>
      </c>
      <c r="O145" s="11">
        <v>12.11</v>
      </c>
      <c r="P145" s="11">
        <v>346.69</v>
      </c>
      <c r="Q145" s="11">
        <v>54.82</v>
      </c>
      <c r="R145" s="11">
        <v>40.950000000000003</v>
      </c>
      <c r="S145" s="11">
        <v>131.85</v>
      </c>
      <c r="T145" s="9" t="s">
        <v>41</v>
      </c>
      <c r="U145" s="9" t="s">
        <v>41</v>
      </c>
      <c r="V145" s="9" t="s">
        <v>41</v>
      </c>
      <c r="W145" s="13"/>
      <c r="X145" s="9" t="s">
        <v>41</v>
      </c>
      <c r="Y145" s="9" t="s">
        <v>41</v>
      </c>
      <c r="Z145" s="9" t="s">
        <v>41</v>
      </c>
      <c r="AA145" s="14" t="s">
        <v>41</v>
      </c>
      <c r="AB145" s="14" t="s">
        <v>41</v>
      </c>
      <c r="AC145" s="14" t="s">
        <v>41</v>
      </c>
      <c r="AD145" s="14" t="s">
        <v>41</v>
      </c>
      <c r="AE145" s="14" t="s">
        <v>41</v>
      </c>
      <c r="AF145" s="11"/>
      <c r="AJ145" s="11">
        <v>3644.8</v>
      </c>
      <c r="AK145" s="14" t="s">
        <v>41</v>
      </c>
      <c r="AL145" s="11">
        <v>3644.8</v>
      </c>
      <c r="AM145" s="13"/>
      <c r="AN145" s="13"/>
      <c r="AO145" s="13"/>
      <c r="AP145" s="13"/>
      <c r="AQ145" s="13"/>
      <c r="AR145" s="13"/>
    </row>
    <row r="146" spans="1:44" ht="15.75" customHeight="1">
      <c r="A146" s="9" t="s">
        <v>285</v>
      </c>
      <c r="B146" s="9" t="s">
        <v>156</v>
      </c>
      <c r="C146" s="17" t="s">
        <v>198</v>
      </c>
      <c r="D146" s="11">
        <v>257.16000000000003</v>
      </c>
      <c r="E146" s="11">
        <v>2.81</v>
      </c>
      <c r="F146" s="11">
        <v>7.82</v>
      </c>
      <c r="G146" s="11">
        <v>62.92</v>
      </c>
      <c r="H146" s="11">
        <v>8.34</v>
      </c>
      <c r="I146" s="11">
        <v>6.64</v>
      </c>
      <c r="J146" s="11">
        <v>51.69</v>
      </c>
      <c r="K146" s="11">
        <v>57.68</v>
      </c>
      <c r="L146" s="11">
        <v>15.36</v>
      </c>
      <c r="M146" s="11">
        <v>1.76</v>
      </c>
      <c r="N146" s="11">
        <v>2.4</v>
      </c>
      <c r="O146" s="11">
        <v>7.05</v>
      </c>
      <c r="P146" s="11">
        <v>22.9</v>
      </c>
      <c r="Q146" s="11">
        <v>4.24</v>
      </c>
      <c r="R146" s="11">
        <v>3.57</v>
      </c>
      <c r="S146" s="11">
        <v>22.17</v>
      </c>
      <c r="T146" s="9" t="s">
        <v>41</v>
      </c>
      <c r="U146" s="9" t="s">
        <v>41</v>
      </c>
      <c r="V146" s="9" t="s">
        <v>41</v>
      </c>
      <c r="W146" s="13"/>
      <c r="X146" s="9" t="s">
        <v>41</v>
      </c>
      <c r="Y146" s="11">
        <v>884.35</v>
      </c>
      <c r="Z146" s="9" t="s">
        <v>41</v>
      </c>
      <c r="AA146" s="14" t="s">
        <v>41</v>
      </c>
      <c r="AB146" s="14" t="s">
        <v>41</v>
      </c>
      <c r="AC146" s="14" t="s">
        <v>41</v>
      </c>
      <c r="AD146" s="12">
        <v>33.96</v>
      </c>
      <c r="AE146" s="14" t="s">
        <v>41</v>
      </c>
      <c r="AF146" s="11"/>
      <c r="AJ146" s="11">
        <v>1452.83</v>
      </c>
      <c r="AK146" s="12">
        <v>0.24</v>
      </c>
      <c r="AL146" s="11">
        <v>1452.59</v>
      </c>
      <c r="AM146" s="13"/>
      <c r="AN146" s="13"/>
      <c r="AO146" s="13"/>
      <c r="AP146" s="13"/>
      <c r="AQ146" s="13"/>
      <c r="AR146" s="13"/>
    </row>
    <row r="147" spans="1:44" ht="15.75" customHeight="1">
      <c r="A147" s="9" t="s">
        <v>286</v>
      </c>
      <c r="B147" s="9" t="s">
        <v>158</v>
      </c>
      <c r="C147" s="17" t="s">
        <v>198</v>
      </c>
      <c r="D147" s="11">
        <v>338</v>
      </c>
      <c r="E147" s="11">
        <v>1.83</v>
      </c>
      <c r="F147" s="11">
        <v>2.79</v>
      </c>
      <c r="G147" s="11">
        <v>1.61</v>
      </c>
      <c r="H147" s="9" t="s">
        <v>41</v>
      </c>
      <c r="I147" s="11">
        <v>0.7</v>
      </c>
      <c r="J147" s="11">
        <v>16.149999999999999</v>
      </c>
      <c r="K147" s="11">
        <v>1</v>
      </c>
      <c r="L147" s="11">
        <v>4.57</v>
      </c>
      <c r="M147" s="9" t="s">
        <v>41</v>
      </c>
      <c r="N147" s="11">
        <v>5</v>
      </c>
      <c r="O147" s="11">
        <v>2.82</v>
      </c>
      <c r="P147" s="11">
        <v>37.35</v>
      </c>
      <c r="Q147" s="11">
        <v>1.96</v>
      </c>
      <c r="R147" s="11">
        <v>3</v>
      </c>
      <c r="S147" s="11">
        <v>206.37</v>
      </c>
      <c r="T147" s="9" t="s">
        <v>41</v>
      </c>
      <c r="U147" s="9" t="s">
        <v>41</v>
      </c>
      <c r="V147" s="9" t="s">
        <v>41</v>
      </c>
      <c r="W147" s="13"/>
      <c r="X147" s="9" t="s">
        <v>41</v>
      </c>
      <c r="Y147" s="9" t="s">
        <v>41</v>
      </c>
      <c r="Z147" s="9" t="s">
        <v>41</v>
      </c>
      <c r="AA147" s="12">
        <v>10</v>
      </c>
      <c r="AB147" s="14" t="s">
        <v>41</v>
      </c>
      <c r="AC147" s="14" t="s">
        <v>41</v>
      </c>
      <c r="AD147" s="12">
        <v>0.49</v>
      </c>
      <c r="AE147" s="14" t="s">
        <v>41</v>
      </c>
      <c r="AF147" s="11"/>
      <c r="AJ147" s="11">
        <v>633.62</v>
      </c>
      <c r="AK147" s="14" t="s">
        <v>41</v>
      </c>
      <c r="AL147" s="11">
        <v>633.62</v>
      </c>
      <c r="AM147" s="13"/>
      <c r="AN147" s="13"/>
      <c r="AO147" s="13"/>
      <c r="AP147" s="13"/>
      <c r="AQ147" s="13"/>
      <c r="AR147" s="13"/>
    </row>
    <row r="148" spans="1:44" ht="15.75" customHeight="1">
      <c r="A148" s="9" t="s">
        <v>287</v>
      </c>
      <c r="B148" s="9" t="s">
        <v>164</v>
      </c>
      <c r="C148" s="17" t="s">
        <v>198</v>
      </c>
      <c r="D148" s="11">
        <v>295.79000000000002</v>
      </c>
      <c r="E148" s="9" t="s">
        <v>41</v>
      </c>
      <c r="F148" s="11">
        <v>8.4</v>
      </c>
      <c r="G148" s="11">
        <v>3.05</v>
      </c>
      <c r="H148" s="11">
        <v>0.45</v>
      </c>
      <c r="I148" s="11">
        <v>0.17</v>
      </c>
      <c r="J148" s="11">
        <v>62.55</v>
      </c>
      <c r="K148" s="11">
        <v>1.7</v>
      </c>
      <c r="L148" s="11">
        <v>1.01</v>
      </c>
      <c r="M148" s="9" t="s">
        <v>41</v>
      </c>
      <c r="N148" s="11">
        <v>2.2000000000000002</v>
      </c>
      <c r="O148" s="11">
        <v>0.61</v>
      </c>
      <c r="P148" s="11">
        <v>30.37</v>
      </c>
      <c r="Q148" s="11">
        <v>0.41</v>
      </c>
      <c r="R148" s="11">
        <v>1.43</v>
      </c>
      <c r="S148" s="11">
        <v>4.1500000000000004</v>
      </c>
      <c r="T148" s="9" t="s">
        <v>41</v>
      </c>
      <c r="U148" s="9" t="s">
        <v>41</v>
      </c>
      <c r="V148" s="11">
        <v>15.9</v>
      </c>
      <c r="W148" s="13"/>
      <c r="X148" s="9" t="s">
        <v>41</v>
      </c>
      <c r="Y148" s="9" t="s">
        <v>41</v>
      </c>
      <c r="Z148" s="9" t="s">
        <v>41</v>
      </c>
      <c r="AA148" s="14" t="s">
        <v>41</v>
      </c>
      <c r="AB148" s="14" t="s">
        <v>41</v>
      </c>
      <c r="AC148" s="12">
        <v>19.989999999999998</v>
      </c>
      <c r="AD148" s="12">
        <v>2</v>
      </c>
      <c r="AE148" s="14" t="s">
        <v>41</v>
      </c>
      <c r="AF148" s="11"/>
      <c r="AJ148" s="11">
        <v>450.2</v>
      </c>
      <c r="AK148" s="14" t="s">
        <v>41</v>
      </c>
      <c r="AL148" s="11">
        <v>450.2</v>
      </c>
      <c r="AM148" s="13"/>
      <c r="AN148" s="13"/>
      <c r="AO148" s="13"/>
      <c r="AP148" s="13"/>
      <c r="AQ148" s="13"/>
      <c r="AR148" s="13"/>
    </row>
    <row r="149" spans="1:44" ht="15.75" customHeight="1">
      <c r="A149" s="9" t="s">
        <v>288</v>
      </c>
      <c r="B149" s="9" t="s">
        <v>166</v>
      </c>
      <c r="C149" s="17" t="s">
        <v>198</v>
      </c>
      <c r="D149" s="11">
        <v>1081.19</v>
      </c>
      <c r="E149" s="9" t="s">
        <v>41</v>
      </c>
      <c r="F149" s="11">
        <v>3.87</v>
      </c>
      <c r="G149" s="11">
        <v>26.59</v>
      </c>
      <c r="H149" s="11">
        <v>2.67</v>
      </c>
      <c r="I149" s="11">
        <v>3.7</v>
      </c>
      <c r="J149" s="11">
        <v>140.16</v>
      </c>
      <c r="K149" s="11">
        <v>7.19</v>
      </c>
      <c r="L149" s="11">
        <v>22.27</v>
      </c>
      <c r="M149" s="9" t="s">
        <v>41</v>
      </c>
      <c r="N149" s="11">
        <v>4.6399999999999997</v>
      </c>
      <c r="O149" s="11">
        <v>0.26</v>
      </c>
      <c r="P149" s="11">
        <v>108.2</v>
      </c>
      <c r="Q149" s="11">
        <v>8.0500000000000007</v>
      </c>
      <c r="R149" s="11">
        <v>9.8800000000000008</v>
      </c>
      <c r="S149" s="11">
        <v>15.69</v>
      </c>
      <c r="T149" s="9" t="s">
        <v>41</v>
      </c>
      <c r="U149" s="9" t="s">
        <v>41</v>
      </c>
      <c r="V149" s="11">
        <v>15.66</v>
      </c>
      <c r="W149" s="13"/>
      <c r="X149" s="9" t="s">
        <v>41</v>
      </c>
      <c r="Y149" s="9" t="s">
        <v>41</v>
      </c>
      <c r="Z149" s="9" t="s">
        <v>41</v>
      </c>
      <c r="AA149" s="12">
        <v>18.75</v>
      </c>
      <c r="AB149" s="14" t="s">
        <v>41</v>
      </c>
      <c r="AC149" s="12">
        <v>12</v>
      </c>
      <c r="AD149" s="12">
        <v>0.87</v>
      </c>
      <c r="AE149" s="12">
        <v>0.25</v>
      </c>
      <c r="AF149" s="11"/>
      <c r="AJ149" s="11">
        <v>1481.89</v>
      </c>
      <c r="AK149" s="14" t="s">
        <v>41</v>
      </c>
      <c r="AL149" s="11">
        <v>1481.89</v>
      </c>
      <c r="AM149" s="13"/>
      <c r="AN149" s="13"/>
      <c r="AO149" s="13"/>
      <c r="AP149" s="13"/>
      <c r="AQ149" s="13"/>
      <c r="AR149" s="13"/>
    </row>
    <row r="150" spans="1:44" ht="15.75" customHeight="1">
      <c r="A150" s="9" t="s">
        <v>289</v>
      </c>
      <c r="B150" s="9" t="s">
        <v>168</v>
      </c>
      <c r="C150" s="17" t="s">
        <v>198</v>
      </c>
      <c r="D150" s="11">
        <v>8550.73</v>
      </c>
      <c r="E150" s="11">
        <v>535.65</v>
      </c>
      <c r="F150" s="11">
        <v>88.3</v>
      </c>
      <c r="G150" s="11">
        <v>672.59</v>
      </c>
      <c r="H150" s="11">
        <v>82.89</v>
      </c>
      <c r="I150" s="11">
        <v>266.10000000000002</v>
      </c>
      <c r="J150" s="11">
        <v>3594.73</v>
      </c>
      <c r="K150" s="11">
        <v>1495.45</v>
      </c>
      <c r="L150" s="11">
        <v>2121.4299999999998</v>
      </c>
      <c r="M150" s="11">
        <v>415.45</v>
      </c>
      <c r="N150" s="11">
        <v>48.29</v>
      </c>
      <c r="O150" s="11">
        <v>7.25</v>
      </c>
      <c r="P150" s="11">
        <v>263.66000000000003</v>
      </c>
      <c r="Q150" s="11">
        <v>73.92</v>
      </c>
      <c r="R150" s="11">
        <v>88.56</v>
      </c>
      <c r="S150" s="11">
        <v>2012.28</v>
      </c>
      <c r="T150" s="9" t="s">
        <v>41</v>
      </c>
      <c r="U150" s="9" t="s">
        <v>41</v>
      </c>
      <c r="V150" s="11">
        <v>15.89</v>
      </c>
      <c r="W150" s="13"/>
      <c r="X150" s="9" t="s">
        <v>41</v>
      </c>
      <c r="Y150" s="9" t="s">
        <v>41</v>
      </c>
      <c r="Z150" s="9" t="s">
        <v>41</v>
      </c>
      <c r="AA150" s="14" t="s">
        <v>41</v>
      </c>
      <c r="AB150" s="14" t="s">
        <v>41</v>
      </c>
      <c r="AC150" s="14" t="s">
        <v>41</v>
      </c>
      <c r="AD150" s="14" t="s">
        <v>41</v>
      </c>
      <c r="AE150" s="14" t="s">
        <v>41</v>
      </c>
      <c r="AF150" s="11"/>
      <c r="AJ150" s="11">
        <v>20333.16</v>
      </c>
      <c r="AK150" s="12">
        <v>7.56</v>
      </c>
      <c r="AL150" s="11">
        <v>20325.61</v>
      </c>
      <c r="AM150" s="13"/>
      <c r="AN150" s="13"/>
      <c r="AO150" s="13"/>
      <c r="AP150" s="13"/>
      <c r="AQ150" s="13"/>
      <c r="AR150" s="13"/>
    </row>
    <row r="151" spans="1:44" ht="15.75" customHeight="1">
      <c r="A151" s="9" t="s">
        <v>290</v>
      </c>
      <c r="B151" s="9" t="s">
        <v>173</v>
      </c>
      <c r="C151" s="17" t="s">
        <v>198</v>
      </c>
      <c r="D151" s="11">
        <v>2435.9699999999998</v>
      </c>
      <c r="E151" s="11">
        <v>63.19</v>
      </c>
      <c r="F151" s="11">
        <v>25.28</v>
      </c>
      <c r="G151" s="11">
        <v>320.41000000000003</v>
      </c>
      <c r="H151" s="11">
        <v>423.8</v>
      </c>
      <c r="I151" s="11">
        <v>44.57</v>
      </c>
      <c r="J151" s="11">
        <v>321.5</v>
      </c>
      <c r="K151" s="11">
        <v>226.77</v>
      </c>
      <c r="L151" s="11">
        <v>151.47999999999999</v>
      </c>
      <c r="M151" s="11">
        <v>20.43</v>
      </c>
      <c r="N151" s="11">
        <v>2.62</v>
      </c>
      <c r="O151" s="11">
        <v>102.95</v>
      </c>
      <c r="P151" s="11">
        <v>585.65</v>
      </c>
      <c r="Q151" s="11">
        <v>104.45</v>
      </c>
      <c r="R151" s="11">
        <v>10.63</v>
      </c>
      <c r="S151" s="11">
        <v>997.41</v>
      </c>
      <c r="T151" s="9" t="s">
        <v>41</v>
      </c>
      <c r="U151" s="9" t="s">
        <v>41</v>
      </c>
      <c r="V151" s="11">
        <v>2.4900000000000002</v>
      </c>
      <c r="W151" s="13"/>
      <c r="X151" s="9" t="s">
        <v>41</v>
      </c>
      <c r="Y151" s="9" t="s">
        <v>41</v>
      </c>
      <c r="Z151" s="9" t="s">
        <v>41</v>
      </c>
      <c r="AA151" s="14" t="s">
        <v>41</v>
      </c>
      <c r="AB151" s="14" t="s">
        <v>41</v>
      </c>
      <c r="AC151" s="14" t="s">
        <v>41</v>
      </c>
      <c r="AD151" s="12">
        <v>11.91</v>
      </c>
      <c r="AE151" s="12">
        <v>14.23</v>
      </c>
      <c r="AF151" s="11"/>
      <c r="AJ151" s="11">
        <v>5865.75</v>
      </c>
      <c r="AK151" s="14" t="s">
        <v>41</v>
      </c>
      <c r="AL151" s="11">
        <v>5865.75</v>
      </c>
      <c r="AM151" s="13"/>
      <c r="AN151" s="13"/>
      <c r="AO151" s="13"/>
      <c r="AP151" s="13"/>
      <c r="AQ151" s="13"/>
      <c r="AR151" s="13"/>
    </row>
    <row r="152" spans="1:44" ht="15.75" customHeight="1">
      <c r="A152" s="9" t="s">
        <v>291</v>
      </c>
      <c r="B152" s="9" t="s">
        <v>170</v>
      </c>
      <c r="C152" s="17" t="s">
        <v>198</v>
      </c>
      <c r="D152" s="11">
        <v>2912.24</v>
      </c>
      <c r="E152" s="9" t="s">
        <v>41</v>
      </c>
      <c r="F152" s="9" t="s">
        <v>41</v>
      </c>
      <c r="G152" s="11">
        <v>1071.02</v>
      </c>
      <c r="H152" s="11">
        <v>937.12</v>
      </c>
      <c r="I152" s="11">
        <v>48.48</v>
      </c>
      <c r="J152" s="11">
        <v>3.18</v>
      </c>
      <c r="K152" s="11">
        <v>107.68</v>
      </c>
      <c r="L152" s="11">
        <v>148.33000000000001</v>
      </c>
      <c r="M152" s="11">
        <v>22.11</v>
      </c>
      <c r="N152" s="11">
        <v>19.98</v>
      </c>
      <c r="O152" s="11">
        <v>24.33</v>
      </c>
      <c r="P152" s="9" t="s">
        <v>41</v>
      </c>
      <c r="Q152" s="11">
        <v>31.18</v>
      </c>
      <c r="R152" s="11">
        <v>33.94</v>
      </c>
      <c r="S152" s="11">
        <v>487.81</v>
      </c>
      <c r="T152" s="9" t="s">
        <v>41</v>
      </c>
      <c r="U152" s="9" t="s">
        <v>41</v>
      </c>
      <c r="V152" s="11">
        <v>865.55</v>
      </c>
      <c r="W152" s="13"/>
      <c r="X152" s="11">
        <v>930.92</v>
      </c>
      <c r="Y152" s="9" t="s">
        <v>41</v>
      </c>
      <c r="Z152" s="9" t="s">
        <v>41</v>
      </c>
      <c r="AA152" s="14" t="s">
        <v>41</v>
      </c>
      <c r="AB152" s="14" t="s">
        <v>41</v>
      </c>
      <c r="AC152" s="12">
        <v>64.430000000000007</v>
      </c>
      <c r="AD152" s="12">
        <v>30.16</v>
      </c>
      <c r="AE152" s="12">
        <v>11.98</v>
      </c>
      <c r="AF152" s="11"/>
      <c r="AJ152" s="11">
        <v>7750.44</v>
      </c>
      <c r="AK152" s="14" t="s">
        <v>41</v>
      </c>
      <c r="AL152" s="11">
        <v>7750.44</v>
      </c>
      <c r="AM152" s="13"/>
      <c r="AN152" s="13"/>
      <c r="AO152" s="13"/>
      <c r="AP152" s="13"/>
      <c r="AQ152" s="13"/>
      <c r="AR152" s="13"/>
    </row>
    <row r="153" spans="1:44" ht="15.75" customHeight="1">
      <c r="A153" s="9" t="s">
        <v>292</v>
      </c>
      <c r="B153" s="9" t="s">
        <v>293</v>
      </c>
      <c r="C153" s="17" t="s">
        <v>198</v>
      </c>
      <c r="D153" s="11">
        <v>10398.51</v>
      </c>
      <c r="E153" s="9" t="s">
        <v>41</v>
      </c>
      <c r="F153" s="9" t="s">
        <v>41</v>
      </c>
      <c r="G153" s="11">
        <v>4806.84</v>
      </c>
      <c r="H153" s="11">
        <v>1592.92</v>
      </c>
      <c r="I153" s="11">
        <v>138.74</v>
      </c>
      <c r="J153" s="9" t="s">
        <v>41</v>
      </c>
      <c r="K153" s="11">
        <v>146.04</v>
      </c>
      <c r="L153" s="11">
        <v>219.87</v>
      </c>
      <c r="M153" s="11">
        <v>11.6</v>
      </c>
      <c r="N153" s="11">
        <v>54.46</v>
      </c>
      <c r="O153" s="11">
        <v>51.91</v>
      </c>
      <c r="P153" s="9" t="s">
        <v>41</v>
      </c>
      <c r="Q153" s="11">
        <v>83.57</v>
      </c>
      <c r="R153" s="11">
        <v>15.95</v>
      </c>
      <c r="S153" s="11">
        <v>2282.5100000000002</v>
      </c>
      <c r="T153" s="9" t="s">
        <v>41</v>
      </c>
      <c r="U153" s="9" t="s">
        <v>41</v>
      </c>
      <c r="V153" s="11">
        <v>3976.18</v>
      </c>
      <c r="W153" s="13"/>
      <c r="X153" s="11">
        <v>3149.95</v>
      </c>
      <c r="Y153" s="9" t="s">
        <v>41</v>
      </c>
      <c r="Z153" s="9" t="s">
        <v>41</v>
      </c>
      <c r="AA153" s="14" t="s">
        <v>41</v>
      </c>
      <c r="AB153" s="14" t="s">
        <v>41</v>
      </c>
      <c r="AC153" s="12">
        <v>180.97</v>
      </c>
      <c r="AD153" s="12">
        <v>88.02</v>
      </c>
      <c r="AE153" s="12">
        <v>82.67</v>
      </c>
      <c r="AF153" s="11"/>
      <c r="AJ153" s="11">
        <v>27280.71</v>
      </c>
      <c r="AK153" s="14" t="s">
        <v>41</v>
      </c>
      <c r="AL153" s="11">
        <v>27280.71</v>
      </c>
      <c r="AM153" s="13"/>
      <c r="AN153" s="13"/>
      <c r="AO153" s="13"/>
      <c r="AP153" s="13"/>
      <c r="AQ153" s="13"/>
      <c r="AR153" s="13"/>
    </row>
    <row r="154" spans="1:44" ht="15.75" customHeight="1">
      <c r="A154" s="9" t="s">
        <v>294</v>
      </c>
      <c r="B154" s="9" t="s">
        <v>176</v>
      </c>
      <c r="C154" s="17" t="s">
        <v>198</v>
      </c>
      <c r="D154" s="11">
        <v>203.26</v>
      </c>
      <c r="E154" s="9" t="s">
        <v>41</v>
      </c>
      <c r="F154" s="11">
        <v>12.28</v>
      </c>
      <c r="G154" s="11">
        <v>96.99</v>
      </c>
      <c r="H154" s="11">
        <v>45.51</v>
      </c>
      <c r="I154" s="11">
        <v>10.71</v>
      </c>
      <c r="J154" s="11">
        <v>50.69</v>
      </c>
      <c r="K154" s="11">
        <v>131.57</v>
      </c>
      <c r="L154" s="11">
        <v>114.02</v>
      </c>
      <c r="M154" s="9" t="s">
        <v>41</v>
      </c>
      <c r="N154" s="11">
        <v>8.2200000000000006</v>
      </c>
      <c r="O154" s="11">
        <v>0.11</v>
      </c>
      <c r="P154" s="9" t="s">
        <v>41</v>
      </c>
      <c r="Q154" s="11">
        <v>6.44</v>
      </c>
      <c r="R154" s="11">
        <v>8.69</v>
      </c>
      <c r="S154" s="11">
        <v>31.49</v>
      </c>
      <c r="T154" s="9" t="s">
        <v>41</v>
      </c>
      <c r="U154" s="9" t="s">
        <v>41</v>
      </c>
      <c r="V154" s="11">
        <v>22.57</v>
      </c>
      <c r="W154" s="13"/>
      <c r="X154" s="9" t="s">
        <v>41</v>
      </c>
      <c r="Y154" s="9" t="s">
        <v>41</v>
      </c>
      <c r="Z154" s="9" t="s">
        <v>41</v>
      </c>
      <c r="AA154" s="14" t="s">
        <v>41</v>
      </c>
      <c r="AB154" s="12">
        <v>39.97</v>
      </c>
      <c r="AC154" s="12">
        <v>12.78</v>
      </c>
      <c r="AD154" s="12">
        <v>34.880000000000003</v>
      </c>
      <c r="AE154" s="14" t="s">
        <v>41</v>
      </c>
      <c r="AF154" s="11"/>
      <c r="AJ154" s="11">
        <v>830.18</v>
      </c>
      <c r="AK154" s="14" t="s">
        <v>41</v>
      </c>
      <c r="AL154" s="11">
        <v>830.18</v>
      </c>
      <c r="AM154" s="13"/>
      <c r="AN154" s="13"/>
      <c r="AO154" s="13"/>
      <c r="AP154" s="13"/>
      <c r="AQ154" s="13"/>
      <c r="AR154" s="13"/>
    </row>
    <row r="155" spans="1:44" ht="15.75" customHeight="1">
      <c r="A155" s="9" t="s">
        <v>295</v>
      </c>
      <c r="B155" s="9" t="s">
        <v>178</v>
      </c>
      <c r="C155" s="17" t="s">
        <v>198</v>
      </c>
      <c r="D155" s="11">
        <v>188.29</v>
      </c>
      <c r="E155" s="9" t="s">
        <v>41</v>
      </c>
      <c r="F155" s="11">
        <v>1.02</v>
      </c>
      <c r="G155" s="11">
        <v>34.82</v>
      </c>
      <c r="H155" s="11">
        <v>20</v>
      </c>
      <c r="I155" s="11">
        <v>7.46</v>
      </c>
      <c r="J155" s="11">
        <v>126</v>
      </c>
      <c r="K155" s="11">
        <v>0.01</v>
      </c>
      <c r="L155" s="11">
        <v>2.98</v>
      </c>
      <c r="M155" s="9" t="s">
        <v>41</v>
      </c>
      <c r="N155" s="11">
        <v>6.34</v>
      </c>
      <c r="O155" s="11">
        <v>0.64</v>
      </c>
      <c r="P155" s="11">
        <v>22.36</v>
      </c>
      <c r="Q155" s="11">
        <v>3.37</v>
      </c>
      <c r="R155" s="11">
        <v>9.3699999999999992</v>
      </c>
      <c r="S155" s="11">
        <v>99.18</v>
      </c>
      <c r="T155" s="9" t="s">
        <v>41</v>
      </c>
      <c r="U155" s="9" t="s">
        <v>41</v>
      </c>
      <c r="V155" s="9" t="s">
        <v>41</v>
      </c>
      <c r="W155" s="13"/>
      <c r="X155" s="9" t="s">
        <v>41</v>
      </c>
      <c r="Y155" s="9" t="s">
        <v>41</v>
      </c>
      <c r="Z155" s="9" t="s">
        <v>41</v>
      </c>
      <c r="AA155" s="12">
        <v>15.16</v>
      </c>
      <c r="AB155" s="14" t="s">
        <v>41</v>
      </c>
      <c r="AC155" s="14" t="s">
        <v>41</v>
      </c>
      <c r="AD155" s="14" t="s">
        <v>41</v>
      </c>
      <c r="AE155" s="14" t="s">
        <v>41</v>
      </c>
      <c r="AF155" s="11"/>
      <c r="AJ155" s="11">
        <v>537</v>
      </c>
      <c r="AK155" s="14" t="s">
        <v>41</v>
      </c>
      <c r="AL155" s="11">
        <v>537</v>
      </c>
      <c r="AM155" s="13"/>
      <c r="AN155" s="13"/>
      <c r="AO155" s="13"/>
      <c r="AP155" s="13"/>
      <c r="AQ155" s="13"/>
      <c r="AR155" s="13"/>
    </row>
    <row r="156" spans="1:44" ht="15.75" customHeight="1">
      <c r="A156" s="9" t="s">
        <v>296</v>
      </c>
      <c r="B156" s="9" t="s">
        <v>181</v>
      </c>
      <c r="C156" s="17" t="s">
        <v>198</v>
      </c>
      <c r="D156" s="11">
        <v>1800.14</v>
      </c>
      <c r="E156" s="11">
        <v>9.76</v>
      </c>
      <c r="F156" s="11">
        <v>34.1</v>
      </c>
      <c r="G156" s="11">
        <v>96</v>
      </c>
      <c r="H156" s="11">
        <v>10.19</v>
      </c>
      <c r="I156" s="11">
        <v>106.45</v>
      </c>
      <c r="J156" s="11">
        <v>11.34</v>
      </c>
      <c r="K156" s="11">
        <v>47.56</v>
      </c>
      <c r="L156" s="11">
        <v>87</v>
      </c>
      <c r="M156" s="11">
        <v>3.65</v>
      </c>
      <c r="N156" s="11">
        <v>12.31</v>
      </c>
      <c r="O156" s="11">
        <v>12.2</v>
      </c>
      <c r="P156" s="11">
        <v>108.92</v>
      </c>
      <c r="Q156" s="11">
        <v>21.43</v>
      </c>
      <c r="R156" s="11">
        <v>18.739999999999998</v>
      </c>
      <c r="S156" s="11">
        <v>21.01</v>
      </c>
      <c r="T156" s="9" t="s">
        <v>41</v>
      </c>
      <c r="U156" s="9" t="s">
        <v>41</v>
      </c>
      <c r="V156" s="11">
        <v>7.47</v>
      </c>
      <c r="W156" s="13"/>
      <c r="X156" s="9" t="s">
        <v>41</v>
      </c>
      <c r="Y156" s="9" t="s">
        <v>41</v>
      </c>
      <c r="Z156" s="9" t="s">
        <v>41</v>
      </c>
      <c r="AA156" s="12">
        <v>2</v>
      </c>
      <c r="AB156" s="12">
        <v>0.06</v>
      </c>
      <c r="AC156" s="12">
        <v>0.8</v>
      </c>
      <c r="AD156" s="12">
        <v>5.84</v>
      </c>
      <c r="AE156" s="12">
        <v>7.86</v>
      </c>
      <c r="AF156" s="11"/>
      <c r="AJ156" s="11">
        <v>2424.8000000000002</v>
      </c>
      <c r="AK156" s="12">
        <v>14.49</v>
      </c>
      <c r="AL156" s="11">
        <v>2410.31</v>
      </c>
      <c r="AM156" s="13"/>
      <c r="AN156" s="13"/>
      <c r="AO156" s="13"/>
      <c r="AP156" s="13"/>
      <c r="AQ156" s="13"/>
      <c r="AR156" s="13"/>
    </row>
    <row r="157" spans="1:44" ht="15.75" customHeight="1">
      <c r="A157" s="9" t="s">
        <v>297</v>
      </c>
      <c r="B157" s="9" t="s">
        <v>183</v>
      </c>
      <c r="C157" s="17" t="s">
        <v>198</v>
      </c>
      <c r="D157" s="11">
        <v>275.45</v>
      </c>
      <c r="E157" s="9" t="s">
        <v>41</v>
      </c>
      <c r="F157" s="11">
        <v>11.41</v>
      </c>
      <c r="G157" s="11">
        <v>14.98</v>
      </c>
      <c r="H157" s="9" t="s">
        <v>41</v>
      </c>
      <c r="I157" s="11">
        <v>5.44</v>
      </c>
      <c r="J157" s="11">
        <v>40</v>
      </c>
      <c r="K157" s="11">
        <v>2.2599999999999998</v>
      </c>
      <c r="L157" s="11">
        <v>31.95</v>
      </c>
      <c r="M157" s="11">
        <v>0.13</v>
      </c>
      <c r="N157" s="11">
        <v>4.1500000000000004</v>
      </c>
      <c r="O157" s="11">
        <v>13.19</v>
      </c>
      <c r="P157" s="11">
        <v>33.229999999999997</v>
      </c>
      <c r="Q157" s="11">
        <v>4.05</v>
      </c>
      <c r="R157" s="11">
        <v>11.71</v>
      </c>
      <c r="S157" s="11">
        <v>10.68</v>
      </c>
      <c r="T157" s="9" t="s">
        <v>41</v>
      </c>
      <c r="U157" s="9" t="s">
        <v>41</v>
      </c>
      <c r="V157" s="11">
        <v>9.25</v>
      </c>
      <c r="W157" s="13"/>
      <c r="X157" s="9" t="s">
        <v>41</v>
      </c>
      <c r="Y157" s="9" t="s">
        <v>41</v>
      </c>
      <c r="Z157" s="9" t="s">
        <v>41</v>
      </c>
      <c r="AA157" s="12">
        <v>16.13</v>
      </c>
      <c r="AB157" s="12">
        <v>9.23</v>
      </c>
      <c r="AC157" s="14" t="s">
        <v>41</v>
      </c>
      <c r="AD157" s="12">
        <v>2.69</v>
      </c>
      <c r="AE157" s="12">
        <v>2.57</v>
      </c>
      <c r="AF157" s="11"/>
      <c r="AJ157" s="11">
        <v>498.5</v>
      </c>
      <c r="AK157" s="14" t="s">
        <v>41</v>
      </c>
      <c r="AL157" s="11">
        <v>498.5</v>
      </c>
      <c r="AM157" s="13"/>
      <c r="AN157" s="13"/>
      <c r="AO157" s="13"/>
      <c r="AP157" s="13"/>
      <c r="AQ157" s="13"/>
      <c r="AR157" s="13"/>
    </row>
    <row r="158" spans="1:44" ht="15.75" customHeight="1">
      <c r="A158" s="9" t="s">
        <v>298</v>
      </c>
      <c r="B158" s="9" t="s">
        <v>185</v>
      </c>
      <c r="C158" s="17" t="s">
        <v>198</v>
      </c>
      <c r="D158" s="11">
        <v>297084.15000000002</v>
      </c>
      <c r="E158" s="11">
        <v>26.71</v>
      </c>
      <c r="F158" s="11">
        <v>34.33</v>
      </c>
      <c r="G158" s="11">
        <v>34.25</v>
      </c>
      <c r="H158" s="11">
        <v>12.45</v>
      </c>
      <c r="I158" s="11">
        <v>0.86</v>
      </c>
      <c r="J158" s="11">
        <v>36.08</v>
      </c>
      <c r="K158" s="11">
        <v>896.86</v>
      </c>
      <c r="L158" s="11">
        <v>24.37</v>
      </c>
      <c r="M158" s="11">
        <v>0.53</v>
      </c>
      <c r="N158" s="11">
        <v>49.37</v>
      </c>
      <c r="O158" s="9" t="s">
        <v>41</v>
      </c>
      <c r="P158" s="11">
        <v>149.79</v>
      </c>
      <c r="Q158" s="11">
        <v>18.05</v>
      </c>
      <c r="R158" s="11">
        <v>47.81</v>
      </c>
      <c r="S158" s="11">
        <v>299.81</v>
      </c>
      <c r="T158" s="9" t="s">
        <v>41</v>
      </c>
      <c r="U158" s="9" t="s">
        <v>41</v>
      </c>
      <c r="V158" s="9" t="s">
        <v>41</v>
      </c>
      <c r="W158" s="13"/>
      <c r="X158" s="9" t="s">
        <v>41</v>
      </c>
      <c r="Y158" s="9" t="s">
        <v>41</v>
      </c>
      <c r="Z158" s="9" t="s">
        <v>41</v>
      </c>
      <c r="AA158" s="14" t="s">
        <v>41</v>
      </c>
      <c r="AB158" s="14" t="s">
        <v>41</v>
      </c>
      <c r="AC158" s="14" t="s">
        <v>41</v>
      </c>
      <c r="AD158" s="14" t="s">
        <v>41</v>
      </c>
      <c r="AE158" s="14" t="s">
        <v>41</v>
      </c>
      <c r="AF158" s="11"/>
      <c r="AJ158" s="11">
        <v>298715.43</v>
      </c>
      <c r="AK158" s="12">
        <v>594.65</v>
      </c>
      <c r="AL158" s="11">
        <v>298120.78000000003</v>
      </c>
      <c r="AM158" s="13"/>
      <c r="AN158" s="13"/>
      <c r="AO158" s="13"/>
      <c r="AP158" s="13"/>
      <c r="AQ158" s="13"/>
      <c r="AR158" s="13"/>
    </row>
    <row r="159" spans="1:44" ht="15.75" customHeight="1">
      <c r="A159" s="9" t="s">
        <v>299</v>
      </c>
      <c r="B159" s="9" t="s">
        <v>187</v>
      </c>
      <c r="C159" s="17" t="s">
        <v>198</v>
      </c>
      <c r="D159" s="11">
        <v>460.01</v>
      </c>
      <c r="E159" s="11">
        <v>2.99</v>
      </c>
      <c r="F159" s="11">
        <v>4.82</v>
      </c>
      <c r="G159" s="11">
        <v>17.809999999999999</v>
      </c>
      <c r="H159" s="11">
        <v>0.17</v>
      </c>
      <c r="I159" s="11">
        <v>0.5</v>
      </c>
      <c r="J159" s="11">
        <v>100.88</v>
      </c>
      <c r="K159" s="11">
        <v>2.74</v>
      </c>
      <c r="L159" s="11">
        <v>14.98</v>
      </c>
      <c r="M159" s="11">
        <v>1.64</v>
      </c>
      <c r="N159" s="11">
        <v>2.96</v>
      </c>
      <c r="O159" s="11">
        <v>0.9</v>
      </c>
      <c r="P159" s="11">
        <v>72.44</v>
      </c>
      <c r="Q159" s="11">
        <v>0.99</v>
      </c>
      <c r="R159" s="11">
        <v>1.86</v>
      </c>
      <c r="S159" s="11">
        <v>116.48</v>
      </c>
      <c r="T159" s="9" t="s">
        <v>41</v>
      </c>
      <c r="U159" s="9" t="s">
        <v>41</v>
      </c>
      <c r="V159" s="11">
        <v>10.96</v>
      </c>
      <c r="W159" s="13"/>
      <c r="X159" s="9" t="s">
        <v>41</v>
      </c>
      <c r="Y159" s="9" t="s">
        <v>41</v>
      </c>
      <c r="Z159" s="9" t="s">
        <v>41</v>
      </c>
      <c r="AA159" s="12">
        <v>26</v>
      </c>
      <c r="AB159" s="12">
        <v>54.07</v>
      </c>
      <c r="AC159" s="12">
        <v>20</v>
      </c>
      <c r="AD159" s="12">
        <v>5.29</v>
      </c>
      <c r="AE159" s="12">
        <v>39.770000000000003</v>
      </c>
      <c r="AF159" s="11"/>
      <c r="AJ159" s="11">
        <v>958.27</v>
      </c>
      <c r="AK159" s="14" t="s">
        <v>41</v>
      </c>
      <c r="AL159" s="11">
        <v>958.27</v>
      </c>
      <c r="AM159" s="13"/>
      <c r="AN159" s="13"/>
      <c r="AO159" s="13"/>
      <c r="AP159" s="13"/>
      <c r="AQ159" s="13"/>
      <c r="AR159" s="13"/>
    </row>
    <row r="160" spans="1:44" ht="15.75" customHeight="1">
      <c r="A160" s="9" t="s">
        <v>300</v>
      </c>
      <c r="B160" s="9" t="s">
        <v>58</v>
      </c>
      <c r="C160" s="17" t="s">
        <v>198</v>
      </c>
      <c r="D160" s="11">
        <v>19973.72</v>
      </c>
      <c r="E160" s="11">
        <v>378.36</v>
      </c>
      <c r="F160" s="11">
        <v>4.2</v>
      </c>
      <c r="G160" s="11">
        <v>86.16</v>
      </c>
      <c r="H160" s="9" t="s">
        <v>41</v>
      </c>
      <c r="I160" s="9" t="s">
        <v>41</v>
      </c>
      <c r="J160" s="11">
        <v>15.91</v>
      </c>
      <c r="K160" s="11">
        <v>6.16</v>
      </c>
      <c r="L160" s="11">
        <v>0</v>
      </c>
      <c r="M160" s="11">
        <v>1055.82</v>
      </c>
      <c r="N160" s="11">
        <v>82.16</v>
      </c>
      <c r="O160" s="11">
        <v>183.53</v>
      </c>
      <c r="P160" s="9" t="s">
        <v>41</v>
      </c>
      <c r="Q160" s="11">
        <v>15.97</v>
      </c>
      <c r="R160" s="11">
        <v>439.18</v>
      </c>
      <c r="S160" s="11">
        <v>2402.36</v>
      </c>
      <c r="T160" s="9" t="s">
        <v>41</v>
      </c>
      <c r="U160" s="9" t="s">
        <v>41</v>
      </c>
      <c r="V160" s="11">
        <v>0.11</v>
      </c>
      <c r="W160" s="13"/>
      <c r="X160" s="9" t="s">
        <v>41</v>
      </c>
      <c r="Y160" s="9" t="s">
        <v>41</v>
      </c>
      <c r="Z160" s="9" t="s">
        <v>41</v>
      </c>
      <c r="AA160" s="14" t="s">
        <v>41</v>
      </c>
      <c r="AB160" s="12">
        <v>15.05</v>
      </c>
      <c r="AC160" s="12">
        <v>6.92</v>
      </c>
      <c r="AD160" s="14" t="s">
        <v>41</v>
      </c>
      <c r="AE160" s="12">
        <v>394.59</v>
      </c>
      <c r="AF160" s="11"/>
      <c r="AJ160" s="11">
        <v>25060.21</v>
      </c>
      <c r="AK160" s="14" t="s">
        <v>41</v>
      </c>
      <c r="AL160" s="11">
        <v>25060.21</v>
      </c>
      <c r="AM160" s="13"/>
      <c r="AN160" s="13"/>
      <c r="AO160" s="13"/>
      <c r="AP160" s="13"/>
      <c r="AQ160" s="13"/>
      <c r="AR160" s="13"/>
    </row>
    <row r="161" spans="1:44" ht="15.75" customHeight="1">
      <c r="A161" s="9" t="s">
        <v>301</v>
      </c>
      <c r="B161" s="9" t="s">
        <v>188</v>
      </c>
      <c r="C161" s="17" t="s">
        <v>198</v>
      </c>
      <c r="D161" s="11">
        <v>4080.73</v>
      </c>
      <c r="E161" s="11">
        <v>6.51</v>
      </c>
      <c r="F161" s="11">
        <v>117.93</v>
      </c>
      <c r="G161" s="11">
        <v>409.75</v>
      </c>
      <c r="H161" s="11">
        <v>66.47</v>
      </c>
      <c r="I161" s="11">
        <v>15.26</v>
      </c>
      <c r="J161" s="11">
        <v>177.39</v>
      </c>
      <c r="K161" s="11">
        <v>40.409999999999997</v>
      </c>
      <c r="L161" s="11">
        <v>65.94</v>
      </c>
      <c r="M161" s="11">
        <v>5.09</v>
      </c>
      <c r="N161" s="11">
        <v>43.05</v>
      </c>
      <c r="O161" s="11">
        <v>109.3</v>
      </c>
      <c r="P161" s="11">
        <v>418.68</v>
      </c>
      <c r="Q161" s="11">
        <v>56.11</v>
      </c>
      <c r="R161" s="11">
        <v>42.69</v>
      </c>
      <c r="S161" s="11">
        <v>47.62</v>
      </c>
      <c r="T161" s="9" t="s">
        <v>41</v>
      </c>
      <c r="U161" s="9" t="s">
        <v>41</v>
      </c>
      <c r="V161" s="9" t="s">
        <v>41</v>
      </c>
      <c r="W161" s="13"/>
      <c r="X161" s="9" t="s">
        <v>41</v>
      </c>
      <c r="Y161" s="9" t="s">
        <v>41</v>
      </c>
      <c r="Z161" s="9" t="s">
        <v>41</v>
      </c>
      <c r="AA161" s="12">
        <v>66.11</v>
      </c>
      <c r="AB161" s="14" t="s">
        <v>41</v>
      </c>
      <c r="AC161" s="12">
        <v>58.65</v>
      </c>
      <c r="AD161" s="12">
        <v>32.54</v>
      </c>
      <c r="AE161" s="12">
        <v>73.61</v>
      </c>
      <c r="AF161" s="11"/>
      <c r="AJ161" s="11">
        <v>5933.85</v>
      </c>
      <c r="AK161" s="12">
        <v>384.84</v>
      </c>
      <c r="AL161" s="11">
        <v>5549.01</v>
      </c>
      <c r="AM161" s="13"/>
      <c r="AN161" s="13"/>
      <c r="AO161" s="13"/>
      <c r="AP161" s="13"/>
      <c r="AQ161" s="13"/>
      <c r="AR161" s="13"/>
    </row>
    <row r="162" spans="1:44" ht="15.75" customHeight="1">
      <c r="A162" s="9" t="s">
        <v>302</v>
      </c>
      <c r="B162" s="9" t="s">
        <v>190</v>
      </c>
      <c r="C162" s="17" t="s">
        <v>198</v>
      </c>
      <c r="D162" s="11">
        <v>316.72000000000003</v>
      </c>
      <c r="E162" s="9" t="s">
        <v>41</v>
      </c>
      <c r="F162" s="11">
        <v>11.95</v>
      </c>
      <c r="G162" s="11">
        <v>23.59</v>
      </c>
      <c r="H162" s="9" t="s">
        <v>41</v>
      </c>
      <c r="I162" s="11">
        <v>35.659999999999997</v>
      </c>
      <c r="J162" s="11">
        <v>0.7</v>
      </c>
      <c r="K162" s="11">
        <v>12.51</v>
      </c>
      <c r="L162" s="11">
        <v>11.41</v>
      </c>
      <c r="M162" s="11">
        <v>1.05</v>
      </c>
      <c r="N162" s="11">
        <v>6.02</v>
      </c>
      <c r="O162" s="11">
        <v>1.96</v>
      </c>
      <c r="P162" s="11">
        <v>42.94</v>
      </c>
      <c r="Q162" s="11">
        <v>6.89</v>
      </c>
      <c r="R162" s="11">
        <v>2.4700000000000002</v>
      </c>
      <c r="S162" s="11">
        <v>21.3</v>
      </c>
      <c r="T162" s="9" t="s">
        <v>41</v>
      </c>
      <c r="U162" s="9" t="s">
        <v>41</v>
      </c>
      <c r="V162" s="11">
        <v>44.63</v>
      </c>
      <c r="W162" s="13"/>
      <c r="X162" s="9" t="s">
        <v>41</v>
      </c>
      <c r="Y162" s="9" t="s">
        <v>41</v>
      </c>
      <c r="Z162" s="9" t="s">
        <v>41</v>
      </c>
      <c r="AA162" s="12">
        <v>49.59</v>
      </c>
      <c r="AB162" s="14" t="s">
        <v>41</v>
      </c>
      <c r="AC162" s="14" t="s">
        <v>41</v>
      </c>
      <c r="AD162" s="12">
        <v>3.29</v>
      </c>
      <c r="AE162" s="12">
        <v>3.79</v>
      </c>
      <c r="AF162" s="11"/>
      <c r="AJ162" s="11">
        <v>596.47</v>
      </c>
      <c r="AK162" s="14" t="s">
        <v>41</v>
      </c>
      <c r="AL162" s="11">
        <v>596.47</v>
      </c>
      <c r="AM162" s="13"/>
      <c r="AN162" s="13"/>
      <c r="AO162" s="13"/>
      <c r="AP162" s="13"/>
      <c r="AQ162" s="13"/>
      <c r="AR162" s="13"/>
    </row>
    <row r="163" spans="1:44" ht="15.75" customHeight="1">
      <c r="A163" s="9" t="s">
        <v>303</v>
      </c>
      <c r="B163" s="9" t="s">
        <v>192</v>
      </c>
      <c r="C163" s="17" t="s">
        <v>198</v>
      </c>
      <c r="D163" s="11">
        <v>364.13</v>
      </c>
      <c r="E163" s="11">
        <v>2.09</v>
      </c>
      <c r="F163" s="11">
        <v>12.03</v>
      </c>
      <c r="G163" s="11">
        <v>25.14</v>
      </c>
      <c r="H163" s="11">
        <v>10.199999999999999</v>
      </c>
      <c r="I163" s="11">
        <v>1.9</v>
      </c>
      <c r="J163" s="11">
        <v>48.8</v>
      </c>
      <c r="K163" s="11">
        <v>2.84</v>
      </c>
      <c r="L163" s="11">
        <v>9.43</v>
      </c>
      <c r="M163" s="11">
        <v>0.34</v>
      </c>
      <c r="N163" s="11">
        <v>4.28</v>
      </c>
      <c r="O163" s="11">
        <v>3.29</v>
      </c>
      <c r="P163" s="11">
        <v>28.03</v>
      </c>
      <c r="Q163" s="11">
        <v>7.13</v>
      </c>
      <c r="R163" s="11">
        <v>3.38</v>
      </c>
      <c r="S163" s="11">
        <v>5.25</v>
      </c>
      <c r="T163" s="9" t="s">
        <v>41</v>
      </c>
      <c r="U163" s="9" t="s">
        <v>41</v>
      </c>
      <c r="V163" s="11">
        <v>10.01</v>
      </c>
      <c r="W163" s="13"/>
      <c r="X163" s="9" t="s">
        <v>41</v>
      </c>
      <c r="Y163" s="9" t="s">
        <v>41</v>
      </c>
      <c r="Z163" s="9" t="s">
        <v>41</v>
      </c>
      <c r="AA163" s="12">
        <v>12.25</v>
      </c>
      <c r="AB163" s="12">
        <v>2</v>
      </c>
      <c r="AC163" s="12">
        <v>11.93</v>
      </c>
      <c r="AD163" s="12">
        <v>1.6</v>
      </c>
      <c r="AE163" s="12">
        <v>3.15</v>
      </c>
      <c r="AF163" s="11"/>
      <c r="AJ163" s="11">
        <v>569.22</v>
      </c>
      <c r="AK163" s="14" t="s">
        <v>41</v>
      </c>
      <c r="AL163" s="11">
        <v>569.22</v>
      </c>
      <c r="AM163" s="13"/>
      <c r="AN163" s="13"/>
      <c r="AO163" s="13"/>
      <c r="AP163" s="13"/>
      <c r="AQ163" s="13"/>
      <c r="AR163" s="13"/>
    </row>
    <row r="164" spans="1:44" ht="15.75" customHeight="1">
      <c r="A164" s="9" t="s">
        <v>304</v>
      </c>
      <c r="B164" s="9" t="s">
        <v>305</v>
      </c>
      <c r="C164" s="17" t="s">
        <v>198</v>
      </c>
      <c r="D164" s="11">
        <v>245.44</v>
      </c>
      <c r="E164" s="9" t="s">
        <v>41</v>
      </c>
      <c r="F164" s="11">
        <v>0.56999999999999995</v>
      </c>
      <c r="G164" s="11">
        <v>21.2</v>
      </c>
      <c r="H164" s="11">
        <v>16.420000000000002</v>
      </c>
      <c r="I164" s="11">
        <v>0.68</v>
      </c>
      <c r="J164" s="11">
        <v>40.18</v>
      </c>
      <c r="K164" s="11">
        <v>4.57</v>
      </c>
      <c r="L164" s="11">
        <v>1.58</v>
      </c>
      <c r="M164" s="9" t="s">
        <v>41</v>
      </c>
      <c r="N164" s="11">
        <v>1.35</v>
      </c>
      <c r="O164" s="11">
        <v>0.39</v>
      </c>
      <c r="P164" s="11">
        <v>35.4</v>
      </c>
      <c r="Q164" s="11">
        <v>0.02</v>
      </c>
      <c r="R164" s="11">
        <v>3.52</v>
      </c>
      <c r="S164" s="11">
        <v>26.08</v>
      </c>
      <c r="T164" s="9" t="s">
        <v>41</v>
      </c>
      <c r="U164" s="9" t="s">
        <v>41</v>
      </c>
      <c r="V164" s="9" t="s">
        <v>41</v>
      </c>
      <c r="W164" s="13"/>
      <c r="X164" s="9" t="s">
        <v>41</v>
      </c>
      <c r="Y164" s="9" t="s">
        <v>41</v>
      </c>
      <c r="Z164" s="9" t="s">
        <v>41</v>
      </c>
      <c r="AA164" s="14" t="s">
        <v>41</v>
      </c>
      <c r="AB164" s="14" t="s">
        <v>41</v>
      </c>
      <c r="AC164" s="14" t="s">
        <v>41</v>
      </c>
      <c r="AD164" s="14" t="s">
        <v>41</v>
      </c>
      <c r="AE164" s="14" t="s">
        <v>41</v>
      </c>
      <c r="AF164" s="11"/>
      <c r="AJ164" s="11">
        <v>397.39</v>
      </c>
      <c r="AK164" s="14" t="s">
        <v>41</v>
      </c>
      <c r="AL164" s="11">
        <v>397.39</v>
      </c>
      <c r="AM164" s="13"/>
      <c r="AN164" s="13"/>
      <c r="AO164" s="13"/>
      <c r="AP164" s="13"/>
      <c r="AQ164" s="13"/>
      <c r="AR164" s="13"/>
    </row>
    <row r="165" spans="1:44" ht="15.75" customHeight="1">
      <c r="A165" s="9" t="s">
        <v>306</v>
      </c>
      <c r="B165" s="9" t="s">
        <v>195</v>
      </c>
      <c r="C165" s="17" t="s">
        <v>198</v>
      </c>
      <c r="D165" s="11">
        <v>519.83000000000004</v>
      </c>
      <c r="E165" s="11">
        <v>2.2000000000000002</v>
      </c>
      <c r="F165" s="11">
        <v>14.01</v>
      </c>
      <c r="G165" s="11">
        <v>56.89</v>
      </c>
      <c r="H165" s="11">
        <v>2.39</v>
      </c>
      <c r="I165" s="11">
        <v>4.2</v>
      </c>
      <c r="J165" s="11">
        <v>69.2</v>
      </c>
      <c r="K165" s="11">
        <v>6.72</v>
      </c>
      <c r="L165" s="11">
        <v>16.45</v>
      </c>
      <c r="M165" s="9" t="s">
        <v>41</v>
      </c>
      <c r="N165" s="11">
        <v>16.93</v>
      </c>
      <c r="O165" s="11">
        <v>5.05</v>
      </c>
      <c r="P165" s="11">
        <v>69.11</v>
      </c>
      <c r="Q165" s="11">
        <v>10.5</v>
      </c>
      <c r="R165" s="11">
        <v>24.4</v>
      </c>
      <c r="S165" s="11">
        <v>33.82</v>
      </c>
      <c r="T165" s="9" t="s">
        <v>41</v>
      </c>
      <c r="U165" s="9" t="s">
        <v>41</v>
      </c>
      <c r="V165" s="11">
        <v>44.6</v>
      </c>
      <c r="W165" s="13"/>
      <c r="X165" s="9" t="s">
        <v>41</v>
      </c>
      <c r="Y165" s="9" t="s">
        <v>41</v>
      </c>
      <c r="Z165" s="9" t="s">
        <v>41</v>
      </c>
      <c r="AA165" s="14" t="s">
        <v>41</v>
      </c>
      <c r="AB165" s="14" t="s">
        <v>41</v>
      </c>
      <c r="AC165" s="14" t="s">
        <v>41</v>
      </c>
      <c r="AD165" s="12">
        <v>3.7</v>
      </c>
      <c r="AE165" s="12">
        <v>1.41</v>
      </c>
      <c r="AF165" s="11"/>
      <c r="AJ165" s="11">
        <v>901.4</v>
      </c>
      <c r="AK165" s="14" t="s">
        <v>41</v>
      </c>
      <c r="AL165" s="11">
        <v>901.4</v>
      </c>
      <c r="AM165" s="13"/>
      <c r="AN165" s="13"/>
      <c r="AO165" s="13"/>
      <c r="AP165" s="13"/>
      <c r="AQ165" s="13"/>
      <c r="AR165" s="13"/>
    </row>
    <row r="166" spans="1:44" ht="15.75" customHeight="1">
      <c r="A166" s="10" t="s">
        <v>196</v>
      </c>
      <c r="B166" s="9" t="s">
        <v>196</v>
      </c>
      <c r="C166" s="17"/>
      <c r="D166" s="17">
        <f t="shared" ref="D166:V166" si="1">SUM(D85:D165)</f>
        <v>542456.5</v>
      </c>
      <c r="E166" s="17">
        <f t="shared" si="1"/>
        <v>3725.6800000000003</v>
      </c>
      <c r="F166" s="17">
        <f t="shared" si="1"/>
        <v>1760.7699999999991</v>
      </c>
      <c r="G166" s="17">
        <f t="shared" si="1"/>
        <v>14043.349999999999</v>
      </c>
      <c r="H166" s="17">
        <f t="shared" si="1"/>
        <v>6325.04</v>
      </c>
      <c r="I166" s="17">
        <f t="shared" si="1"/>
        <v>1851.4500000000012</v>
      </c>
      <c r="J166" s="17">
        <f t="shared" si="1"/>
        <v>11124.419999999998</v>
      </c>
      <c r="K166" s="17">
        <f t="shared" si="1"/>
        <v>5243.99</v>
      </c>
      <c r="L166" s="17">
        <f t="shared" si="1"/>
        <v>8636.760000000002</v>
      </c>
      <c r="M166" s="17">
        <f t="shared" si="1"/>
        <v>12560.900000000009</v>
      </c>
      <c r="N166" s="17">
        <f t="shared" si="1"/>
        <v>1946.6800000000003</v>
      </c>
      <c r="O166" s="17">
        <f t="shared" si="1"/>
        <v>1741.5800000000004</v>
      </c>
      <c r="P166" s="17">
        <f t="shared" si="1"/>
        <v>19532.819999999996</v>
      </c>
      <c r="Q166" s="17">
        <f t="shared" si="1"/>
        <v>2085.62</v>
      </c>
      <c r="R166" s="17">
        <f t="shared" si="1"/>
        <v>3858.9800000000005</v>
      </c>
      <c r="S166" s="17">
        <f t="shared" si="1"/>
        <v>60943.890000000014</v>
      </c>
      <c r="T166" s="17">
        <f t="shared" si="1"/>
        <v>65224.2</v>
      </c>
      <c r="U166" s="17">
        <f t="shared" si="1"/>
        <v>62495.83</v>
      </c>
      <c r="V166" s="17">
        <f t="shared" si="1"/>
        <v>6381.83</v>
      </c>
      <c r="W166" s="13"/>
      <c r="X166" s="17">
        <f t="shared" ref="X166:AE166" si="2">SUM(X85:X165)</f>
        <v>256481.76999999996</v>
      </c>
      <c r="Y166" s="17">
        <f t="shared" si="2"/>
        <v>256682.52000000002</v>
      </c>
      <c r="Z166" s="17">
        <f t="shared" si="2"/>
        <v>38273.129999999997</v>
      </c>
      <c r="AA166" s="21">
        <f t="shared" si="2"/>
        <v>11611.71</v>
      </c>
      <c r="AB166" s="21">
        <f t="shared" si="2"/>
        <v>201.13</v>
      </c>
      <c r="AC166" s="21">
        <f t="shared" si="2"/>
        <v>1132.2000000000003</v>
      </c>
      <c r="AD166" s="21">
        <f t="shared" si="2"/>
        <v>725.8</v>
      </c>
      <c r="AE166" s="21">
        <f t="shared" si="2"/>
        <v>2871.6200000000003</v>
      </c>
      <c r="AF166" s="17"/>
      <c r="AJ166" s="17">
        <f>SUM(AJ85:AJ165)</f>
        <v>1388613.72</v>
      </c>
      <c r="AK166" s="21">
        <f>SUM(AK85:AK165)</f>
        <v>135571.36999999997</v>
      </c>
      <c r="AL166" s="17">
        <f>SUM(AL85:AL165)</f>
        <v>1253041.81</v>
      </c>
      <c r="AM166" s="18"/>
      <c r="AN166" s="18"/>
      <c r="AO166" s="18"/>
      <c r="AP166" s="18"/>
      <c r="AQ166" s="18"/>
      <c r="AR166" s="18"/>
    </row>
    <row r="167" spans="1:44" ht="15.75" customHeight="1">
      <c r="A167" s="18"/>
      <c r="B167" s="13" t="s">
        <v>202</v>
      </c>
      <c r="C167" s="18"/>
      <c r="D167" s="13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spans="1:44" ht="15.75" customHeight="1">
      <c r="A168" s="9" t="s">
        <v>39</v>
      </c>
      <c r="B168" s="9" t="s">
        <v>39</v>
      </c>
      <c r="C168" s="17" t="s">
        <v>307</v>
      </c>
      <c r="D168" s="11">
        <v>12344.71</v>
      </c>
      <c r="E168" s="13"/>
      <c r="F168" s="13"/>
      <c r="G168" s="11">
        <v>873.9</v>
      </c>
      <c r="H168" s="11">
        <v>83.54</v>
      </c>
      <c r="I168" s="11">
        <v>68</v>
      </c>
      <c r="J168" s="11">
        <v>209.02</v>
      </c>
      <c r="K168" s="11">
        <v>105.37</v>
      </c>
      <c r="L168" s="11">
        <v>1416.67</v>
      </c>
      <c r="M168" s="13"/>
      <c r="N168" s="11">
        <v>345.17</v>
      </c>
      <c r="O168" s="11">
        <v>235.13</v>
      </c>
      <c r="P168" s="11"/>
      <c r="Q168" s="11"/>
      <c r="R168" s="13"/>
      <c r="S168" s="11">
        <v>12161.57</v>
      </c>
      <c r="T168" s="9"/>
      <c r="U168" s="13"/>
      <c r="V168" s="13"/>
      <c r="X168" s="13"/>
      <c r="Y168" s="9"/>
      <c r="Z168" s="13"/>
      <c r="AA168" s="13"/>
      <c r="AB168" s="13"/>
      <c r="AC168" s="13"/>
      <c r="AD168" s="13"/>
      <c r="AE168" s="13"/>
      <c r="AF168" s="13"/>
      <c r="AG168" s="9"/>
      <c r="AJ168" s="11">
        <v>27843.09</v>
      </c>
      <c r="AK168" s="11">
        <v>38.799999999999997</v>
      </c>
      <c r="AL168" s="9">
        <v>27804.2</v>
      </c>
      <c r="AM168" s="23" t="s">
        <v>308</v>
      </c>
      <c r="AN168" s="13"/>
      <c r="AO168" s="13"/>
      <c r="AP168" s="13"/>
      <c r="AQ168" s="13"/>
      <c r="AR168" s="13"/>
    </row>
    <row r="169" spans="1:44" ht="15.75" customHeight="1">
      <c r="A169" s="9" t="s">
        <v>309</v>
      </c>
      <c r="B169" s="13" t="s">
        <v>202</v>
      </c>
      <c r="C169" s="17" t="s">
        <v>307</v>
      </c>
      <c r="D169" s="11">
        <v>95854.89</v>
      </c>
      <c r="E169" s="13"/>
      <c r="F169" s="13"/>
      <c r="G169" s="11">
        <v>1440.89</v>
      </c>
      <c r="H169" s="11">
        <v>21.39</v>
      </c>
      <c r="I169" s="11">
        <v>20.9</v>
      </c>
      <c r="J169" s="11">
        <v>405.12</v>
      </c>
      <c r="K169" s="11">
        <v>682.55</v>
      </c>
      <c r="L169" s="11">
        <v>803.74</v>
      </c>
      <c r="M169" s="13"/>
      <c r="N169" s="11">
        <v>821.45</v>
      </c>
      <c r="O169" s="11">
        <v>672.02</v>
      </c>
      <c r="P169" s="9"/>
      <c r="Q169" s="9"/>
      <c r="R169" s="13"/>
      <c r="S169" s="11">
        <v>28857.21</v>
      </c>
      <c r="T169" s="9"/>
      <c r="U169" s="13"/>
      <c r="V169" s="13"/>
      <c r="X169" s="13"/>
      <c r="Y169" s="11">
        <v>3325.4</v>
      </c>
      <c r="Z169" s="13"/>
      <c r="AA169" s="13"/>
      <c r="AB169" s="13"/>
      <c r="AC169" s="13"/>
      <c r="AD169" s="13"/>
      <c r="AE169" s="13"/>
      <c r="AF169" s="13"/>
      <c r="AG169" s="11">
        <v>710.88</v>
      </c>
      <c r="AJ169" s="11">
        <v>133616.44</v>
      </c>
      <c r="AK169" s="9"/>
      <c r="AL169" s="9">
        <v>133616.44</v>
      </c>
      <c r="AM169" s="23" t="s">
        <v>310</v>
      </c>
      <c r="AN169" s="13"/>
      <c r="AO169" s="13"/>
      <c r="AP169" s="13"/>
      <c r="AQ169" s="13"/>
      <c r="AR169" s="13"/>
    </row>
    <row r="170" spans="1:44" ht="15.75" customHeight="1">
      <c r="A170" s="9" t="s">
        <v>54</v>
      </c>
      <c r="B170" s="9" t="s">
        <v>54</v>
      </c>
      <c r="C170" s="17" t="s">
        <v>307</v>
      </c>
      <c r="D170" s="11">
        <v>20474.650000000001</v>
      </c>
      <c r="E170" s="13"/>
      <c r="F170" s="13"/>
      <c r="G170" s="11">
        <v>155.31</v>
      </c>
      <c r="H170" s="11">
        <v>1.1100000000000001</v>
      </c>
      <c r="I170" s="11">
        <v>14.17</v>
      </c>
      <c r="J170" s="11">
        <v>84.44</v>
      </c>
      <c r="K170" s="11">
        <v>5.13</v>
      </c>
      <c r="L170" s="11">
        <v>5.7</v>
      </c>
      <c r="M170" s="13"/>
      <c r="N170" s="11">
        <v>33.44</v>
      </c>
      <c r="O170" s="11">
        <v>4.67</v>
      </c>
      <c r="P170" s="11"/>
      <c r="Q170" s="11"/>
      <c r="R170" s="13"/>
      <c r="S170" s="11">
        <v>2959.34</v>
      </c>
      <c r="T170" s="9"/>
      <c r="U170" s="13"/>
      <c r="V170" s="13"/>
      <c r="X170" s="13"/>
      <c r="Y170" s="11">
        <v>2.2200000000000002</v>
      </c>
      <c r="Z170" s="13"/>
      <c r="AA170" s="13"/>
      <c r="AB170" s="13"/>
      <c r="AC170" s="13"/>
      <c r="AD170" s="13"/>
      <c r="AE170" s="13"/>
      <c r="AF170" s="13"/>
      <c r="AG170" s="11">
        <v>1.82</v>
      </c>
      <c r="AJ170" s="11">
        <v>23742.01</v>
      </c>
      <c r="AK170" s="11">
        <v>3.78</v>
      </c>
      <c r="AL170" s="9">
        <v>23738.23</v>
      </c>
      <c r="AM170" s="23" t="s">
        <v>311</v>
      </c>
      <c r="AN170" s="13"/>
      <c r="AO170" s="13"/>
      <c r="AP170" s="13"/>
      <c r="AQ170" s="13"/>
      <c r="AR170" s="13"/>
    </row>
    <row r="171" spans="1:44" ht="15.75" customHeight="1">
      <c r="A171" s="9" t="s">
        <v>207</v>
      </c>
      <c r="B171" s="9" t="s">
        <v>207</v>
      </c>
      <c r="C171" s="17" t="s">
        <v>307</v>
      </c>
      <c r="D171" s="11">
        <v>282.26</v>
      </c>
      <c r="E171" s="13"/>
      <c r="F171" s="13"/>
      <c r="G171" s="11">
        <v>145.47</v>
      </c>
      <c r="H171" s="11">
        <v>11.98</v>
      </c>
      <c r="I171" s="11">
        <v>40.06</v>
      </c>
      <c r="J171" s="11">
        <v>305.74</v>
      </c>
      <c r="K171" s="11">
        <v>3.75</v>
      </c>
      <c r="L171" s="11">
        <v>196.97</v>
      </c>
      <c r="M171" s="13"/>
      <c r="N171" s="11">
        <v>5.77</v>
      </c>
      <c r="O171" s="11">
        <v>1.9</v>
      </c>
      <c r="P171" s="9"/>
      <c r="Q171" s="9"/>
      <c r="R171" s="13"/>
      <c r="S171" s="9">
        <v>1457.64</v>
      </c>
      <c r="T171" s="9"/>
      <c r="U171" s="13"/>
      <c r="V171" s="13"/>
      <c r="X171" s="13"/>
      <c r="Y171" s="11">
        <v>687.11</v>
      </c>
      <c r="Z171" s="13"/>
      <c r="AA171" s="13"/>
      <c r="AB171" s="13"/>
      <c r="AC171" s="13"/>
      <c r="AD171" s="13"/>
      <c r="AE171" s="13"/>
      <c r="AF171" s="13"/>
      <c r="AG171" s="9"/>
      <c r="AJ171" s="11">
        <v>3138.66</v>
      </c>
      <c r="AK171" s="9" t="s">
        <v>41</v>
      </c>
      <c r="AL171" s="9">
        <v>3138.66</v>
      </c>
      <c r="AM171" s="23" t="s">
        <v>312</v>
      </c>
      <c r="AN171" s="13"/>
      <c r="AO171" s="13"/>
      <c r="AP171" s="13"/>
      <c r="AQ171" s="13"/>
      <c r="AR171" s="13"/>
    </row>
    <row r="172" spans="1:44" ht="15.75" customHeight="1">
      <c r="A172" s="9" t="s">
        <v>313</v>
      </c>
      <c r="B172" s="9" t="s">
        <v>209</v>
      </c>
      <c r="C172" s="17" t="s">
        <v>307</v>
      </c>
      <c r="D172" s="11">
        <v>180.61</v>
      </c>
      <c r="E172" s="13"/>
      <c r="F172" s="13"/>
      <c r="G172" s="11">
        <v>10.76</v>
      </c>
      <c r="H172" s="11">
        <v>2.19</v>
      </c>
      <c r="I172" s="11">
        <v>0.39</v>
      </c>
      <c r="J172" s="11">
        <v>103.62</v>
      </c>
      <c r="K172" s="11">
        <v>3.09</v>
      </c>
      <c r="L172" s="11">
        <v>12.13</v>
      </c>
      <c r="M172" s="13"/>
      <c r="N172" s="11">
        <v>1.44</v>
      </c>
      <c r="O172" s="11">
        <v>2.6</v>
      </c>
      <c r="P172" s="9"/>
      <c r="Q172" s="9"/>
      <c r="R172" s="13"/>
      <c r="S172" s="11">
        <v>35.78</v>
      </c>
      <c r="T172" s="9"/>
      <c r="U172" s="13"/>
      <c r="V172" s="13"/>
      <c r="X172" s="13"/>
      <c r="Y172" s="11">
        <v>692.34</v>
      </c>
      <c r="Z172" s="13"/>
      <c r="AA172" s="13"/>
      <c r="AB172" s="13"/>
      <c r="AC172" s="13"/>
      <c r="AD172" s="13"/>
      <c r="AE172" s="13"/>
      <c r="AF172" s="13"/>
      <c r="AG172" s="9"/>
      <c r="AJ172" s="11">
        <v>1044.96</v>
      </c>
      <c r="AK172" s="9" t="s">
        <v>41</v>
      </c>
      <c r="AL172" s="9">
        <v>1044.96</v>
      </c>
      <c r="AM172" s="23" t="s">
        <v>314</v>
      </c>
      <c r="AN172" s="13"/>
      <c r="AO172" s="13"/>
      <c r="AP172" s="13"/>
      <c r="AQ172" s="13"/>
      <c r="AR172" s="13"/>
    </row>
    <row r="173" spans="1:44" ht="15.75" customHeight="1">
      <c r="A173" s="9" t="s">
        <v>66</v>
      </c>
      <c r="B173" s="9" t="s">
        <v>66</v>
      </c>
      <c r="C173" s="17" t="s">
        <v>307</v>
      </c>
      <c r="D173" s="11">
        <v>1286.3599999999999</v>
      </c>
      <c r="E173" s="13"/>
      <c r="F173" s="13"/>
      <c r="G173" s="11">
        <v>82.37</v>
      </c>
      <c r="H173" s="11">
        <v>17.989999999999998</v>
      </c>
      <c r="I173" s="11">
        <v>16.39</v>
      </c>
      <c r="J173" s="9"/>
      <c r="K173" s="11">
        <v>52.89</v>
      </c>
      <c r="L173" s="11">
        <v>50.48</v>
      </c>
      <c r="M173" s="13"/>
      <c r="N173" s="11">
        <v>27.79</v>
      </c>
      <c r="O173" s="11">
        <v>11.52</v>
      </c>
      <c r="P173" s="9"/>
      <c r="Q173" s="9"/>
      <c r="R173" s="13"/>
      <c r="S173" s="11">
        <v>208.45</v>
      </c>
      <c r="T173" s="9"/>
      <c r="U173" s="13"/>
      <c r="V173" s="13"/>
      <c r="X173" s="13"/>
      <c r="Y173" s="11">
        <v>128603.48</v>
      </c>
      <c r="Z173" s="13"/>
      <c r="AA173" s="13"/>
      <c r="AB173" s="13"/>
      <c r="AC173" s="13"/>
      <c r="AD173" s="13"/>
      <c r="AE173" s="13"/>
      <c r="AF173" s="13"/>
      <c r="AG173" s="9"/>
      <c r="AJ173" s="11">
        <v>130357.73</v>
      </c>
      <c r="AK173" s="9" t="s">
        <v>41</v>
      </c>
      <c r="AL173" s="9">
        <v>130357.73</v>
      </c>
      <c r="AM173" s="23" t="s">
        <v>315</v>
      </c>
      <c r="AN173" s="13"/>
      <c r="AO173" s="13"/>
      <c r="AP173" s="13"/>
      <c r="AQ173" s="13"/>
      <c r="AR173" s="13"/>
    </row>
    <row r="174" spans="1:44" ht="15.75" customHeight="1">
      <c r="A174" s="9" t="s">
        <v>212</v>
      </c>
      <c r="B174" s="9" t="s">
        <v>212</v>
      </c>
      <c r="C174" s="17" t="s">
        <v>307</v>
      </c>
      <c r="D174" s="11">
        <v>9077.26</v>
      </c>
      <c r="E174" s="13"/>
      <c r="F174" s="13"/>
      <c r="G174" s="11">
        <v>214.86</v>
      </c>
      <c r="H174" s="11">
        <v>2227.61</v>
      </c>
      <c r="I174" s="11">
        <v>33.61</v>
      </c>
      <c r="J174" s="11">
        <v>2965.74</v>
      </c>
      <c r="K174" s="11">
        <v>10.28</v>
      </c>
      <c r="L174" s="11">
        <v>386.19</v>
      </c>
      <c r="M174" s="13"/>
      <c r="N174" s="11">
        <v>59.32</v>
      </c>
      <c r="O174" s="11">
        <v>157.94999999999999</v>
      </c>
      <c r="P174" s="11"/>
      <c r="Q174" s="11"/>
      <c r="R174" s="13"/>
      <c r="S174" s="11">
        <v>3363.72</v>
      </c>
      <c r="T174" s="9"/>
      <c r="U174" s="13"/>
      <c r="V174" s="13"/>
      <c r="X174" s="13"/>
      <c r="Y174" s="11">
        <v>106.13</v>
      </c>
      <c r="Z174" s="13"/>
      <c r="AA174" s="13"/>
      <c r="AB174" s="13"/>
      <c r="AC174" s="13"/>
      <c r="AD174" s="13"/>
      <c r="AE174" s="13"/>
      <c r="AF174" s="13"/>
      <c r="AG174" s="9"/>
      <c r="AJ174" s="11">
        <v>18602.669999999998</v>
      </c>
      <c r="AK174" s="11">
        <v>153.5</v>
      </c>
      <c r="AL174" s="9">
        <v>18449.16</v>
      </c>
      <c r="AM174" s="23" t="s">
        <v>316</v>
      </c>
      <c r="AN174" s="13"/>
      <c r="AO174" s="13"/>
      <c r="AP174" s="13"/>
      <c r="AQ174" s="13"/>
      <c r="AR174" s="13"/>
    </row>
    <row r="175" spans="1:44" ht="15.75" customHeight="1">
      <c r="A175" s="9" t="s">
        <v>72</v>
      </c>
      <c r="B175" s="9" t="s">
        <v>72</v>
      </c>
      <c r="C175" s="17" t="s">
        <v>307</v>
      </c>
      <c r="D175" s="11">
        <v>6559.99</v>
      </c>
      <c r="E175" s="13"/>
      <c r="F175" s="13"/>
      <c r="G175" s="11">
        <v>10.34</v>
      </c>
      <c r="H175" s="11">
        <v>0.52</v>
      </c>
      <c r="I175" s="11">
        <v>0.49</v>
      </c>
      <c r="J175" s="11">
        <v>5111</v>
      </c>
      <c r="K175" s="11">
        <v>1.82</v>
      </c>
      <c r="L175" s="11">
        <v>2.4300000000000002</v>
      </c>
      <c r="M175" s="13"/>
      <c r="N175" s="11">
        <v>1.22</v>
      </c>
      <c r="O175" s="11">
        <v>1.81</v>
      </c>
      <c r="P175" s="11"/>
      <c r="Q175" s="11"/>
      <c r="R175" s="13"/>
      <c r="S175" s="11">
        <v>11.92</v>
      </c>
      <c r="T175" s="9"/>
      <c r="U175" s="13"/>
      <c r="V175" s="13"/>
      <c r="X175" s="13"/>
      <c r="Y175" s="11">
        <v>12035.2</v>
      </c>
      <c r="Z175" s="13"/>
      <c r="AA175" s="13"/>
      <c r="AB175" s="13"/>
      <c r="AC175" s="13"/>
      <c r="AD175" s="13"/>
      <c r="AE175" s="13"/>
      <c r="AF175" s="13"/>
      <c r="AG175" s="9"/>
      <c r="AJ175" s="11">
        <v>18676.849999999999</v>
      </c>
      <c r="AK175" s="11">
        <v>4669</v>
      </c>
      <c r="AL175" s="9">
        <v>14007.78</v>
      </c>
      <c r="AM175" s="23" t="s">
        <v>317</v>
      </c>
      <c r="AN175" s="13"/>
      <c r="AO175" s="13"/>
      <c r="AP175" s="13"/>
      <c r="AQ175" s="13"/>
      <c r="AR175" s="13"/>
    </row>
    <row r="176" spans="1:44" ht="15.75" customHeight="1">
      <c r="A176" s="9" t="s">
        <v>217</v>
      </c>
      <c r="B176" s="9" t="s">
        <v>217</v>
      </c>
      <c r="C176" s="17" t="s">
        <v>307</v>
      </c>
      <c r="D176" s="11">
        <v>238.16</v>
      </c>
      <c r="E176" s="13"/>
      <c r="F176" s="13"/>
      <c r="G176" s="11">
        <v>10.5</v>
      </c>
      <c r="H176" s="11">
        <v>6.32</v>
      </c>
      <c r="I176" s="11">
        <v>1.76</v>
      </c>
      <c r="J176" s="11">
        <v>47.2</v>
      </c>
      <c r="K176" s="11">
        <v>5.37</v>
      </c>
      <c r="L176" s="11">
        <v>8.02</v>
      </c>
      <c r="M176" s="13"/>
      <c r="N176" s="11">
        <v>10.27</v>
      </c>
      <c r="O176" s="11">
        <v>6.93</v>
      </c>
      <c r="P176" s="11"/>
      <c r="Q176" s="11"/>
      <c r="R176" s="13"/>
      <c r="S176" s="11">
        <v>39650.1</v>
      </c>
      <c r="T176" s="9"/>
      <c r="U176" s="13"/>
      <c r="V176" s="13"/>
      <c r="X176" s="13"/>
      <c r="Y176" s="11">
        <v>55745.13</v>
      </c>
      <c r="Z176" s="13"/>
      <c r="AA176" s="13"/>
      <c r="AB176" s="13"/>
      <c r="AC176" s="13"/>
      <c r="AD176" s="13"/>
      <c r="AE176" s="13"/>
      <c r="AF176" s="13"/>
      <c r="AG176" s="9"/>
      <c r="AJ176" s="11">
        <v>95729.76</v>
      </c>
      <c r="AK176" s="11">
        <v>39984.629999999997</v>
      </c>
      <c r="AL176" s="9">
        <v>55745.13</v>
      </c>
      <c r="AM176" s="23" t="s">
        <v>318</v>
      </c>
      <c r="AN176" s="13"/>
      <c r="AO176" s="13"/>
      <c r="AP176" s="13"/>
      <c r="AQ176" s="13"/>
      <c r="AR176" s="13"/>
    </row>
    <row r="177" spans="1:44" ht="15.75" customHeight="1">
      <c r="A177" s="9" t="s">
        <v>219</v>
      </c>
      <c r="B177" s="9" t="s">
        <v>219</v>
      </c>
      <c r="C177" s="17" t="s">
        <v>307</v>
      </c>
      <c r="D177" s="11">
        <v>3841.85</v>
      </c>
      <c r="E177" s="13"/>
      <c r="F177" s="13"/>
      <c r="G177" s="11">
        <v>21.18</v>
      </c>
      <c r="H177" s="11">
        <v>1.68</v>
      </c>
      <c r="I177" s="11">
        <v>4.54</v>
      </c>
      <c r="J177" s="11">
        <v>124.31</v>
      </c>
      <c r="K177" s="11">
        <v>3.15</v>
      </c>
      <c r="L177" s="11">
        <v>43.41</v>
      </c>
      <c r="M177" s="13"/>
      <c r="N177" s="11">
        <v>14.25</v>
      </c>
      <c r="O177" s="11">
        <v>7.32</v>
      </c>
      <c r="P177" s="9"/>
      <c r="Q177" s="9"/>
      <c r="R177" s="13"/>
      <c r="S177" s="11">
        <v>68099.539999999994</v>
      </c>
      <c r="T177" s="9"/>
      <c r="U177" s="13"/>
      <c r="V177" s="13"/>
      <c r="X177" s="13"/>
      <c r="Y177" s="11">
        <v>19140.599999999999</v>
      </c>
      <c r="Z177" s="13"/>
      <c r="AA177" s="13"/>
      <c r="AB177" s="13"/>
      <c r="AC177" s="13"/>
      <c r="AD177" s="13"/>
      <c r="AE177" s="13"/>
      <c r="AF177" s="13"/>
      <c r="AG177" s="9"/>
      <c r="AJ177" s="11">
        <v>91301.84</v>
      </c>
      <c r="AK177" s="9" t="s">
        <v>41</v>
      </c>
      <c r="AL177" s="9">
        <v>91301.84</v>
      </c>
      <c r="AM177" s="23" t="s">
        <v>319</v>
      </c>
      <c r="AN177" s="13"/>
      <c r="AO177" s="13"/>
      <c r="AP177" s="13"/>
      <c r="AQ177" s="13"/>
      <c r="AR177" s="13"/>
    </row>
    <row r="178" spans="1:44" ht="15.75" customHeight="1">
      <c r="A178" s="9" t="s">
        <v>221</v>
      </c>
      <c r="B178" s="9" t="s">
        <v>221</v>
      </c>
      <c r="C178" s="17" t="s">
        <v>307</v>
      </c>
      <c r="D178" s="11">
        <v>78.62</v>
      </c>
      <c r="E178" s="13"/>
      <c r="F178" s="13"/>
      <c r="G178" s="11">
        <v>22.76</v>
      </c>
      <c r="H178" s="11">
        <v>5.16</v>
      </c>
      <c r="I178" s="11">
        <v>3.75</v>
      </c>
      <c r="J178" s="11">
        <v>8.69</v>
      </c>
      <c r="K178" s="11">
        <v>40.03</v>
      </c>
      <c r="L178" s="11">
        <v>11.95</v>
      </c>
      <c r="M178" s="13"/>
      <c r="N178" s="11">
        <v>0.35</v>
      </c>
      <c r="O178" s="11">
        <v>0.22</v>
      </c>
      <c r="P178" s="9"/>
      <c r="Q178" s="9"/>
      <c r="R178" s="13"/>
      <c r="S178" s="11">
        <v>47.71</v>
      </c>
      <c r="T178" s="9"/>
      <c r="U178" s="13"/>
      <c r="V178" s="13"/>
      <c r="X178" s="13"/>
      <c r="Y178" s="9" t="s">
        <v>41</v>
      </c>
      <c r="Z178" s="13"/>
      <c r="AA178" s="13"/>
      <c r="AB178" s="13"/>
      <c r="AC178" s="13"/>
      <c r="AD178" s="13"/>
      <c r="AE178" s="13"/>
      <c r="AF178" s="13"/>
      <c r="AG178" s="9"/>
      <c r="AJ178" s="11">
        <v>219.24</v>
      </c>
      <c r="AK178" s="9" t="s">
        <v>41</v>
      </c>
      <c r="AL178" s="9">
        <v>219.24</v>
      </c>
      <c r="AM178" s="23" t="s">
        <v>320</v>
      </c>
      <c r="AN178" s="13"/>
      <c r="AO178" s="13"/>
      <c r="AP178" s="13"/>
      <c r="AQ178" s="13"/>
      <c r="AR178" s="13"/>
    </row>
    <row r="179" spans="1:44" ht="15.75" customHeight="1">
      <c r="A179" s="9" t="s">
        <v>223</v>
      </c>
      <c r="B179" s="9" t="s">
        <v>223</v>
      </c>
      <c r="C179" s="17" t="s">
        <v>307</v>
      </c>
      <c r="D179" s="9" t="s">
        <v>41</v>
      </c>
      <c r="E179" s="13"/>
      <c r="F179" s="13"/>
      <c r="G179" s="11">
        <v>4.8</v>
      </c>
      <c r="H179" s="11">
        <v>1.2</v>
      </c>
      <c r="I179" s="11">
        <v>5</v>
      </c>
      <c r="J179" s="9"/>
      <c r="K179" s="11">
        <v>7.87</v>
      </c>
      <c r="L179" s="11">
        <v>41.35</v>
      </c>
      <c r="M179" s="13"/>
      <c r="N179" s="11">
        <v>0.96</v>
      </c>
      <c r="O179" s="9"/>
      <c r="P179" s="9"/>
      <c r="Q179" s="9"/>
      <c r="R179" s="13"/>
      <c r="S179" s="11">
        <v>24.53</v>
      </c>
      <c r="T179" s="9"/>
      <c r="U179" s="13"/>
      <c r="V179" s="13"/>
      <c r="X179" s="13"/>
      <c r="Y179" s="9" t="s">
        <v>41</v>
      </c>
      <c r="Z179" s="13"/>
      <c r="AA179" s="13"/>
      <c r="AB179" s="13"/>
      <c r="AC179" s="13"/>
      <c r="AD179" s="13"/>
      <c r="AE179" s="13"/>
      <c r="AF179" s="13"/>
      <c r="AG179" s="9"/>
      <c r="AJ179" s="11">
        <v>85.71</v>
      </c>
      <c r="AK179" s="9" t="s">
        <v>41</v>
      </c>
      <c r="AL179" s="9">
        <v>85.71</v>
      </c>
      <c r="AM179" s="23" t="s">
        <v>321</v>
      </c>
      <c r="AN179" s="13"/>
      <c r="AO179" s="13"/>
      <c r="AP179" s="13"/>
      <c r="AQ179" s="13"/>
      <c r="AR179" s="13"/>
    </row>
    <row r="180" spans="1:44" ht="15.75" customHeight="1">
      <c r="A180" s="9" t="s">
        <v>77</v>
      </c>
      <c r="B180" s="9" t="s">
        <v>77</v>
      </c>
      <c r="C180" s="17" t="s">
        <v>307</v>
      </c>
      <c r="D180" s="11">
        <v>3083.08</v>
      </c>
      <c r="E180" s="13"/>
      <c r="F180" s="13"/>
      <c r="G180" s="11">
        <v>137.37</v>
      </c>
      <c r="H180" s="11">
        <v>85.58</v>
      </c>
      <c r="I180" s="11">
        <v>28.99</v>
      </c>
      <c r="J180" s="11">
        <v>27.97</v>
      </c>
      <c r="K180" s="11">
        <v>76.97</v>
      </c>
      <c r="L180" s="11">
        <v>369.02</v>
      </c>
      <c r="M180" s="13"/>
      <c r="N180" s="11">
        <v>20.54</v>
      </c>
      <c r="O180" s="11">
        <v>27.04</v>
      </c>
      <c r="P180" s="11"/>
      <c r="Q180" s="11"/>
      <c r="R180" s="13"/>
      <c r="S180" s="11">
        <v>19718.03</v>
      </c>
      <c r="T180" s="9"/>
      <c r="U180" s="13"/>
      <c r="V180" s="13"/>
      <c r="X180" s="13"/>
      <c r="Y180" s="11">
        <v>31895.32</v>
      </c>
      <c r="Z180" s="13"/>
      <c r="AA180" s="13"/>
      <c r="AB180" s="13"/>
      <c r="AC180" s="13"/>
      <c r="AD180" s="13"/>
      <c r="AE180" s="13"/>
      <c r="AF180" s="13"/>
      <c r="AG180" s="9"/>
      <c r="AJ180" s="11">
        <v>55469.91</v>
      </c>
      <c r="AK180" s="11">
        <v>4075.27</v>
      </c>
      <c r="AL180" s="9">
        <v>51394.65</v>
      </c>
      <c r="AM180" s="23" t="s">
        <v>322</v>
      </c>
      <c r="AN180" s="13"/>
      <c r="AO180" s="13"/>
      <c r="AP180" s="13"/>
      <c r="AQ180" s="13"/>
      <c r="AR180" s="13"/>
    </row>
    <row r="181" spans="1:44" ht="15.75" customHeight="1">
      <c r="A181" s="9" t="s">
        <v>323</v>
      </c>
      <c r="B181" s="9" t="s">
        <v>323</v>
      </c>
      <c r="C181" s="17" t="s">
        <v>307</v>
      </c>
      <c r="D181" s="11">
        <v>465.82</v>
      </c>
      <c r="E181" s="13"/>
      <c r="F181" s="13"/>
      <c r="G181" s="11">
        <v>69.430000000000007</v>
      </c>
      <c r="H181" s="11">
        <v>11.89</v>
      </c>
      <c r="I181" s="11">
        <v>4.5199999999999996</v>
      </c>
      <c r="J181" s="11">
        <v>79.78</v>
      </c>
      <c r="K181" s="11">
        <v>25.84</v>
      </c>
      <c r="L181" s="11">
        <v>58.03</v>
      </c>
      <c r="M181" s="13"/>
      <c r="N181" s="11">
        <v>10.67</v>
      </c>
      <c r="O181" s="11">
        <v>4.71</v>
      </c>
      <c r="P181" s="9"/>
      <c r="Q181" s="9"/>
      <c r="R181" s="13"/>
      <c r="S181" s="11">
        <v>271.36</v>
      </c>
      <c r="T181" s="9"/>
      <c r="U181" s="13"/>
      <c r="V181" s="13"/>
      <c r="X181" s="13"/>
      <c r="Y181" s="11">
        <v>2807.84</v>
      </c>
      <c r="Z181" s="13"/>
      <c r="AA181" s="13"/>
      <c r="AB181" s="13"/>
      <c r="AC181" s="13"/>
      <c r="AD181" s="13"/>
      <c r="AE181" s="13"/>
      <c r="AF181" s="13"/>
      <c r="AG181" s="11">
        <v>0.09</v>
      </c>
      <c r="AJ181" s="13">
        <v>3809.98</v>
      </c>
      <c r="AK181" s="9" t="s">
        <v>41</v>
      </c>
      <c r="AL181" s="9">
        <v>3809.98</v>
      </c>
      <c r="AM181" s="13"/>
      <c r="AN181" s="13"/>
      <c r="AO181" s="13"/>
      <c r="AP181" s="13"/>
      <c r="AQ181" s="13"/>
      <c r="AR181" s="13"/>
    </row>
    <row r="182" spans="1:44" ht="15.75" customHeight="1">
      <c r="A182" s="9" t="s">
        <v>228</v>
      </c>
      <c r="B182" s="9" t="s">
        <v>228</v>
      </c>
      <c r="C182" s="17" t="s">
        <v>307</v>
      </c>
      <c r="D182" s="11">
        <v>13714.05</v>
      </c>
      <c r="E182" s="13"/>
      <c r="F182" s="13"/>
      <c r="G182" s="11">
        <v>95.05</v>
      </c>
      <c r="H182" s="11">
        <v>1.63</v>
      </c>
      <c r="I182" s="11">
        <v>15.08</v>
      </c>
      <c r="J182" s="11">
        <v>8.26</v>
      </c>
      <c r="K182" s="11">
        <v>478.44</v>
      </c>
      <c r="L182" s="11">
        <v>72.06</v>
      </c>
      <c r="M182" s="13"/>
      <c r="N182" s="11">
        <v>28.65</v>
      </c>
      <c r="O182" s="11">
        <v>116.74</v>
      </c>
      <c r="P182" s="9"/>
      <c r="Q182" s="9"/>
      <c r="R182" s="13"/>
      <c r="S182" s="11">
        <v>1893.89</v>
      </c>
      <c r="T182" s="9"/>
      <c r="U182" s="13"/>
      <c r="V182" s="13"/>
      <c r="X182" s="13"/>
      <c r="Y182" s="11">
        <v>49055.96</v>
      </c>
      <c r="Z182" s="13"/>
      <c r="AA182" s="13"/>
      <c r="AB182" s="13"/>
      <c r="AC182" s="13"/>
      <c r="AD182" s="13"/>
      <c r="AE182" s="13"/>
      <c r="AF182" s="13"/>
      <c r="AG182" s="9"/>
      <c r="AJ182" s="11">
        <v>65479.83</v>
      </c>
      <c r="AK182" s="9">
        <v>17362.39</v>
      </c>
      <c r="AL182" s="9">
        <v>48117.440000000002</v>
      </c>
      <c r="AM182" s="23" t="s">
        <v>324</v>
      </c>
      <c r="AN182" s="13"/>
      <c r="AO182" s="13"/>
      <c r="AP182" s="13"/>
      <c r="AQ182" s="13"/>
      <c r="AR182" s="13"/>
    </row>
    <row r="183" spans="1:44" ht="15.75" customHeight="1">
      <c r="A183" s="9" t="s">
        <v>325</v>
      </c>
      <c r="B183" s="9" t="s">
        <v>325</v>
      </c>
      <c r="C183" s="17" t="s">
        <v>307</v>
      </c>
      <c r="D183" s="11">
        <v>1128.29</v>
      </c>
      <c r="E183" s="13"/>
      <c r="F183" s="13"/>
      <c r="G183" s="11">
        <v>8.25</v>
      </c>
      <c r="H183" s="11">
        <v>0.71</v>
      </c>
      <c r="I183" s="11">
        <v>1.94</v>
      </c>
      <c r="J183" s="9"/>
      <c r="K183" s="11">
        <v>0.14000000000000001</v>
      </c>
      <c r="L183" s="11">
        <v>6.88</v>
      </c>
      <c r="M183" s="13"/>
      <c r="N183" s="11">
        <v>5.42</v>
      </c>
      <c r="O183" s="11">
        <v>10.27</v>
      </c>
      <c r="P183" s="11"/>
      <c r="Q183" s="11"/>
      <c r="R183" s="13"/>
      <c r="S183" s="11">
        <v>282.55</v>
      </c>
      <c r="T183" s="9"/>
      <c r="U183" s="13"/>
      <c r="V183" s="13"/>
      <c r="X183" s="13"/>
      <c r="Y183" s="11">
        <v>71256.73</v>
      </c>
      <c r="Z183" s="13"/>
      <c r="AA183" s="13"/>
      <c r="AB183" s="13"/>
      <c r="AC183" s="13"/>
      <c r="AD183" s="13"/>
      <c r="AE183" s="13"/>
      <c r="AF183" s="13"/>
      <c r="AG183" s="11">
        <v>0.34</v>
      </c>
      <c r="AJ183" s="11">
        <v>72701.53</v>
      </c>
      <c r="AK183" s="11">
        <v>71256.73</v>
      </c>
      <c r="AL183" s="9">
        <v>1444.8</v>
      </c>
      <c r="AM183" s="23" t="s">
        <v>326</v>
      </c>
      <c r="AN183" s="13"/>
      <c r="AO183" s="13"/>
      <c r="AP183" s="13"/>
      <c r="AQ183" s="13"/>
      <c r="AR183" s="13"/>
    </row>
    <row r="184" spans="1:44" ht="15.75" customHeight="1">
      <c r="A184" s="9" t="s">
        <v>327</v>
      </c>
      <c r="B184" s="9" t="s">
        <v>327</v>
      </c>
      <c r="C184" s="17" t="s">
        <v>307</v>
      </c>
      <c r="D184" s="11">
        <v>167.75</v>
      </c>
      <c r="E184" s="13"/>
      <c r="F184" s="13"/>
      <c r="G184" s="11">
        <v>21.75</v>
      </c>
      <c r="H184" s="11">
        <v>5.85</v>
      </c>
      <c r="I184" s="11">
        <v>4.17</v>
      </c>
      <c r="J184" s="11">
        <v>6.43</v>
      </c>
      <c r="K184" s="11">
        <v>15.29</v>
      </c>
      <c r="L184" s="11">
        <v>11.06</v>
      </c>
      <c r="M184" s="13"/>
      <c r="N184" s="11">
        <v>6.55</v>
      </c>
      <c r="O184" s="11">
        <v>11.86</v>
      </c>
      <c r="P184" s="11"/>
      <c r="Q184" s="11"/>
      <c r="R184" s="13"/>
      <c r="S184" s="11">
        <v>114.34</v>
      </c>
      <c r="T184" s="9"/>
      <c r="U184" s="13"/>
      <c r="V184" s="13"/>
      <c r="X184" s="13"/>
      <c r="Y184" s="11">
        <v>6568.94</v>
      </c>
      <c r="Z184" s="13"/>
      <c r="AA184" s="13"/>
      <c r="AB184" s="13"/>
      <c r="AC184" s="13"/>
      <c r="AD184" s="13"/>
      <c r="AE184" s="13"/>
      <c r="AF184" s="13"/>
      <c r="AG184" s="11">
        <v>0.01</v>
      </c>
      <c r="AJ184" s="11">
        <v>6934</v>
      </c>
      <c r="AK184" s="11">
        <v>5508.94</v>
      </c>
      <c r="AL184" s="9">
        <v>1425.06</v>
      </c>
      <c r="AM184" s="23" t="s">
        <v>328</v>
      </c>
      <c r="AN184" s="13"/>
      <c r="AO184" s="13"/>
      <c r="AP184" s="13"/>
      <c r="AQ184" s="13"/>
      <c r="AR184" s="13"/>
    </row>
    <row r="185" spans="1:44" ht="15.75" customHeight="1">
      <c r="A185" s="9" t="s">
        <v>329</v>
      </c>
      <c r="B185" s="9" t="s">
        <v>329</v>
      </c>
      <c r="C185" s="17" t="s">
        <v>307</v>
      </c>
      <c r="D185" s="11">
        <v>95.83</v>
      </c>
      <c r="E185" s="13"/>
      <c r="F185" s="13"/>
      <c r="G185" s="11">
        <v>8.51</v>
      </c>
      <c r="H185" s="11">
        <v>1.68</v>
      </c>
      <c r="I185" s="11">
        <v>1.82</v>
      </c>
      <c r="J185" s="11">
        <v>24.19</v>
      </c>
      <c r="K185" s="11">
        <v>4.3899999999999997</v>
      </c>
      <c r="L185" s="11">
        <v>5.96</v>
      </c>
      <c r="M185" s="13"/>
      <c r="N185" s="11">
        <v>0.94</v>
      </c>
      <c r="O185" s="11">
        <v>1.57</v>
      </c>
      <c r="P185" s="11"/>
      <c r="Q185" s="11"/>
      <c r="R185" s="13"/>
      <c r="S185" s="11">
        <v>47.2</v>
      </c>
      <c r="T185" s="9"/>
      <c r="U185" s="13"/>
      <c r="V185" s="13"/>
      <c r="X185" s="13"/>
      <c r="Y185" s="11">
        <v>1262.52</v>
      </c>
      <c r="Z185" s="13"/>
      <c r="AA185" s="13"/>
      <c r="AB185" s="13"/>
      <c r="AC185" s="13"/>
      <c r="AD185" s="13"/>
      <c r="AE185" s="13"/>
      <c r="AF185" s="13"/>
      <c r="AG185" s="9"/>
      <c r="AJ185" s="11">
        <v>1454.61</v>
      </c>
      <c r="AK185" s="11">
        <v>1303.82</v>
      </c>
      <c r="AL185" s="9">
        <v>150.80000000000001</v>
      </c>
      <c r="AM185" s="23" t="s">
        <v>330</v>
      </c>
      <c r="AN185" s="13"/>
      <c r="AO185" s="13"/>
      <c r="AP185" s="13"/>
      <c r="AQ185" s="13"/>
      <c r="AR185" s="13"/>
    </row>
    <row r="186" spans="1:44" ht="15.75" customHeight="1">
      <c r="A186" s="9" t="s">
        <v>331</v>
      </c>
      <c r="B186" s="9" t="s">
        <v>91</v>
      </c>
      <c r="C186" s="17" t="s">
        <v>307</v>
      </c>
      <c r="D186" s="11">
        <v>734.78</v>
      </c>
      <c r="E186" s="13"/>
      <c r="F186" s="13"/>
      <c r="G186" s="11">
        <v>9.18</v>
      </c>
      <c r="H186" s="11">
        <v>2.06</v>
      </c>
      <c r="I186" s="11">
        <v>1.33</v>
      </c>
      <c r="J186" s="11">
        <v>396.37</v>
      </c>
      <c r="K186" s="11">
        <v>4.67</v>
      </c>
      <c r="L186" s="11">
        <v>4.4800000000000004</v>
      </c>
      <c r="M186" s="13"/>
      <c r="N186" s="11">
        <v>4.8499999999999996</v>
      </c>
      <c r="O186" s="11">
        <v>4.59</v>
      </c>
      <c r="P186" s="9"/>
      <c r="Q186" s="9"/>
      <c r="R186" s="13"/>
      <c r="S186" s="11">
        <v>126.34</v>
      </c>
      <c r="T186" s="9"/>
      <c r="U186" s="13"/>
      <c r="V186" s="13"/>
      <c r="X186" s="13"/>
      <c r="Y186" s="11">
        <v>80</v>
      </c>
      <c r="Z186" s="13"/>
      <c r="AA186" s="13"/>
      <c r="AB186" s="13"/>
      <c r="AC186" s="13"/>
      <c r="AD186" s="13"/>
      <c r="AE186" s="13"/>
      <c r="AF186" s="13"/>
      <c r="AG186" s="9"/>
      <c r="AJ186" s="11">
        <v>1368.65</v>
      </c>
      <c r="AK186" s="9"/>
      <c r="AL186" s="9">
        <v>1368.65</v>
      </c>
      <c r="AM186" s="23" t="s">
        <v>332</v>
      </c>
      <c r="AN186" s="13"/>
      <c r="AO186" s="13"/>
      <c r="AP186" s="13"/>
      <c r="AQ186" s="13"/>
      <c r="AR186" s="13"/>
    </row>
    <row r="187" spans="1:44" ht="15.75" customHeight="1">
      <c r="A187" s="9" t="s">
        <v>93</v>
      </c>
      <c r="B187" s="9" t="s">
        <v>93</v>
      </c>
      <c r="C187" s="17" t="s">
        <v>307</v>
      </c>
      <c r="D187" s="11">
        <v>807.08</v>
      </c>
      <c r="E187" s="13"/>
      <c r="F187" s="13"/>
      <c r="G187" s="11">
        <v>5.31</v>
      </c>
      <c r="H187" s="11">
        <v>0.71</v>
      </c>
      <c r="I187" s="11">
        <v>0.27</v>
      </c>
      <c r="J187" s="11">
        <v>73.180000000000007</v>
      </c>
      <c r="K187" s="11">
        <v>1.35</v>
      </c>
      <c r="L187" s="11">
        <v>2.57</v>
      </c>
      <c r="M187" s="13"/>
      <c r="N187" s="11">
        <v>3.04</v>
      </c>
      <c r="O187" s="11">
        <v>8.43</v>
      </c>
      <c r="P187" s="9"/>
      <c r="Q187" s="9"/>
      <c r="R187" s="13"/>
      <c r="S187" s="11">
        <v>849.27</v>
      </c>
      <c r="T187" s="9"/>
      <c r="U187" s="13"/>
      <c r="V187" s="13"/>
      <c r="X187" s="13"/>
      <c r="Y187" s="11">
        <v>1260</v>
      </c>
      <c r="Z187" s="13"/>
      <c r="AA187" s="13"/>
      <c r="AB187" s="13"/>
      <c r="AC187" s="13"/>
      <c r="AD187" s="13"/>
      <c r="AE187" s="13"/>
      <c r="AF187" s="13"/>
      <c r="AG187" s="11">
        <v>4.2</v>
      </c>
      <c r="AJ187" s="11">
        <v>3015.41</v>
      </c>
      <c r="AK187" s="9">
        <v>740.63</v>
      </c>
      <c r="AL187" s="9">
        <v>2274.7800000000002</v>
      </c>
      <c r="AM187" s="23" t="s">
        <v>333</v>
      </c>
      <c r="AN187" s="13"/>
      <c r="AO187" s="13"/>
      <c r="AP187" s="13"/>
      <c r="AQ187" s="13"/>
      <c r="AR187" s="13"/>
    </row>
    <row r="188" spans="1:44" ht="15.75" customHeight="1">
      <c r="A188" s="9" t="s">
        <v>334</v>
      </c>
      <c r="B188" s="9" t="s">
        <v>334</v>
      </c>
      <c r="C188" s="17" t="s">
        <v>307</v>
      </c>
      <c r="D188" s="11">
        <v>698.56</v>
      </c>
      <c r="E188" s="13"/>
      <c r="F188" s="13"/>
      <c r="G188" s="11">
        <v>18.739999999999998</v>
      </c>
      <c r="H188" s="11">
        <v>2.0299999999999998</v>
      </c>
      <c r="I188" s="11">
        <v>0.17</v>
      </c>
      <c r="J188" s="9"/>
      <c r="K188" s="11">
        <v>2.31</v>
      </c>
      <c r="L188" s="11">
        <v>4.0999999999999996</v>
      </c>
      <c r="M188" s="13"/>
      <c r="N188" s="11">
        <v>8.27</v>
      </c>
      <c r="O188" s="11">
        <v>4.2699999999999996</v>
      </c>
      <c r="P188" s="11"/>
      <c r="Q188" s="11"/>
      <c r="R188" s="13"/>
      <c r="S188" s="11">
        <v>2013.22</v>
      </c>
      <c r="T188" s="9"/>
      <c r="U188" s="13"/>
      <c r="V188" s="13"/>
      <c r="X188" s="13"/>
      <c r="Y188" s="11">
        <v>3062.92</v>
      </c>
      <c r="Z188" s="13"/>
      <c r="AA188" s="13"/>
      <c r="AB188" s="13"/>
      <c r="AC188" s="13"/>
      <c r="AD188" s="13"/>
      <c r="AE188" s="13"/>
      <c r="AF188" s="13"/>
      <c r="AG188" s="11">
        <v>0.42</v>
      </c>
      <c r="AJ188" s="11">
        <v>5815.01</v>
      </c>
      <c r="AK188" s="11">
        <v>2746.82</v>
      </c>
      <c r="AL188" s="9">
        <v>3069.19</v>
      </c>
      <c r="AM188" s="23" t="s">
        <v>335</v>
      </c>
      <c r="AN188" s="13"/>
      <c r="AO188" s="13"/>
      <c r="AP188" s="13"/>
      <c r="AQ188" s="13"/>
      <c r="AR188" s="13"/>
    </row>
    <row r="189" spans="1:44" ht="15.75" customHeight="1">
      <c r="A189" s="9" t="s">
        <v>336</v>
      </c>
      <c r="B189" s="9" t="s">
        <v>242</v>
      </c>
      <c r="C189" s="17" t="s">
        <v>307</v>
      </c>
      <c r="D189" s="11">
        <v>1137.02</v>
      </c>
      <c r="E189" s="13"/>
      <c r="F189" s="13"/>
      <c r="G189" s="11">
        <v>5.76</v>
      </c>
      <c r="H189" s="11">
        <v>1.17</v>
      </c>
      <c r="I189" s="11">
        <v>1.04</v>
      </c>
      <c r="J189" s="11">
        <v>79.12</v>
      </c>
      <c r="K189" s="11">
        <v>4.8899999999999997</v>
      </c>
      <c r="L189" s="11">
        <v>78.349999999999994</v>
      </c>
      <c r="M189" s="13"/>
      <c r="N189" s="11">
        <v>6.34</v>
      </c>
      <c r="O189" s="11">
        <v>3.76</v>
      </c>
      <c r="P189" s="11"/>
      <c r="Q189" s="11"/>
      <c r="R189" s="13"/>
      <c r="S189" s="11">
        <v>1080.6400000000001</v>
      </c>
      <c r="T189" s="9"/>
      <c r="U189" s="13"/>
      <c r="V189" s="13"/>
      <c r="X189" s="13"/>
      <c r="Y189" s="11">
        <v>7638.9</v>
      </c>
      <c r="Z189" s="13"/>
      <c r="AA189" s="13"/>
      <c r="AB189" s="13"/>
      <c r="AC189" s="13"/>
      <c r="AD189" s="13"/>
      <c r="AE189" s="13"/>
      <c r="AF189" s="13"/>
      <c r="AG189" s="11">
        <v>60</v>
      </c>
      <c r="AJ189" s="11">
        <v>10096.99</v>
      </c>
      <c r="AK189" s="11">
        <v>969.48</v>
      </c>
      <c r="AL189" s="9">
        <v>9127.51</v>
      </c>
      <c r="AM189" s="23" t="s">
        <v>337</v>
      </c>
      <c r="AN189" s="13"/>
      <c r="AO189" s="13"/>
      <c r="AP189" s="13"/>
      <c r="AQ189" s="13"/>
      <c r="AR189" s="13"/>
    </row>
    <row r="190" spans="1:44" ht="15.75" customHeight="1">
      <c r="A190" s="9" t="s">
        <v>244</v>
      </c>
      <c r="B190" s="9" t="s">
        <v>244</v>
      </c>
      <c r="C190" s="17" t="s">
        <v>307</v>
      </c>
      <c r="D190" s="11">
        <v>2579.16</v>
      </c>
      <c r="E190" s="13"/>
      <c r="F190" s="13"/>
      <c r="G190" s="11">
        <v>59.3</v>
      </c>
      <c r="H190" s="11">
        <v>3.21</v>
      </c>
      <c r="I190" s="11">
        <v>0.72</v>
      </c>
      <c r="J190" s="11">
        <v>160.07</v>
      </c>
      <c r="K190" s="11">
        <v>5.08</v>
      </c>
      <c r="L190" s="11">
        <v>13</v>
      </c>
      <c r="M190" s="13"/>
      <c r="N190" s="11">
        <v>6.13</v>
      </c>
      <c r="O190" s="11">
        <v>12.57</v>
      </c>
      <c r="P190" s="11"/>
      <c r="Q190" s="11"/>
      <c r="R190" s="13"/>
      <c r="S190" s="11">
        <v>146.66</v>
      </c>
      <c r="T190" s="9"/>
      <c r="U190" s="13"/>
      <c r="V190" s="13"/>
      <c r="X190" s="13"/>
      <c r="Y190" s="9" t="s">
        <v>41</v>
      </c>
      <c r="Z190" s="13"/>
      <c r="AA190" s="13"/>
      <c r="AB190" s="13"/>
      <c r="AC190" s="13"/>
      <c r="AD190" s="13"/>
      <c r="AE190" s="13"/>
      <c r="AF190" s="13"/>
      <c r="AG190" s="11">
        <v>14.89</v>
      </c>
      <c r="AJ190" s="11">
        <v>3000.81</v>
      </c>
      <c r="AK190" s="11">
        <v>6.35</v>
      </c>
      <c r="AL190" s="9">
        <v>2994.46</v>
      </c>
      <c r="AM190" s="23" t="s">
        <v>338</v>
      </c>
      <c r="AN190" s="13"/>
      <c r="AO190" s="13"/>
      <c r="AP190" s="13"/>
      <c r="AQ190" s="13"/>
      <c r="AR190" s="13"/>
    </row>
    <row r="191" spans="1:44" ht="15.75" customHeight="1">
      <c r="A191" s="9" t="s">
        <v>339</v>
      </c>
      <c r="B191" s="9" t="s">
        <v>101</v>
      </c>
      <c r="C191" s="17" t="s">
        <v>307</v>
      </c>
      <c r="D191" s="11">
        <v>254.57</v>
      </c>
      <c r="E191" s="13"/>
      <c r="F191" s="13"/>
      <c r="G191" s="11">
        <v>11.17</v>
      </c>
      <c r="H191" s="11">
        <v>1.58</v>
      </c>
      <c r="I191" s="11">
        <v>2.09</v>
      </c>
      <c r="J191" s="11">
        <v>56.8</v>
      </c>
      <c r="K191" s="11">
        <v>13.34</v>
      </c>
      <c r="L191" s="11">
        <v>7.79</v>
      </c>
      <c r="M191" s="13"/>
      <c r="N191" s="11">
        <v>7.81</v>
      </c>
      <c r="O191" s="11">
        <v>0.8</v>
      </c>
      <c r="P191" s="11"/>
      <c r="Q191" s="11"/>
      <c r="R191" s="13"/>
      <c r="S191" s="11">
        <v>32.049999999999997</v>
      </c>
      <c r="T191" s="9"/>
      <c r="U191" s="13"/>
      <c r="V191" s="13"/>
      <c r="X191" s="13"/>
      <c r="Y191" s="11">
        <v>1357</v>
      </c>
      <c r="Z191" s="13"/>
      <c r="AA191" s="13"/>
      <c r="AB191" s="13"/>
      <c r="AC191" s="13"/>
      <c r="AD191" s="13"/>
      <c r="AE191" s="13"/>
      <c r="AF191" s="13"/>
      <c r="AG191" s="9"/>
      <c r="AJ191" s="11">
        <v>1745</v>
      </c>
      <c r="AK191" s="11">
        <v>61</v>
      </c>
      <c r="AL191" s="9">
        <v>1684</v>
      </c>
      <c r="AM191" s="23" t="s">
        <v>340</v>
      </c>
      <c r="AN191" s="13"/>
      <c r="AO191" s="13"/>
      <c r="AP191" s="13"/>
      <c r="AQ191" s="13"/>
      <c r="AR191" s="13"/>
    </row>
    <row r="192" spans="1:44" ht="15.75" customHeight="1">
      <c r="A192" s="9" t="s">
        <v>341</v>
      </c>
      <c r="B192" s="9" t="s">
        <v>103</v>
      </c>
      <c r="C192" s="17" t="s">
        <v>307</v>
      </c>
      <c r="D192" s="11">
        <v>470.54</v>
      </c>
      <c r="E192" s="13"/>
      <c r="F192" s="13"/>
      <c r="G192" s="11">
        <v>47.88</v>
      </c>
      <c r="H192" s="11">
        <v>6.46</v>
      </c>
      <c r="I192" s="11">
        <v>989.05</v>
      </c>
      <c r="J192" s="11">
        <v>56.32</v>
      </c>
      <c r="K192" s="11">
        <v>7.04</v>
      </c>
      <c r="L192" s="11">
        <v>27.15</v>
      </c>
      <c r="M192" s="13"/>
      <c r="N192" s="11">
        <v>6.19</v>
      </c>
      <c r="O192" s="11">
        <v>11.12</v>
      </c>
      <c r="P192" s="9"/>
      <c r="Q192" s="9"/>
      <c r="R192" s="13"/>
      <c r="S192" s="11">
        <v>128.35</v>
      </c>
      <c r="T192" s="9"/>
      <c r="U192" s="13"/>
      <c r="V192" s="13"/>
      <c r="X192" s="13"/>
      <c r="Y192" s="11">
        <v>4975.05</v>
      </c>
      <c r="Z192" s="13"/>
      <c r="AA192" s="13"/>
      <c r="AB192" s="13"/>
      <c r="AC192" s="13"/>
      <c r="AD192" s="13"/>
      <c r="AE192" s="13"/>
      <c r="AF192" s="13"/>
      <c r="AG192" s="11">
        <v>0.4</v>
      </c>
      <c r="AJ192" s="11">
        <v>6725.57</v>
      </c>
      <c r="AK192" s="9" t="s">
        <v>41</v>
      </c>
      <c r="AL192" s="9">
        <v>6725.57</v>
      </c>
      <c r="AM192" s="23" t="s">
        <v>342</v>
      </c>
      <c r="AN192" s="13"/>
      <c r="AO192" s="13"/>
      <c r="AP192" s="13"/>
      <c r="AQ192" s="13"/>
      <c r="AR192" s="13"/>
    </row>
    <row r="193" spans="1:44" ht="15.75" customHeight="1">
      <c r="A193" s="9" t="s">
        <v>105</v>
      </c>
      <c r="B193" s="9" t="s">
        <v>105</v>
      </c>
      <c r="C193" s="17" t="s">
        <v>307</v>
      </c>
      <c r="D193" s="11">
        <v>215.8</v>
      </c>
      <c r="E193" s="13"/>
      <c r="F193" s="13"/>
      <c r="G193" s="11">
        <v>9.75</v>
      </c>
      <c r="H193" s="11">
        <v>2.4900000000000002</v>
      </c>
      <c r="I193" s="11">
        <v>0.05</v>
      </c>
      <c r="J193" s="11">
        <v>48.19</v>
      </c>
      <c r="K193" s="11">
        <v>1.58</v>
      </c>
      <c r="L193" s="11">
        <v>5611</v>
      </c>
      <c r="M193" s="13"/>
      <c r="N193" s="11">
        <v>5.15</v>
      </c>
      <c r="O193" s="11">
        <v>2.73</v>
      </c>
      <c r="P193" s="9"/>
      <c r="Q193" s="9"/>
      <c r="R193" s="13"/>
      <c r="S193" s="11">
        <v>38.770000000000003</v>
      </c>
      <c r="T193" s="9"/>
      <c r="U193" s="13"/>
      <c r="V193" s="13"/>
      <c r="X193" s="13"/>
      <c r="Y193" s="11">
        <v>926.35</v>
      </c>
      <c r="Z193" s="13"/>
      <c r="AA193" s="13"/>
      <c r="AB193" s="13"/>
      <c r="AC193" s="13"/>
      <c r="AD193" s="13"/>
      <c r="AE193" s="13"/>
      <c r="AF193" s="13"/>
      <c r="AG193" s="9"/>
      <c r="AJ193" s="11">
        <v>1256.46</v>
      </c>
      <c r="AK193" s="9"/>
      <c r="AL193" s="9">
        <v>1256.46</v>
      </c>
      <c r="AM193" s="23" t="s">
        <v>343</v>
      </c>
      <c r="AN193" s="13"/>
      <c r="AO193" s="13"/>
      <c r="AP193" s="13"/>
      <c r="AQ193" s="13"/>
      <c r="AR193" s="13"/>
    </row>
    <row r="194" spans="1:44" ht="15.75" customHeight="1">
      <c r="A194" s="9" t="s">
        <v>107</v>
      </c>
      <c r="B194" s="9" t="s">
        <v>107</v>
      </c>
      <c r="C194" s="17" t="s">
        <v>307</v>
      </c>
      <c r="D194" s="11">
        <v>250.63</v>
      </c>
      <c r="E194" s="13"/>
      <c r="F194" s="13"/>
      <c r="G194" s="11">
        <v>32.19</v>
      </c>
      <c r="H194" s="11">
        <v>6.35</v>
      </c>
      <c r="I194" s="11">
        <v>10.26</v>
      </c>
      <c r="J194" s="11">
        <v>79.27</v>
      </c>
      <c r="K194" s="11">
        <v>6.57</v>
      </c>
      <c r="L194" s="11">
        <v>35</v>
      </c>
      <c r="M194" s="13"/>
      <c r="N194" s="11">
        <v>4.28</v>
      </c>
      <c r="O194" s="11">
        <v>4.12</v>
      </c>
      <c r="P194" s="11"/>
      <c r="Q194" s="11"/>
      <c r="R194" s="13"/>
      <c r="S194" s="11">
        <v>62.12</v>
      </c>
      <c r="T194" s="9"/>
      <c r="U194" s="13"/>
      <c r="V194" s="13"/>
      <c r="X194" s="13"/>
      <c r="Y194" s="11">
        <v>2242.31</v>
      </c>
      <c r="Z194" s="13"/>
      <c r="AA194" s="13"/>
      <c r="AB194" s="13"/>
      <c r="AC194" s="13"/>
      <c r="AD194" s="13"/>
      <c r="AE194" s="13"/>
      <c r="AF194" s="13"/>
      <c r="AG194" s="9"/>
      <c r="AJ194" s="11">
        <v>2733.1</v>
      </c>
      <c r="AK194" s="11">
        <v>291.12</v>
      </c>
      <c r="AL194" s="9">
        <v>2441.98</v>
      </c>
      <c r="AM194" s="23" t="s">
        <v>344</v>
      </c>
      <c r="AN194" s="13"/>
      <c r="AO194" s="13"/>
      <c r="AP194" s="13"/>
      <c r="AQ194" s="13"/>
      <c r="AR194" s="13"/>
    </row>
    <row r="195" spans="1:44" ht="15.75" customHeight="1">
      <c r="A195" s="9" t="s">
        <v>345</v>
      </c>
      <c r="B195" s="9" t="s">
        <v>345</v>
      </c>
      <c r="C195" s="17" t="s">
        <v>307</v>
      </c>
      <c r="D195" s="11">
        <v>378.24</v>
      </c>
      <c r="E195" s="13"/>
      <c r="F195" s="13"/>
      <c r="G195" s="11">
        <v>35.409999999999997</v>
      </c>
      <c r="H195" s="11">
        <v>7.24</v>
      </c>
      <c r="I195" s="11">
        <v>1.72</v>
      </c>
      <c r="J195" s="9"/>
      <c r="K195" s="11">
        <v>9.9600000000000009</v>
      </c>
      <c r="L195" s="11">
        <v>25.13</v>
      </c>
      <c r="M195" s="13"/>
      <c r="N195" s="11">
        <v>10.35</v>
      </c>
      <c r="O195" s="11">
        <v>16.510000000000002</v>
      </c>
      <c r="P195" s="9"/>
      <c r="Q195" s="9"/>
      <c r="R195" s="13"/>
      <c r="S195" s="11">
        <v>82.49</v>
      </c>
      <c r="T195" s="9"/>
      <c r="U195" s="13"/>
      <c r="V195" s="13"/>
      <c r="X195" s="13"/>
      <c r="Y195" s="11">
        <v>10395.86</v>
      </c>
      <c r="Z195" s="13"/>
      <c r="AA195" s="13"/>
      <c r="AB195" s="13"/>
      <c r="AC195" s="13"/>
      <c r="AD195" s="13"/>
      <c r="AE195" s="13"/>
      <c r="AF195" s="13"/>
      <c r="AG195" s="9"/>
      <c r="AJ195" s="11">
        <v>10962.9</v>
      </c>
      <c r="AK195" s="9"/>
      <c r="AL195" s="9">
        <v>10962.9</v>
      </c>
      <c r="AM195" s="23" t="s">
        <v>346</v>
      </c>
      <c r="AN195" s="13"/>
      <c r="AO195" s="13"/>
      <c r="AP195" s="13"/>
      <c r="AQ195" s="13"/>
      <c r="AR195" s="13"/>
    </row>
    <row r="196" spans="1:44" ht="15.75" customHeight="1">
      <c r="A196" s="9" t="s">
        <v>252</v>
      </c>
      <c r="B196" s="9" t="s">
        <v>252</v>
      </c>
      <c r="C196" s="17" t="s">
        <v>307</v>
      </c>
      <c r="D196" s="11">
        <v>1445.58</v>
      </c>
      <c r="E196" s="13"/>
      <c r="F196" s="13"/>
      <c r="G196" s="11">
        <v>24.39</v>
      </c>
      <c r="H196" s="11">
        <v>1.27</v>
      </c>
      <c r="I196" s="11">
        <v>2.5099999999999998</v>
      </c>
      <c r="J196" s="11">
        <v>52.68</v>
      </c>
      <c r="K196" s="11">
        <v>4.16</v>
      </c>
      <c r="L196" s="11">
        <v>20.83</v>
      </c>
      <c r="M196" s="13"/>
      <c r="N196" s="11">
        <v>4.8899999999999997</v>
      </c>
      <c r="O196" s="11">
        <v>2.1</v>
      </c>
      <c r="P196" s="11"/>
      <c r="Q196" s="11"/>
      <c r="R196" s="13"/>
      <c r="S196" s="11">
        <v>321.91000000000003</v>
      </c>
      <c r="T196" s="9"/>
      <c r="U196" s="13"/>
      <c r="V196" s="13"/>
      <c r="X196" s="13"/>
      <c r="Y196" s="11">
        <v>1365.4</v>
      </c>
      <c r="Z196" s="13"/>
      <c r="AA196" s="13"/>
      <c r="AB196" s="13"/>
      <c r="AC196" s="13"/>
      <c r="AD196" s="13"/>
      <c r="AE196" s="13"/>
      <c r="AF196" s="13"/>
      <c r="AG196" s="9"/>
      <c r="AJ196" s="11">
        <v>3245.73</v>
      </c>
      <c r="AK196" s="11">
        <v>1033.9100000000001</v>
      </c>
      <c r="AL196" s="9">
        <v>2211.83</v>
      </c>
      <c r="AM196" s="23" t="s">
        <v>347</v>
      </c>
      <c r="AN196" s="13"/>
      <c r="AO196" s="13"/>
      <c r="AP196" s="13"/>
      <c r="AQ196" s="13"/>
      <c r="AR196" s="13"/>
    </row>
    <row r="197" spans="1:44" ht="15.75" customHeight="1">
      <c r="A197" s="9" t="s">
        <v>348</v>
      </c>
      <c r="B197" s="9" t="s">
        <v>117</v>
      </c>
      <c r="C197" s="17" t="s">
        <v>307</v>
      </c>
      <c r="D197" s="11">
        <v>882.99</v>
      </c>
      <c r="E197" s="13"/>
      <c r="F197" s="13"/>
      <c r="G197" s="11">
        <v>10.81</v>
      </c>
      <c r="H197" s="9"/>
      <c r="I197" s="11">
        <v>2.12</v>
      </c>
      <c r="J197" s="11">
        <v>18</v>
      </c>
      <c r="K197" s="11">
        <v>4.0199999999999996</v>
      </c>
      <c r="L197" s="11">
        <v>4.78</v>
      </c>
      <c r="M197" s="13"/>
      <c r="N197" s="11">
        <v>3.15</v>
      </c>
      <c r="O197" s="11">
        <v>18.57</v>
      </c>
      <c r="P197" s="11"/>
      <c r="Q197" s="11"/>
      <c r="R197" s="13"/>
      <c r="S197" s="11">
        <v>92.9</v>
      </c>
      <c r="T197" s="9"/>
      <c r="U197" s="13"/>
      <c r="V197" s="13"/>
      <c r="X197" s="13"/>
      <c r="Y197" s="11">
        <v>8607.93</v>
      </c>
      <c r="Z197" s="13"/>
      <c r="AA197" s="13"/>
      <c r="AB197" s="13"/>
      <c r="AC197" s="13"/>
      <c r="AD197" s="13"/>
      <c r="AE197" s="13"/>
      <c r="AF197" s="13"/>
      <c r="AG197" s="11">
        <v>1.36</v>
      </c>
      <c r="AJ197" s="11">
        <v>9646.6299999999992</v>
      </c>
      <c r="AK197" s="11">
        <v>1678.63</v>
      </c>
      <c r="AL197" s="9">
        <v>7968</v>
      </c>
      <c r="AM197" s="23" t="s">
        <v>349</v>
      </c>
      <c r="AN197" s="13"/>
      <c r="AO197" s="13"/>
      <c r="AP197" s="13"/>
      <c r="AQ197" s="13"/>
      <c r="AR197" s="13"/>
    </row>
    <row r="198" spans="1:44" ht="15.75" customHeight="1">
      <c r="A198" s="9" t="s">
        <v>255</v>
      </c>
      <c r="B198" s="9" t="s">
        <v>255</v>
      </c>
      <c r="C198" s="17" t="s">
        <v>307</v>
      </c>
      <c r="D198" s="11">
        <v>164.56</v>
      </c>
      <c r="E198" s="13"/>
      <c r="F198" s="13"/>
      <c r="G198" s="11">
        <v>12.49</v>
      </c>
      <c r="H198" s="11">
        <v>3.87</v>
      </c>
      <c r="I198" s="11">
        <v>2.14</v>
      </c>
      <c r="J198" s="9"/>
      <c r="K198" s="11">
        <v>7.68</v>
      </c>
      <c r="L198" s="11">
        <v>2.84</v>
      </c>
      <c r="M198" s="13"/>
      <c r="N198" s="11">
        <v>5.97</v>
      </c>
      <c r="O198" s="11">
        <v>1.68</v>
      </c>
      <c r="P198" s="9"/>
      <c r="Q198" s="9"/>
      <c r="R198" s="13"/>
      <c r="S198" s="11">
        <v>44.65</v>
      </c>
      <c r="T198" s="9"/>
      <c r="U198" s="13"/>
      <c r="V198" s="13"/>
      <c r="X198" s="13"/>
      <c r="Y198" s="11">
        <v>1976.75</v>
      </c>
      <c r="Z198" s="13"/>
      <c r="AA198" s="13"/>
      <c r="AB198" s="13"/>
      <c r="AC198" s="13"/>
      <c r="AD198" s="13"/>
      <c r="AE198" s="13"/>
      <c r="AF198" s="13"/>
      <c r="AG198" s="9"/>
      <c r="AJ198" s="11">
        <v>2222.63</v>
      </c>
      <c r="AK198" s="9"/>
      <c r="AL198" s="9">
        <v>2222.63</v>
      </c>
      <c r="AM198" s="23" t="s">
        <v>350</v>
      </c>
      <c r="AN198" s="13"/>
      <c r="AO198" s="13"/>
      <c r="AP198" s="13"/>
      <c r="AQ198" s="13"/>
      <c r="AR198" s="13"/>
    </row>
    <row r="199" spans="1:44" ht="15.75" customHeight="1">
      <c r="A199" s="9" t="s">
        <v>119</v>
      </c>
      <c r="B199" s="9" t="s">
        <v>119</v>
      </c>
      <c r="C199" s="17" t="s">
        <v>307</v>
      </c>
      <c r="D199" s="11">
        <v>230.68</v>
      </c>
      <c r="E199" s="13"/>
      <c r="F199" s="13"/>
      <c r="G199" s="11">
        <v>24.61</v>
      </c>
      <c r="H199" s="11">
        <v>5.04</v>
      </c>
      <c r="I199" s="11">
        <v>3</v>
      </c>
      <c r="J199" s="11">
        <v>8.86</v>
      </c>
      <c r="K199" s="11">
        <v>5.45</v>
      </c>
      <c r="L199" s="11">
        <v>13.2</v>
      </c>
      <c r="M199" s="13"/>
      <c r="N199" s="11">
        <v>4.32</v>
      </c>
      <c r="O199" s="11">
        <v>4.6399999999999997</v>
      </c>
      <c r="P199" s="11"/>
      <c r="Q199" s="11"/>
      <c r="R199" s="13"/>
      <c r="S199" s="11">
        <v>62.51</v>
      </c>
      <c r="T199" s="9"/>
      <c r="U199" s="13"/>
      <c r="V199" s="13"/>
      <c r="X199" s="13"/>
      <c r="Y199" s="11">
        <v>1078.3900000000001</v>
      </c>
      <c r="Z199" s="13"/>
      <c r="AA199" s="13"/>
      <c r="AB199" s="13"/>
      <c r="AC199" s="13"/>
      <c r="AD199" s="13"/>
      <c r="AE199" s="13"/>
      <c r="AF199" s="13"/>
      <c r="AG199" s="9"/>
      <c r="AJ199" s="11">
        <v>1440.69</v>
      </c>
      <c r="AK199" s="11">
        <v>1006.4</v>
      </c>
      <c r="AL199" s="9">
        <v>434.29</v>
      </c>
      <c r="AM199" s="23" t="s">
        <v>351</v>
      </c>
      <c r="AN199" s="13"/>
      <c r="AO199" s="13"/>
      <c r="AP199" s="13"/>
      <c r="AQ199" s="13"/>
      <c r="AR199" s="13"/>
    </row>
    <row r="200" spans="1:44" ht="15.75" customHeight="1">
      <c r="A200" s="9" t="s">
        <v>121</v>
      </c>
      <c r="B200" s="9" t="s">
        <v>121</v>
      </c>
      <c r="C200" s="17" t="s">
        <v>307</v>
      </c>
      <c r="D200" s="11">
        <v>447.96</v>
      </c>
      <c r="E200" s="13"/>
      <c r="F200" s="13"/>
      <c r="G200" s="11">
        <v>59.22</v>
      </c>
      <c r="H200" s="11">
        <v>23.92</v>
      </c>
      <c r="I200" s="11">
        <v>1.96</v>
      </c>
      <c r="J200" s="11">
        <v>115.4</v>
      </c>
      <c r="K200" s="11">
        <v>3.64</v>
      </c>
      <c r="L200" s="11">
        <v>36.61</v>
      </c>
      <c r="M200" s="13"/>
      <c r="N200" s="11">
        <v>5.47</v>
      </c>
      <c r="O200" s="11">
        <v>4.07</v>
      </c>
      <c r="P200" s="9"/>
      <c r="Q200" s="9"/>
      <c r="R200" s="13"/>
      <c r="S200" s="11">
        <v>110.4</v>
      </c>
      <c r="T200" s="9"/>
      <c r="U200" s="13"/>
      <c r="V200" s="13"/>
      <c r="X200" s="13"/>
      <c r="Y200" s="11">
        <v>1466.99</v>
      </c>
      <c r="Z200" s="13"/>
      <c r="AA200" s="13"/>
      <c r="AB200" s="13"/>
      <c r="AC200" s="13"/>
      <c r="AD200" s="13"/>
      <c r="AE200" s="13"/>
      <c r="AF200" s="13"/>
      <c r="AG200" s="11">
        <v>3.73</v>
      </c>
      <c r="AJ200" s="11">
        <v>2279.37</v>
      </c>
      <c r="AK200" s="9"/>
      <c r="AL200" s="9">
        <v>2279.37</v>
      </c>
      <c r="AM200" s="23" t="s">
        <v>352</v>
      </c>
      <c r="AN200" s="13"/>
      <c r="AO200" s="13"/>
      <c r="AP200" s="13"/>
      <c r="AQ200" s="13"/>
      <c r="AR200" s="13"/>
    </row>
    <row r="201" spans="1:44" ht="15.75" customHeight="1">
      <c r="A201" s="9" t="s">
        <v>353</v>
      </c>
      <c r="B201" s="9" t="s">
        <v>353</v>
      </c>
      <c r="C201" s="17" t="s">
        <v>307</v>
      </c>
      <c r="D201" s="11">
        <v>406.74</v>
      </c>
      <c r="E201" s="13"/>
      <c r="F201" s="13"/>
      <c r="G201" s="11">
        <v>30.06</v>
      </c>
      <c r="H201" s="11">
        <v>10.34</v>
      </c>
      <c r="I201" s="11">
        <v>7.89</v>
      </c>
      <c r="J201" s="11">
        <v>118.98</v>
      </c>
      <c r="K201" s="11">
        <v>20.399999999999999</v>
      </c>
      <c r="L201" s="11">
        <v>9.82</v>
      </c>
      <c r="M201" s="13"/>
      <c r="N201" s="11">
        <v>8.73</v>
      </c>
      <c r="O201" s="11">
        <v>2.41</v>
      </c>
      <c r="P201" s="11"/>
      <c r="Q201" s="11"/>
      <c r="R201" s="13"/>
      <c r="S201" s="11">
        <v>76.540000000000006</v>
      </c>
      <c r="T201" s="9"/>
      <c r="U201" s="13"/>
      <c r="V201" s="13"/>
      <c r="X201" s="13"/>
      <c r="Y201" s="11">
        <v>2454.41</v>
      </c>
      <c r="Z201" s="13"/>
      <c r="AA201" s="13"/>
      <c r="AB201" s="13"/>
      <c r="AC201" s="13"/>
      <c r="AD201" s="13"/>
      <c r="AE201" s="13"/>
      <c r="AF201" s="13"/>
      <c r="AG201" s="9"/>
      <c r="AJ201" s="11">
        <v>3146.33</v>
      </c>
      <c r="AK201" s="11">
        <v>960.41</v>
      </c>
      <c r="AL201" s="9">
        <v>2185.92</v>
      </c>
      <c r="AM201" s="23" t="s">
        <v>354</v>
      </c>
      <c r="AN201" s="13"/>
      <c r="AO201" s="13"/>
      <c r="AP201" s="13"/>
      <c r="AQ201" s="13"/>
      <c r="AR201" s="13"/>
    </row>
    <row r="202" spans="1:44" ht="15.75" customHeight="1">
      <c r="A202" s="9" t="s">
        <v>264</v>
      </c>
      <c r="B202" s="9" t="s">
        <v>264</v>
      </c>
      <c r="C202" s="17" t="s">
        <v>307</v>
      </c>
      <c r="D202" s="11">
        <v>764.11</v>
      </c>
      <c r="E202" s="13"/>
      <c r="F202" s="13"/>
      <c r="G202" s="11">
        <v>59.89</v>
      </c>
      <c r="H202" s="11">
        <v>38.97</v>
      </c>
      <c r="I202" s="11">
        <v>3.93</v>
      </c>
      <c r="J202" s="11">
        <v>211.17</v>
      </c>
      <c r="K202" s="11">
        <v>6.37</v>
      </c>
      <c r="L202" s="11">
        <v>50.03</v>
      </c>
      <c r="M202" s="13"/>
      <c r="N202" s="11">
        <v>10.86</v>
      </c>
      <c r="O202" s="11">
        <v>4.22</v>
      </c>
      <c r="P202" s="11"/>
      <c r="Q202" s="11"/>
      <c r="R202" s="13"/>
      <c r="S202" s="11">
        <v>99.35</v>
      </c>
      <c r="T202" s="9"/>
      <c r="U202" s="13"/>
      <c r="V202" s="13"/>
      <c r="X202" s="13"/>
      <c r="Y202" s="11">
        <v>1481.99</v>
      </c>
      <c r="Z202" s="13"/>
      <c r="AA202" s="13"/>
      <c r="AB202" s="13"/>
      <c r="AC202" s="13"/>
      <c r="AD202" s="13"/>
      <c r="AE202" s="13"/>
      <c r="AF202" s="13"/>
      <c r="AG202" s="11">
        <v>0.03</v>
      </c>
      <c r="AJ202" s="11">
        <v>2730.92</v>
      </c>
      <c r="AK202" s="11">
        <v>1121.45</v>
      </c>
      <c r="AL202" s="9">
        <v>1609.47</v>
      </c>
      <c r="AM202" s="23" t="s">
        <v>355</v>
      </c>
      <c r="AN202" s="13"/>
      <c r="AO202" s="13"/>
      <c r="AP202" s="13"/>
      <c r="AQ202" s="13"/>
      <c r="AR202" s="13"/>
    </row>
    <row r="203" spans="1:44" ht="15.75" customHeight="1">
      <c r="A203" s="9" t="s">
        <v>356</v>
      </c>
      <c r="B203" s="9" t="s">
        <v>131</v>
      </c>
      <c r="C203" s="17" t="s">
        <v>307</v>
      </c>
      <c r="D203" s="11">
        <v>1657.32</v>
      </c>
      <c r="E203" s="13"/>
      <c r="F203" s="13"/>
      <c r="G203" s="11">
        <v>39.869999999999997</v>
      </c>
      <c r="H203" s="11">
        <v>4.0999999999999996</v>
      </c>
      <c r="I203" s="11">
        <v>43.6</v>
      </c>
      <c r="J203" s="11">
        <v>29.89</v>
      </c>
      <c r="K203" s="11">
        <v>2.76</v>
      </c>
      <c r="L203" s="11">
        <v>29.47</v>
      </c>
      <c r="M203" s="13"/>
      <c r="N203" s="11">
        <v>5.82</v>
      </c>
      <c r="O203" s="11">
        <v>8.11</v>
      </c>
      <c r="P203" s="11"/>
      <c r="Q203" s="11"/>
      <c r="R203" s="13"/>
      <c r="S203" s="11">
        <v>29846.2</v>
      </c>
      <c r="T203" s="9"/>
      <c r="U203" s="13"/>
      <c r="V203" s="13"/>
      <c r="X203" s="13"/>
      <c r="Y203" s="11">
        <v>1436.46</v>
      </c>
      <c r="Z203" s="13"/>
      <c r="AA203" s="13"/>
      <c r="AB203" s="13"/>
      <c r="AC203" s="13"/>
      <c r="AD203" s="13"/>
      <c r="AE203" s="13"/>
      <c r="AF203" s="13"/>
      <c r="AG203" s="11">
        <v>3.49</v>
      </c>
      <c r="AJ203" s="11">
        <v>33107.08</v>
      </c>
      <c r="AK203" s="11">
        <v>112.04</v>
      </c>
      <c r="AL203" s="9">
        <v>32995.050000000003</v>
      </c>
      <c r="AM203" s="23" t="s">
        <v>357</v>
      </c>
      <c r="AN203" s="13"/>
      <c r="AO203" s="13"/>
      <c r="AP203" s="13"/>
      <c r="AQ203" s="13"/>
      <c r="AR203" s="13"/>
    </row>
    <row r="204" spans="1:44" ht="15.75" customHeight="1">
      <c r="A204" s="9" t="s">
        <v>267</v>
      </c>
      <c r="B204" s="9" t="s">
        <v>267</v>
      </c>
      <c r="C204" s="17" t="s">
        <v>307</v>
      </c>
      <c r="D204" s="11">
        <v>521.94000000000005</v>
      </c>
      <c r="E204" s="13"/>
      <c r="F204" s="13"/>
      <c r="G204" s="11">
        <v>31.01</v>
      </c>
      <c r="H204" s="11">
        <v>2.58</v>
      </c>
      <c r="I204" s="11">
        <v>3.96</v>
      </c>
      <c r="J204" s="11">
        <v>28.45</v>
      </c>
      <c r="K204" s="11">
        <v>9.44</v>
      </c>
      <c r="L204" s="11">
        <v>15.64</v>
      </c>
      <c r="M204" s="13"/>
      <c r="N204" s="11">
        <v>18.8</v>
      </c>
      <c r="O204" s="11">
        <v>45.24</v>
      </c>
      <c r="P204" s="9"/>
      <c r="Q204" s="9"/>
      <c r="R204" s="13"/>
      <c r="S204" s="11">
        <v>81102</v>
      </c>
      <c r="T204" s="9"/>
      <c r="U204" s="13"/>
      <c r="V204" s="13"/>
      <c r="X204" s="13"/>
      <c r="Y204" s="11">
        <v>29</v>
      </c>
      <c r="Z204" s="13"/>
      <c r="AA204" s="13"/>
      <c r="AB204" s="13"/>
      <c r="AC204" s="13"/>
      <c r="AD204" s="13"/>
      <c r="AE204" s="13"/>
      <c r="AF204" s="13"/>
      <c r="AG204" s="9"/>
      <c r="AJ204" s="11">
        <v>81808.08</v>
      </c>
      <c r="AK204" s="9" t="s">
        <v>41</v>
      </c>
      <c r="AL204" s="9">
        <v>81808.08</v>
      </c>
      <c r="AM204" s="23" t="s">
        <v>358</v>
      </c>
      <c r="AN204" s="13"/>
      <c r="AO204" s="13"/>
      <c r="AP204" s="13"/>
      <c r="AQ204" s="13"/>
      <c r="AR204" s="13"/>
    </row>
    <row r="205" spans="1:44" ht="15.75" customHeight="1">
      <c r="A205" s="9" t="s">
        <v>137</v>
      </c>
      <c r="B205" s="9" t="s">
        <v>137</v>
      </c>
      <c r="C205" s="17" t="s">
        <v>307</v>
      </c>
      <c r="D205" s="11">
        <v>212.97</v>
      </c>
      <c r="E205" s="13"/>
      <c r="F205" s="13"/>
      <c r="G205" s="11">
        <v>37.82</v>
      </c>
      <c r="H205" s="11">
        <v>48.42</v>
      </c>
      <c r="I205" s="11">
        <v>0.87</v>
      </c>
      <c r="J205" s="11">
        <v>36.22</v>
      </c>
      <c r="K205" s="11">
        <v>2.71</v>
      </c>
      <c r="L205" s="11">
        <v>20.21</v>
      </c>
      <c r="M205" s="13"/>
      <c r="N205" s="11">
        <v>8.41</v>
      </c>
      <c r="O205" s="11">
        <v>5.01</v>
      </c>
      <c r="P205" s="11"/>
      <c r="Q205" s="11"/>
      <c r="R205" s="13"/>
      <c r="S205" s="11">
        <v>4325.57</v>
      </c>
      <c r="T205" s="9"/>
      <c r="U205" s="13"/>
      <c r="V205" s="13"/>
      <c r="X205" s="13"/>
      <c r="Y205" s="11">
        <v>870</v>
      </c>
      <c r="Z205" s="13"/>
      <c r="AA205" s="13"/>
      <c r="AB205" s="13"/>
      <c r="AC205" s="13"/>
      <c r="AD205" s="13"/>
      <c r="AE205" s="13"/>
      <c r="AF205" s="13"/>
      <c r="AG205" s="11">
        <v>0.11</v>
      </c>
      <c r="AJ205" s="11">
        <v>5568.31</v>
      </c>
      <c r="AK205" s="11">
        <v>4243.9799999999996</v>
      </c>
      <c r="AL205" s="9">
        <v>1324.33</v>
      </c>
      <c r="AM205" s="23" t="s">
        <v>359</v>
      </c>
      <c r="AN205" s="13"/>
      <c r="AO205" s="13"/>
      <c r="AP205" s="13"/>
      <c r="AQ205" s="13"/>
      <c r="AR205" s="13"/>
    </row>
    <row r="206" spans="1:44" ht="15.75" customHeight="1">
      <c r="A206" s="9" t="s">
        <v>139</v>
      </c>
      <c r="B206" s="9" t="s">
        <v>139</v>
      </c>
      <c r="C206" s="17" t="s">
        <v>307</v>
      </c>
      <c r="D206" s="11">
        <v>130.25</v>
      </c>
      <c r="E206" s="13"/>
      <c r="F206" s="13"/>
      <c r="G206" s="11">
        <v>20.67</v>
      </c>
      <c r="H206" s="11">
        <v>2.5299999999999998</v>
      </c>
      <c r="I206" s="11">
        <v>0.42</v>
      </c>
      <c r="J206" s="11">
        <v>57.52</v>
      </c>
      <c r="K206" s="11">
        <v>8</v>
      </c>
      <c r="L206" s="11">
        <v>4.46</v>
      </c>
      <c r="M206" s="13"/>
      <c r="N206" s="11">
        <v>1.91</v>
      </c>
      <c r="O206" s="11">
        <v>0.73</v>
      </c>
      <c r="P206" s="11"/>
      <c r="Q206" s="11"/>
      <c r="R206" s="13"/>
      <c r="S206" s="11">
        <v>2579.15</v>
      </c>
      <c r="T206" s="9"/>
      <c r="U206" s="13"/>
      <c r="V206" s="13"/>
      <c r="X206" s="13"/>
      <c r="Y206" s="11">
        <v>4409.2</v>
      </c>
      <c r="Z206" s="13"/>
      <c r="AA206" s="13"/>
      <c r="AB206" s="13"/>
      <c r="AC206" s="13"/>
      <c r="AD206" s="13"/>
      <c r="AE206" s="13"/>
      <c r="AF206" s="13"/>
      <c r="AG206" s="11">
        <v>574.42999999999995</v>
      </c>
      <c r="AJ206" s="11">
        <v>7789.27</v>
      </c>
      <c r="AK206" s="11">
        <v>2499.27</v>
      </c>
      <c r="AL206" s="9">
        <v>5290.01</v>
      </c>
      <c r="AM206" s="23" t="s">
        <v>360</v>
      </c>
      <c r="AN206" s="13"/>
      <c r="AO206" s="13"/>
      <c r="AP206" s="13"/>
      <c r="AQ206" s="13"/>
      <c r="AR206" s="13"/>
    </row>
    <row r="207" spans="1:44" ht="15.75" customHeight="1">
      <c r="A207" s="9" t="s">
        <v>143</v>
      </c>
      <c r="B207" s="9" t="s">
        <v>143</v>
      </c>
      <c r="C207" s="17" t="s">
        <v>307</v>
      </c>
      <c r="D207" s="11">
        <v>4725.28</v>
      </c>
      <c r="E207" s="13"/>
      <c r="F207" s="13"/>
      <c r="G207" s="11">
        <v>145.97</v>
      </c>
      <c r="H207" s="11">
        <v>13.3</v>
      </c>
      <c r="I207" s="11">
        <v>22.72</v>
      </c>
      <c r="J207" s="11">
        <v>191.19</v>
      </c>
      <c r="K207" s="11">
        <v>50.67</v>
      </c>
      <c r="L207" s="11">
        <v>119.91</v>
      </c>
      <c r="M207" s="13"/>
      <c r="N207" s="11">
        <v>17.03</v>
      </c>
      <c r="O207" s="11">
        <v>12.74</v>
      </c>
      <c r="P207" s="9"/>
      <c r="Q207" s="9"/>
      <c r="R207" s="13"/>
      <c r="S207" s="11">
        <v>688.79</v>
      </c>
      <c r="T207" s="9"/>
      <c r="U207" s="13"/>
      <c r="V207" s="13"/>
      <c r="X207" s="13"/>
      <c r="Y207" s="11">
        <v>10702.38</v>
      </c>
      <c r="Z207" s="13"/>
      <c r="AA207" s="13"/>
      <c r="AB207" s="13"/>
      <c r="AC207" s="13"/>
      <c r="AD207" s="13"/>
      <c r="AE207" s="13"/>
      <c r="AF207" s="13"/>
      <c r="AG207" s="11">
        <v>9.57</v>
      </c>
      <c r="AJ207" s="11">
        <v>16699.57</v>
      </c>
      <c r="AK207" s="9"/>
      <c r="AL207" s="9">
        <v>16699.57</v>
      </c>
      <c r="AM207" s="23" t="s">
        <v>361</v>
      </c>
      <c r="AN207" s="13"/>
      <c r="AO207" s="13"/>
      <c r="AP207" s="13"/>
      <c r="AQ207" s="13"/>
      <c r="AR207" s="13"/>
    </row>
    <row r="208" spans="1:44" ht="15.75" customHeight="1">
      <c r="A208" s="9" t="s">
        <v>273</v>
      </c>
      <c r="B208" s="9" t="s">
        <v>273</v>
      </c>
      <c r="C208" s="17" t="s">
        <v>307</v>
      </c>
      <c r="D208" s="11">
        <v>645.9</v>
      </c>
      <c r="E208" s="13"/>
      <c r="F208" s="13"/>
      <c r="G208" s="11">
        <v>24.02</v>
      </c>
      <c r="H208" s="11">
        <v>5.7</v>
      </c>
      <c r="I208" s="11">
        <v>6.69</v>
      </c>
      <c r="J208" s="11">
        <v>88.25</v>
      </c>
      <c r="K208" s="11">
        <v>12.05</v>
      </c>
      <c r="L208" s="11">
        <v>10.18</v>
      </c>
      <c r="M208" s="13"/>
      <c r="N208" s="11">
        <v>12.6</v>
      </c>
      <c r="O208" s="11">
        <v>13.43</v>
      </c>
      <c r="P208" s="9"/>
      <c r="Q208" s="9"/>
      <c r="R208" s="13"/>
      <c r="S208" s="11">
        <v>83.01</v>
      </c>
      <c r="T208" s="9"/>
      <c r="U208" s="13"/>
      <c r="V208" s="13"/>
      <c r="X208" s="13"/>
      <c r="Y208" s="11">
        <v>471.84</v>
      </c>
      <c r="Z208" s="13"/>
      <c r="AA208" s="13"/>
      <c r="AB208" s="13"/>
      <c r="AC208" s="13"/>
      <c r="AD208" s="13"/>
      <c r="AE208" s="13"/>
      <c r="AF208" s="13"/>
      <c r="AG208" s="11">
        <v>0.38</v>
      </c>
      <c r="AJ208" s="11">
        <v>1374.08</v>
      </c>
      <c r="AK208" s="9"/>
      <c r="AL208" s="9">
        <v>1374.08</v>
      </c>
      <c r="AM208" s="23" t="s">
        <v>362</v>
      </c>
      <c r="AN208" s="13"/>
      <c r="AO208" s="13"/>
      <c r="AP208" s="13"/>
      <c r="AQ208" s="13"/>
      <c r="AR208" s="13"/>
    </row>
    <row r="209" spans="1:44" ht="15.75" customHeight="1">
      <c r="A209" s="9" t="s">
        <v>275</v>
      </c>
      <c r="B209" s="9" t="s">
        <v>275</v>
      </c>
      <c r="C209" s="17" t="s">
        <v>307</v>
      </c>
      <c r="D209" s="11">
        <v>292.27</v>
      </c>
      <c r="E209" s="13"/>
      <c r="F209" s="13"/>
      <c r="G209" s="11">
        <v>21.47</v>
      </c>
      <c r="H209" s="11">
        <v>2.85</v>
      </c>
      <c r="I209" s="11">
        <v>21.23</v>
      </c>
      <c r="J209" s="11">
        <v>43</v>
      </c>
      <c r="K209" s="11">
        <v>8.34</v>
      </c>
      <c r="L209" s="11">
        <v>20.45</v>
      </c>
      <c r="M209" s="13"/>
      <c r="N209" s="11">
        <v>4.72</v>
      </c>
      <c r="O209" s="11">
        <v>2.52</v>
      </c>
      <c r="P209" s="11"/>
      <c r="Q209" s="11"/>
      <c r="R209" s="13"/>
      <c r="S209" s="11">
        <v>42.64</v>
      </c>
      <c r="T209" s="9"/>
      <c r="U209" s="13"/>
      <c r="V209" s="13"/>
      <c r="X209" s="13"/>
      <c r="Y209" s="11">
        <v>666.14</v>
      </c>
      <c r="Z209" s="13"/>
      <c r="AA209" s="13"/>
      <c r="AB209" s="13"/>
      <c r="AC209" s="13"/>
      <c r="AD209" s="13"/>
      <c r="AE209" s="13"/>
      <c r="AF209" s="13"/>
      <c r="AG209" s="9"/>
      <c r="AJ209" s="11">
        <v>1125.6300000000001</v>
      </c>
      <c r="AK209" s="11">
        <v>135</v>
      </c>
      <c r="AL209" s="9">
        <v>990.63</v>
      </c>
      <c r="AM209" s="23" t="s">
        <v>363</v>
      </c>
      <c r="AN209" s="13"/>
      <c r="AO209" s="13"/>
      <c r="AP209" s="13"/>
      <c r="AQ209" s="13"/>
      <c r="AR209" s="13"/>
    </row>
    <row r="210" spans="1:44" ht="15.75" customHeight="1">
      <c r="A210" s="9" t="s">
        <v>145</v>
      </c>
      <c r="B210" s="9" t="s">
        <v>145</v>
      </c>
      <c r="C210" s="17" t="s">
        <v>307</v>
      </c>
      <c r="D210" s="11">
        <v>279.58</v>
      </c>
      <c r="E210" s="13"/>
      <c r="F210" s="13"/>
      <c r="G210" s="11">
        <v>46.53</v>
      </c>
      <c r="H210" s="11">
        <v>63.98</v>
      </c>
      <c r="I210" s="11">
        <v>6.92</v>
      </c>
      <c r="J210" s="11">
        <v>117.25</v>
      </c>
      <c r="K210" s="11">
        <v>1.63</v>
      </c>
      <c r="L210" s="11">
        <v>27.16</v>
      </c>
      <c r="M210" s="13"/>
      <c r="N210" s="11">
        <v>4.79</v>
      </c>
      <c r="O210" s="11">
        <v>1.05</v>
      </c>
      <c r="P210" s="9"/>
      <c r="Q210" s="9"/>
      <c r="R210" s="13"/>
      <c r="S210" s="11">
        <v>54.21</v>
      </c>
      <c r="T210" s="9"/>
      <c r="U210" s="13"/>
      <c r="V210" s="13"/>
      <c r="X210" s="13"/>
      <c r="Y210" s="9" t="s">
        <v>41</v>
      </c>
      <c r="Z210" s="13"/>
      <c r="AA210" s="13"/>
      <c r="AB210" s="13"/>
      <c r="AC210" s="13"/>
      <c r="AD210" s="13"/>
      <c r="AE210" s="13"/>
      <c r="AF210" s="13"/>
      <c r="AG210" s="9"/>
      <c r="AJ210" s="11">
        <v>603.09</v>
      </c>
      <c r="AK210" s="9"/>
      <c r="AL210" s="9">
        <v>603.09</v>
      </c>
      <c r="AM210" s="23" t="s">
        <v>364</v>
      </c>
      <c r="AN210" s="13"/>
      <c r="AO210" s="13"/>
      <c r="AP210" s="13"/>
      <c r="AQ210" s="13"/>
      <c r="AR210" s="13"/>
    </row>
    <row r="211" spans="1:44" ht="15.75" customHeight="1">
      <c r="A211" s="9" t="s">
        <v>278</v>
      </c>
      <c r="B211" s="9" t="s">
        <v>278</v>
      </c>
      <c r="C211" s="17" t="s">
        <v>307</v>
      </c>
      <c r="D211" s="11">
        <v>152.09</v>
      </c>
      <c r="E211" s="13"/>
      <c r="F211" s="13"/>
      <c r="G211" s="11">
        <v>16.32</v>
      </c>
      <c r="H211" s="11">
        <v>3.03</v>
      </c>
      <c r="I211" s="11">
        <v>1.54</v>
      </c>
      <c r="J211" s="9"/>
      <c r="K211" s="11">
        <v>6.23</v>
      </c>
      <c r="L211" s="11">
        <v>10.02</v>
      </c>
      <c r="M211" s="13"/>
      <c r="N211" s="11">
        <v>4.75</v>
      </c>
      <c r="O211" s="11">
        <v>4.9000000000000004</v>
      </c>
      <c r="P211" s="11"/>
      <c r="Q211" s="11"/>
      <c r="R211" s="13"/>
      <c r="S211" s="11">
        <v>28.04</v>
      </c>
      <c r="T211" s="9"/>
      <c r="U211" s="13"/>
      <c r="V211" s="13"/>
      <c r="X211" s="13"/>
      <c r="Y211" s="11">
        <v>2727.5</v>
      </c>
      <c r="Z211" s="13"/>
      <c r="AA211" s="13"/>
      <c r="AB211" s="13"/>
      <c r="AC211" s="13"/>
      <c r="AD211" s="13"/>
      <c r="AE211" s="13"/>
      <c r="AF211" s="13"/>
      <c r="AG211" s="9"/>
      <c r="AJ211" s="11">
        <v>2954.42</v>
      </c>
      <c r="AK211" s="11">
        <v>456.71</v>
      </c>
      <c r="AL211" s="9">
        <v>2497.71</v>
      </c>
      <c r="AM211" s="23" t="s">
        <v>365</v>
      </c>
      <c r="AN211" s="13"/>
      <c r="AO211" s="13"/>
      <c r="AP211" s="13"/>
      <c r="AQ211" s="13"/>
      <c r="AR211" s="13"/>
    </row>
    <row r="212" spans="1:44" ht="15.75" customHeight="1">
      <c r="A212" s="9" t="s">
        <v>280</v>
      </c>
      <c r="B212" s="9" t="s">
        <v>280</v>
      </c>
      <c r="C212" s="17" t="s">
        <v>307</v>
      </c>
      <c r="D212" s="11">
        <v>1433.24</v>
      </c>
      <c r="E212" s="13"/>
      <c r="F212" s="13"/>
      <c r="G212" s="11">
        <v>113.83</v>
      </c>
      <c r="H212" s="11">
        <v>43.19</v>
      </c>
      <c r="I212" s="11">
        <v>8.01</v>
      </c>
      <c r="J212" s="11">
        <v>103.48</v>
      </c>
      <c r="K212" s="11">
        <v>28.12</v>
      </c>
      <c r="L212" s="11">
        <v>67.44</v>
      </c>
      <c r="M212" s="13"/>
      <c r="N212" s="11">
        <v>12.11</v>
      </c>
      <c r="O212" s="11">
        <v>11.63</v>
      </c>
      <c r="P212" s="11"/>
      <c r="Q212" s="11"/>
      <c r="R212" s="13"/>
      <c r="S212" s="11">
        <v>776.83</v>
      </c>
      <c r="T212" s="9"/>
      <c r="U212" s="13"/>
      <c r="V212" s="13"/>
      <c r="X212" s="13"/>
      <c r="Y212" s="11">
        <v>2059.89</v>
      </c>
      <c r="Z212" s="13"/>
      <c r="AA212" s="13"/>
      <c r="AB212" s="13"/>
      <c r="AC212" s="13"/>
      <c r="AD212" s="13"/>
      <c r="AE212" s="13"/>
      <c r="AF212" s="13"/>
      <c r="AG212" s="11">
        <v>299.62</v>
      </c>
      <c r="AJ212" s="11">
        <v>4957.3900000000003</v>
      </c>
      <c r="AK212" s="11">
        <v>560</v>
      </c>
      <c r="AL212" s="9">
        <v>4397.3900000000003</v>
      </c>
      <c r="AM212" s="23" t="s">
        <v>366</v>
      </c>
      <c r="AN212" s="13"/>
      <c r="AO212" s="13"/>
      <c r="AP212" s="13"/>
      <c r="AQ212" s="13"/>
      <c r="AR212" s="13"/>
    </row>
    <row r="213" spans="1:44" ht="15.75" customHeight="1">
      <c r="A213" s="9" t="s">
        <v>148</v>
      </c>
      <c r="B213" s="9" t="s">
        <v>148</v>
      </c>
      <c r="C213" s="17" t="s">
        <v>307</v>
      </c>
      <c r="D213" s="11">
        <v>10070.24</v>
      </c>
      <c r="E213" s="13"/>
      <c r="F213" s="13"/>
      <c r="G213" s="11">
        <v>946.3</v>
      </c>
      <c r="H213" s="11">
        <v>100.42</v>
      </c>
      <c r="I213" s="11">
        <v>52.7</v>
      </c>
      <c r="J213" s="11">
        <v>73.52</v>
      </c>
      <c r="K213" s="11">
        <v>25.06</v>
      </c>
      <c r="L213" s="11">
        <v>425.94</v>
      </c>
      <c r="M213" s="13"/>
      <c r="N213" s="11">
        <v>182.31</v>
      </c>
      <c r="O213" s="11">
        <v>48.27</v>
      </c>
      <c r="P213" s="9"/>
      <c r="Q213" s="9"/>
      <c r="R213" s="13"/>
      <c r="S213" s="11">
        <v>2948.21</v>
      </c>
      <c r="T213" s="9"/>
      <c r="U213" s="13"/>
      <c r="V213" s="13"/>
      <c r="X213" s="13"/>
      <c r="Y213" s="9" t="s">
        <v>41</v>
      </c>
      <c r="Z213" s="13"/>
      <c r="AA213" s="13"/>
      <c r="AB213" s="13"/>
      <c r="AC213" s="13"/>
      <c r="AD213" s="13"/>
      <c r="AE213" s="13"/>
      <c r="AF213" s="13"/>
      <c r="AG213" s="9" t="s">
        <v>41</v>
      </c>
      <c r="AJ213" s="11">
        <v>14872.95</v>
      </c>
      <c r="AK213" s="9"/>
      <c r="AL213" s="9">
        <v>14872.95</v>
      </c>
      <c r="AM213" s="23" t="s">
        <v>367</v>
      </c>
      <c r="AN213" s="13"/>
      <c r="AO213" s="13"/>
      <c r="AP213" s="13"/>
      <c r="AQ213" s="13"/>
      <c r="AR213" s="13"/>
    </row>
    <row r="214" spans="1:44" ht="15.75" customHeight="1">
      <c r="A214" s="9" t="s">
        <v>150</v>
      </c>
      <c r="B214" s="9" t="s">
        <v>150</v>
      </c>
      <c r="C214" s="17" t="s">
        <v>307</v>
      </c>
      <c r="D214" s="11">
        <v>2252.9299999999998</v>
      </c>
      <c r="E214" s="13"/>
      <c r="F214" s="13"/>
      <c r="G214" s="11">
        <v>202.39</v>
      </c>
      <c r="H214" s="11">
        <v>15.76</v>
      </c>
      <c r="I214" s="11">
        <v>25.15</v>
      </c>
      <c r="J214" s="11">
        <v>74.540000000000006</v>
      </c>
      <c r="K214" s="11">
        <v>80.86</v>
      </c>
      <c r="L214" s="11">
        <v>61.88</v>
      </c>
      <c r="M214" s="13"/>
      <c r="N214" s="11">
        <v>21.83</v>
      </c>
      <c r="O214" s="11">
        <v>13.22</v>
      </c>
      <c r="P214" s="9"/>
      <c r="Q214" s="9"/>
      <c r="R214" s="13"/>
      <c r="S214" s="11">
        <v>745.65</v>
      </c>
      <c r="T214" s="9"/>
      <c r="U214" s="13"/>
      <c r="V214" s="13"/>
      <c r="X214" s="13"/>
      <c r="Y214" s="9" t="s">
        <v>41</v>
      </c>
      <c r="Z214" s="13"/>
      <c r="AA214" s="13"/>
      <c r="AB214" s="13"/>
      <c r="AC214" s="13"/>
      <c r="AD214" s="13"/>
      <c r="AE214" s="13"/>
      <c r="AF214" s="13"/>
      <c r="AG214" s="11">
        <v>5.19</v>
      </c>
      <c r="AJ214" s="11">
        <v>3499.4</v>
      </c>
      <c r="AK214" s="9"/>
      <c r="AL214" s="9">
        <v>3499.4</v>
      </c>
      <c r="AM214" s="23" t="s">
        <v>368</v>
      </c>
      <c r="AN214" s="13"/>
      <c r="AO214" s="13"/>
      <c r="AP214" s="13"/>
      <c r="AQ214" s="13"/>
      <c r="AR214" s="13"/>
    </row>
    <row r="215" spans="1:44" ht="15.75" customHeight="1">
      <c r="A215" s="9" t="s">
        <v>152</v>
      </c>
      <c r="B215" s="9" t="s">
        <v>152</v>
      </c>
      <c r="C215" s="17" t="s">
        <v>307</v>
      </c>
      <c r="D215" s="9"/>
      <c r="E215" s="13"/>
      <c r="F215" s="13"/>
      <c r="G215" s="9"/>
      <c r="H215" s="9"/>
      <c r="I215" s="9"/>
      <c r="J215" s="9"/>
      <c r="K215" s="9"/>
      <c r="L215" s="9"/>
      <c r="M215" s="13"/>
      <c r="N215" s="9"/>
      <c r="O215" s="9"/>
      <c r="P215" s="9"/>
      <c r="Q215" s="9"/>
      <c r="R215" s="13"/>
      <c r="S215" s="9"/>
      <c r="T215" s="9"/>
      <c r="U215" s="13"/>
      <c r="V215" s="13"/>
      <c r="X215" s="13"/>
      <c r="Y215" s="11">
        <v>46862.85</v>
      </c>
      <c r="Z215" s="13"/>
      <c r="AA215" s="13"/>
      <c r="AB215" s="13"/>
      <c r="AC215" s="13"/>
      <c r="AD215" s="13"/>
      <c r="AE215" s="13"/>
      <c r="AF215" s="13"/>
      <c r="AG215" s="9"/>
      <c r="AJ215" s="11">
        <v>46862.85</v>
      </c>
      <c r="AK215" s="9"/>
      <c r="AL215" s="9">
        <v>46862.85</v>
      </c>
      <c r="AM215" s="23" t="s">
        <v>369</v>
      </c>
      <c r="AN215" s="13"/>
      <c r="AO215" s="13"/>
      <c r="AP215" s="13"/>
      <c r="AQ215" s="13"/>
      <c r="AR215" s="13"/>
    </row>
    <row r="216" spans="1:44" ht="15.75" customHeight="1">
      <c r="A216" s="9" t="s">
        <v>154</v>
      </c>
      <c r="B216" s="9" t="s">
        <v>154</v>
      </c>
      <c r="C216" s="17" t="s">
        <v>307</v>
      </c>
      <c r="D216" s="11">
        <v>2106.21</v>
      </c>
      <c r="E216" s="13"/>
      <c r="F216" s="13"/>
      <c r="G216" s="11">
        <v>175.74</v>
      </c>
      <c r="H216" s="11">
        <v>17.84</v>
      </c>
      <c r="I216" s="11">
        <v>5.01</v>
      </c>
      <c r="J216" s="11">
        <v>232.13</v>
      </c>
      <c r="K216" s="11">
        <v>60.1</v>
      </c>
      <c r="L216" s="11">
        <v>86.07</v>
      </c>
      <c r="M216" s="13"/>
      <c r="N216" s="11">
        <v>27.39</v>
      </c>
      <c r="O216" s="11">
        <v>10.18</v>
      </c>
      <c r="P216" s="9"/>
      <c r="Q216" s="9"/>
      <c r="R216" s="13"/>
      <c r="S216" s="11">
        <v>585.44000000000005</v>
      </c>
      <c r="T216" s="9"/>
      <c r="U216" s="13"/>
      <c r="V216" s="13"/>
      <c r="X216" s="13"/>
      <c r="Y216" s="9" t="s">
        <v>41</v>
      </c>
      <c r="Z216" s="13"/>
      <c r="AA216" s="13"/>
      <c r="AB216" s="13"/>
      <c r="AC216" s="13"/>
      <c r="AD216" s="13"/>
      <c r="AE216" s="13"/>
      <c r="AF216" s="13"/>
      <c r="AG216" s="11">
        <v>1.48</v>
      </c>
      <c r="AJ216" s="11">
        <v>3307.59</v>
      </c>
      <c r="AK216" s="9"/>
      <c r="AL216" s="9">
        <v>3307.59</v>
      </c>
      <c r="AM216" s="23" t="s">
        <v>370</v>
      </c>
      <c r="AN216" s="13"/>
      <c r="AO216" s="13"/>
      <c r="AP216" s="13"/>
      <c r="AQ216" s="13"/>
      <c r="AR216" s="13"/>
    </row>
    <row r="217" spans="1:44" ht="15.75" customHeight="1">
      <c r="A217" s="9" t="s">
        <v>156</v>
      </c>
      <c r="B217" s="9" t="s">
        <v>156</v>
      </c>
      <c r="C217" s="17" t="s">
        <v>307</v>
      </c>
      <c r="D217" s="11">
        <v>229.98</v>
      </c>
      <c r="E217" s="13"/>
      <c r="F217" s="13"/>
      <c r="G217" s="11">
        <v>86.73</v>
      </c>
      <c r="H217" s="11">
        <v>11.15</v>
      </c>
      <c r="I217" s="11">
        <v>26.43</v>
      </c>
      <c r="J217" s="11">
        <v>36.31</v>
      </c>
      <c r="K217" s="11">
        <v>95.44</v>
      </c>
      <c r="L217" s="11">
        <v>27.34</v>
      </c>
      <c r="M217" s="13"/>
      <c r="N217" s="11">
        <v>3.18</v>
      </c>
      <c r="O217" s="11">
        <v>0.57999999999999996</v>
      </c>
      <c r="P217" s="11"/>
      <c r="Q217" s="11"/>
      <c r="R217" s="13"/>
      <c r="S217" s="11">
        <v>164.37</v>
      </c>
      <c r="T217" s="9"/>
      <c r="U217" s="13"/>
      <c r="V217" s="13"/>
      <c r="X217" s="13"/>
      <c r="Y217" s="11">
        <v>2475.2600000000002</v>
      </c>
      <c r="Z217" s="13"/>
      <c r="AA217" s="13"/>
      <c r="AB217" s="13"/>
      <c r="AC217" s="13"/>
      <c r="AD217" s="13"/>
      <c r="AE217" s="13"/>
      <c r="AF217" s="13"/>
      <c r="AG217" s="11">
        <v>14.3</v>
      </c>
      <c r="AJ217" s="11">
        <v>3171.07</v>
      </c>
      <c r="AK217" s="11">
        <v>7.0000000000000007E-2</v>
      </c>
      <c r="AL217" s="9">
        <v>3171</v>
      </c>
      <c r="AM217" s="23" t="s">
        <v>371</v>
      </c>
      <c r="AN217" s="13"/>
      <c r="AO217" s="13"/>
      <c r="AP217" s="13"/>
      <c r="AQ217" s="13"/>
      <c r="AR217" s="13"/>
    </row>
    <row r="218" spans="1:44" ht="15.75" customHeight="1">
      <c r="A218" s="9" t="s">
        <v>158</v>
      </c>
      <c r="B218" s="9" t="s">
        <v>158</v>
      </c>
      <c r="C218" s="17" t="s">
        <v>307</v>
      </c>
      <c r="D218" s="11">
        <v>311.10000000000002</v>
      </c>
      <c r="E218" s="13"/>
      <c r="F218" s="13"/>
      <c r="G218" s="11">
        <v>1.0900000000000001</v>
      </c>
      <c r="H218" s="9"/>
      <c r="I218" s="11">
        <v>0.53</v>
      </c>
      <c r="J218" s="11">
        <v>15.92</v>
      </c>
      <c r="K218" s="11">
        <v>0.5</v>
      </c>
      <c r="L218" s="11">
        <v>8.3699999999999992</v>
      </c>
      <c r="M218" s="13"/>
      <c r="N218" s="11">
        <v>6.09</v>
      </c>
      <c r="O218" s="11">
        <v>2.06</v>
      </c>
      <c r="P218" s="9"/>
      <c r="Q218" s="9"/>
      <c r="R218" s="13"/>
      <c r="S218" s="11">
        <v>143.56</v>
      </c>
      <c r="T218" s="9"/>
      <c r="U218" s="13"/>
      <c r="V218" s="13"/>
      <c r="X218" s="13"/>
      <c r="Y218" s="9" t="s">
        <v>41</v>
      </c>
      <c r="Z218" s="13"/>
      <c r="AA218" s="13"/>
      <c r="AB218" s="13"/>
      <c r="AC218" s="13"/>
      <c r="AD218" s="13"/>
      <c r="AE218" s="13"/>
      <c r="AF218" s="13"/>
      <c r="AG218" s="9"/>
      <c r="AJ218" s="11">
        <v>489.22</v>
      </c>
      <c r="AK218" s="9"/>
      <c r="AL218" s="9">
        <v>489.22</v>
      </c>
      <c r="AM218" s="23" t="s">
        <v>372</v>
      </c>
      <c r="AN218" s="13"/>
      <c r="AO218" s="13"/>
      <c r="AP218" s="13"/>
      <c r="AQ218" s="13"/>
      <c r="AR218" s="13"/>
    </row>
    <row r="219" spans="1:44" ht="15.75" customHeight="1">
      <c r="A219" s="9" t="s">
        <v>164</v>
      </c>
      <c r="B219" s="9" t="s">
        <v>164</v>
      </c>
      <c r="C219" s="17" t="s">
        <v>307</v>
      </c>
      <c r="D219" s="11">
        <v>274.55</v>
      </c>
      <c r="E219" s="13"/>
      <c r="F219" s="13"/>
      <c r="G219" s="11">
        <v>1.98</v>
      </c>
      <c r="H219" s="9"/>
      <c r="I219" s="11">
        <v>1.66</v>
      </c>
      <c r="J219" s="11">
        <v>57.49</v>
      </c>
      <c r="K219" s="11">
        <v>1.58</v>
      </c>
      <c r="L219" s="11">
        <v>1.76</v>
      </c>
      <c r="M219" s="13"/>
      <c r="N219" s="11">
        <v>2.99</v>
      </c>
      <c r="O219" s="11">
        <v>3.04</v>
      </c>
      <c r="P219" s="9"/>
      <c r="Q219" s="9"/>
      <c r="R219" s="13"/>
      <c r="S219" s="11">
        <v>50.94</v>
      </c>
      <c r="T219" s="9"/>
      <c r="U219" s="13"/>
      <c r="V219" s="13"/>
      <c r="X219" s="13"/>
      <c r="Y219" s="9" t="s">
        <v>41</v>
      </c>
      <c r="Z219" s="13"/>
      <c r="AA219" s="13"/>
      <c r="AB219" s="13"/>
      <c r="AC219" s="13"/>
      <c r="AD219" s="13"/>
      <c r="AE219" s="13"/>
      <c r="AF219" s="13"/>
      <c r="AG219" s="9"/>
      <c r="AJ219" s="11">
        <v>395.98</v>
      </c>
      <c r="AK219" s="9"/>
      <c r="AL219" s="9">
        <v>395.98</v>
      </c>
      <c r="AM219" s="23" t="s">
        <v>373</v>
      </c>
      <c r="AN219" s="13"/>
      <c r="AO219" s="13"/>
      <c r="AP219" s="13"/>
      <c r="AQ219" s="13"/>
      <c r="AR219" s="13"/>
    </row>
    <row r="220" spans="1:44" ht="15.75" customHeight="1">
      <c r="A220" s="9" t="s">
        <v>166</v>
      </c>
      <c r="B220" s="9" t="s">
        <v>166</v>
      </c>
      <c r="C220" s="17" t="s">
        <v>307</v>
      </c>
      <c r="D220" s="11">
        <v>991.45</v>
      </c>
      <c r="E220" s="13"/>
      <c r="F220" s="13"/>
      <c r="G220" s="11">
        <v>29.91</v>
      </c>
      <c r="H220" s="11">
        <v>1.67</v>
      </c>
      <c r="I220" s="11">
        <v>7</v>
      </c>
      <c r="J220" s="11">
        <v>57.05</v>
      </c>
      <c r="K220" s="11">
        <v>6.12</v>
      </c>
      <c r="L220" s="11">
        <v>25.21</v>
      </c>
      <c r="M220" s="13"/>
      <c r="N220" s="11">
        <v>4.66</v>
      </c>
      <c r="O220" s="11">
        <v>62.27</v>
      </c>
      <c r="P220" s="9"/>
      <c r="Q220" s="9"/>
      <c r="R220" s="13"/>
      <c r="S220" s="11">
        <v>501.66</v>
      </c>
      <c r="T220" s="9"/>
      <c r="U220" s="13"/>
      <c r="V220" s="13"/>
      <c r="X220" s="13"/>
      <c r="Y220" s="9" t="s">
        <v>41</v>
      </c>
      <c r="Z220" s="13"/>
      <c r="AA220" s="13"/>
      <c r="AB220" s="13"/>
      <c r="AC220" s="13"/>
      <c r="AD220" s="13"/>
      <c r="AE220" s="13"/>
      <c r="AF220" s="13"/>
      <c r="AG220" s="9"/>
      <c r="AJ220" s="11">
        <v>1687</v>
      </c>
      <c r="AK220" s="9"/>
      <c r="AL220" s="9">
        <v>1687</v>
      </c>
      <c r="AM220" s="23" t="s">
        <v>374</v>
      </c>
      <c r="AN220" s="13"/>
      <c r="AO220" s="13"/>
      <c r="AP220" s="13"/>
      <c r="AQ220" s="13"/>
      <c r="AR220" s="13"/>
    </row>
    <row r="221" spans="1:44" ht="15.75" customHeight="1">
      <c r="A221" s="9" t="s">
        <v>168</v>
      </c>
      <c r="B221" s="9" t="s">
        <v>168</v>
      </c>
      <c r="C221" s="17" t="s">
        <v>307</v>
      </c>
      <c r="D221" s="11">
        <v>4363.43</v>
      </c>
      <c r="E221" s="13"/>
      <c r="F221" s="13"/>
      <c r="G221" s="11">
        <v>1444.88</v>
      </c>
      <c r="H221" s="11">
        <v>313.82</v>
      </c>
      <c r="I221" s="11">
        <v>625.45000000000005</v>
      </c>
      <c r="J221" s="9">
        <v>1658.1</v>
      </c>
      <c r="K221" s="11">
        <v>302.06</v>
      </c>
      <c r="L221" s="11">
        <v>648.36</v>
      </c>
      <c r="M221" s="13"/>
      <c r="N221" s="11">
        <v>41.94</v>
      </c>
      <c r="O221" s="9">
        <v>99.1</v>
      </c>
      <c r="P221" s="11"/>
      <c r="Q221" s="11"/>
      <c r="R221" s="13"/>
      <c r="S221" s="11">
        <v>10577.58</v>
      </c>
      <c r="T221" s="9"/>
      <c r="U221" s="13"/>
      <c r="V221" s="13"/>
      <c r="X221" s="13"/>
      <c r="Y221" s="9" t="s">
        <v>41</v>
      </c>
      <c r="Z221" s="13"/>
      <c r="AA221" s="13"/>
      <c r="AB221" s="13"/>
      <c r="AC221" s="13"/>
      <c r="AD221" s="13"/>
      <c r="AE221" s="13"/>
      <c r="AF221" s="13"/>
      <c r="AG221" s="11">
        <v>8.9600000000000009</v>
      </c>
      <c r="AJ221" s="13">
        <v>20083.68</v>
      </c>
      <c r="AK221" s="11">
        <v>141.75</v>
      </c>
      <c r="AL221" s="9">
        <v>19941.939999999999</v>
      </c>
      <c r="AM221" s="23" t="s">
        <v>375</v>
      </c>
      <c r="AN221" s="13"/>
      <c r="AO221" s="13"/>
      <c r="AP221" s="13"/>
      <c r="AQ221" s="13"/>
      <c r="AR221" s="13"/>
    </row>
    <row r="222" spans="1:44" ht="15.75" customHeight="1">
      <c r="A222" s="9" t="s">
        <v>173</v>
      </c>
      <c r="B222" s="9" t="s">
        <v>173</v>
      </c>
      <c r="C222" s="17" t="s">
        <v>307</v>
      </c>
      <c r="D222" s="11">
        <v>2194.58</v>
      </c>
      <c r="E222" s="13"/>
      <c r="F222" s="13"/>
      <c r="G222" s="11">
        <v>233.37</v>
      </c>
      <c r="H222" s="11">
        <v>231.98</v>
      </c>
      <c r="I222" s="11">
        <v>26.86</v>
      </c>
      <c r="J222" s="11">
        <v>425.17</v>
      </c>
      <c r="K222" s="11">
        <v>160.36000000000001</v>
      </c>
      <c r="L222" s="11">
        <v>101.61</v>
      </c>
      <c r="M222" s="13"/>
      <c r="N222" s="11">
        <v>3.76</v>
      </c>
      <c r="O222" s="11">
        <v>63.11</v>
      </c>
      <c r="P222" s="11"/>
      <c r="Q222" s="11"/>
      <c r="R222" s="13"/>
      <c r="S222" s="11">
        <v>1579.08</v>
      </c>
      <c r="T222" s="9"/>
      <c r="U222" s="13"/>
      <c r="V222" s="13"/>
      <c r="X222" s="13"/>
      <c r="Y222" s="9" t="s">
        <v>41</v>
      </c>
      <c r="Z222" s="13"/>
      <c r="AA222" s="13"/>
      <c r="AB222" s="13"/>
      <c r="AC222" s="13"/>
      <c r="AD222" s="13"/>
      <c r="AE222" s="13"/>
      <c r="AF222" s="13"/>
      <c r="AG222" s="9"/>
      <c r="AJ222" s="11">
        <v>5019.8999999999996</v>
      </c>
      <c r="AK222" s="11">
        <v>27.85</v>
      </c>
      <c r="AL222" s="9">
        <v>4992.05</v>
      </c>
      <c r="AM222" s="23" t="s">
        <v>376</v>
      </c>
      <c r="AN222" s="13"/>
      <c r="AO222" s="13"/>
      <c r="AP222" s="13"/>
      <c r="AQ222" s="13"/>
      <c r="AR222" s="13"/>
    </row>
    <row r="223" spans="1:44" ht="15.75" customHeight="1">
      <c r="A223" s="9" t="s">
        <v>170</v>
      </c>
      <c r="B223" s="9" t="s">
        <v>170</v>
      </c>
      <c r="C223" s="17" t="s">
        <v>307</v>
      </c>
      <c r="D223" s="11">
        <v>3063.58</v>
      </c>
      <c r="E223" s="13"/>
      <c r="F223" s="13"/>
      <c r="G223" s="11">
        <v>1269.3399999999999</v>
      </c>
      <c r="H223" s="11">
        <v>1020.66</v>
      </c>
      <c r="I223" s="11">
        <v>50.79</v>
      </c>
      <c r="J223" s="11">
        <v>6.71</v>
      </c>
      <c r="K223" s="11">
        <v>98.15</v>
      </c>
      <c r="L223" s="11">
        <v>127.76</v>
      </c>
      <c r="M223" s="13"/>
      <c r="N223" s="11">
        <v>32.340000000000003</v>
      </c>
      <c r="O223" s="11">
        <v>31.6</v>
      </c>
      <c r="P223" s="9"/>
      <c r="Q223" s="9"/>
      <c r="R223" s="13"/>
      <c r="S223" s="11">
        <v>838.4</v>
      </c>
      <c r="T223" s="9"/>
      <c r="U223" s="13"/>
      <c r="V223" s="13"/>
      <c r="X223" s="13"/>
      <c r="Y223" s="9" t="s">
        <v>41</v>
      </c>
      <c r="Z223" s="13"/>
      <c r="AA223" s="13"/>
      <c r="AB223" s="13"/>
      <c r="AC223" s="13"/>
      <c r="AD223" s="13"/>
      <c r="AE223" s="13"/>
      <c r="AF223" s="13"/>
      <c r="AG223" s="9"/>
      <c r="AJ223" s="11">
        <v>6539.33</v>
      </c>
      <c r="AK223" s="9"/>
      <c r="AL223" s="9">
        <v>6539.33</v>
      </c>
      <c r="AM223" s="23" t="s">
        <v>377</v>
      </c>
      <c r="AN223" s="13"/>
      <c r="AO223" s="13"/>
      <c r="AP223" s="13"/>
      <c r="AQ223" s="13"/>
      <c r="AR223" s="13"/>
    </row>
    <row r="224" spans="1:44" ht="15.75" customHeight="1">
      <c r="A224" s="9" t="s">
        <v>293</v>
      </c>
      <c r="B224" s="9" t="s">
        <v>293</v>
      </c>
      <c r="C224" s="17" t="s">
        <v>307</v>
      </c>
      <c r="D224" s="11">
        <v>11424.86</v>
      </c>
      <c r="E224" s="13"/>
      <c r="F224" s="13"/>
      <c r="G224" s="11">
        <v>4273.8100000000004</v>
      </c>
      <c r="H224" s="11">
        <v>1456.3</v>
      </c>
      <c r="I224" s="11">
        <v>89.48</v>
      </c>
      <c r="J224" s="9"/>
      <c r="K224" s="11">
        <v>106.97</v>
      </c>
      <c r="L224" s="11">
        <v>206.11</v>
      </c>
      <c r="M224" s="13"/>
      <c r="N224" s="11">
        <v>39.75</v>
      </c>
      <c r="O224" s="11">
        <v>25.21</v>
      </c>
      <c r="P224" s="9"/>
      <c r="Q224" s="9"/>
      <c r="R224" s="13"/>
      <c r="S224" s="11">
        <v>2843.8</v>
      </c>
      <c r="T224" s="9"/>
      <c r="U224" s="13"/>
      <c r="V224" s="13"/>
      <c r="X224" s="13"/>
      <c r="Y224" s="9" t="s">
        <v>41</v>
      </c>
      <c r="Z224" s="13"/>
      <c r="AA224" s="13"/>
      <c r="AB224" s="13"/>
      <c r="AC224" s="13"/>
      <c r="AD224" s="13"/>
      <c r="AE224" s="13"/>
      <c r="AF224" s="13"/>
      <c r="AG224" s="9"/>
      <c r="AJ224" s="11">
        <v>20466.29</v>
      </c>
      <c r="AK224" s="9"/>
      <c r="AL224" s="9">
        <v>20466.29</v>
      </c>
      <c r="AM224" s="23" t="s">
        <v>378</v>
      </c>
      <c r="AN224" s="13"/>
      <c r="AO224" s="13"/>
      <c r="AP224" s="13"/>
      <c r="AQ224" s="13"/>
      <c r="AR224" s="13"/>
    </row>
    <row r="225" spans="1:44" ht="15.75" customHeight="1">
      <c r="A225" s="9" t="s">
        <v>176</v>
      </c>
      <c r="B225" s="9" t="s">
        <v>176</v>
      </c>
      <c r="C225" s="17" t="s">
        <v>307</v>
      </c>
      <c r="D225" s="11">
        <v>157.79</v>
      </c>
      <c r="E225" s="13"/>
      <c r="F225" s="13"/>
      <c r="G225" s="11">
        <v>85.79</v>
      </c>
      <c r="H225" s="11">
        <v>11.85</v>
      </c>
      <c r="I225" s="11">
        <v>10.16</v>
      </c>
      <c r="J225" s="11">
        <v>40.03</v>
      </c>
      <c r="K225" s="11">
        <v>35.479999999999997</v>
      </c>
      <c r="L225" s="11">
        <v>125.51</v>
      </c>
      <c r="M225" s="13"/>
      <c r="N225" s="11">
        <v>5.61</v>
      </c>
      <c r="O225" s="11">
        <v>0.3</v>
      </c>
      <c r="P225" s="9"/>
      <c r="Q225" s="9"/>
      <c r="R225" s="13"/>
      <c r="S225" s="11">
        <v>71.92</v>
      </c>
      <c r="T225" s="9"/>
      <c r="U225" s="13"/>
      <c r="V225" s="13"/>
      <c r="X225" s="13"/>
      <c r="Y225" s="9" t="s">
        <v>41</v>
      </c>
      <c r="Z225" s="13"/>
      <c r="AA225" s="13"/>
      <c r="AB225" s="13"/>
      <c r="AC225" s="13"/>
      <c r="AD225" s="13"/>
      <c r="AE225" s="13"/>
      <c r="AF225" s="13"/>
      <c r="AG225" s="9"/>
      <c r="AJ225" s="11">
        <v>544.42999999999995</v>
      </c>
      <c r="AK225" s="9"/>
      <c r="AL225" s="9">
        <v>544.42999999999995</v>
      </c>
      <c r="AM225" s="23" t="s">
        <v>379</v>
      </c>
      <c r="AN225" s="13"/>
      <c r="AO225" s="13"/>
      <c r="AP225" s="13"/>
      <c r="AQ225" s="13"/>
      <c r="AR225" s="13"/>
    </row>
    <row r="226" spans="1:44" ht="15.75" customHeight="1">
      <c r="A226" s="9" t="s">
        <v>178</v>
      </c>
      <c r="B226" s="9" t="s">
        <v>178</v>
      </c>
      <c r="C226" s="17" t="s">
        <v>307</v>
      </c>
      <c r="D226" s="11">
        <v>179.65</v>
      </c>
      <c r="E226" s="13"/>
      <c r="F226" s="13"/>
      <c r="G226" s="11">
        <v>25.9</v>
      </c>
      <c r="H226" s="11">
        <v>13.15</v>
      </c>
      <c r="I226" s="11">
        <v>5.68</v>
      </c>
      <c r="J226" s="11">
        <v>55.67</v>
      </c>
      <c r="K226" s="11">
        <v>8.23</v>
      </c>
      <c r="L226" s="11">
        <v>1.53</v>
      </c>
      <c r="M226" s="13"/>
      <c r="N226" s="11">
        <v>7.45</v>
      </c>
      <c r="O226" s="11">
        <v>0.84</v>
      </c>
      <c r="P226" s="9"/>
      <c r="Q226" s="9"/>
      <c r="R226" s="13"/>
      <c r="S226" s="11">
        <v>136.43</v>
      </c>
      <c r="T226" s="9"/>
      <c r="U226" s="13"/>
      <c r="V226" s="13"/>
      <c r="X226" s="13"/>
      <c r="Y226" s="9" t="s">
        <v>41</v>
      </c>
      <c r="Z226" s="13"/>
      <c r="AA226" s="13"/>
      <c r="AB226" s="13"/>
      <c r="AC226" s="13"/>
      <c r="AD226" s="13"/>
      <c r="AE226" s="13"/>
      <c r="AF226" s="13"/>
      <c r="AG226" s="9"/>
      <c r="AJ226" s="11">
        <v>434.52</v>
      </c>
      <c r="AK226" s="9"/>
      <c r="AL226" s="9">
        <v>434.52</v>
      </c>
      <c r="AM226" s="23" t="s">
        <v>380</v>
      </c>
      <c r="AN226" s="13"/>
      <c r="AO226" s="13"/>
      <c r="AP226" s="13"/>
      <c r="AQ226" s="13"/>
      <c r="AR226" s="13"/>
    </row>
    <row r="227" spans="1:44" ht="15.75" customHeight="1">
      <c r="A227" s="9" t="s">
        <v>181</v>
      </c>
      <c r="B227" s="9" t="s">
        <v>181</v>
      </c>
      <c r="C227" s="17" t="s">
        <v>307</v>
      </c>
      <c r="D227" s="11">
        <v>1711.69</v>
      </c>
      <c r="E227" s="13"/>
      <c r="F227" s="13"/>
      <c r="G227" s="11">
        <v>55</v>
      </c>
      <c r="H227" s="11">
        <v>2.42</v>
      </c>
      <c r="I227" s="11">
        <v>86.57</v>
      </c>
      <c r="J227" s="11">
        <v>11.11</v>
      </c>
      <c r="K227" s="11">
        <v>49.93</v>
      </c>
      <c r="L227" s="11">
        <v>69.599999999999994</v>
      </c>
      <c r="M227" s="13"/>
      <c r="N227" s="11">
        <v>5.05</v>
      </c>
      <c r="O227" s="11">
        <v>6.64</v>
      </c>
      <c r="P227" s="9"/>
      <c r="Q227" s="9"/>
      <c r="R227" s="13"/>
      <c r="S227" s="11">
        <v>299.77999999999997</v>
      </c>
      <c r="T227" s="9"/>
      <c r="U227" s="13"/>
      <c r="V227" s="13"/>
      <c r="X227" s="13"/>
      <c r="Y227" s="9" t="s">
        <v>41</v>
      </c>
      <c r="Z227" s="13"/>
      <c r="AA227" s="13"/>
      <c r="AB227" s="13"/>
      <c r="AC227" s="13"/>
      <c r="AD227" s="13"/>
      <c r="AE227" s="13"/>
      <c r="AF227" s="13"/>
      <c r="AG227" s="11">
        <v>0.36</v>
      </c>
      <c r="AJ227" s="11">
        <v>2298.16</v>
      </c>
      <c r="AK227" s="9"/>
      <c r="AL227" s="9">
        <v>2298.16</v>
      </c>
      <c r="AM227" s="23" t="s">
        <v>381</v>
      </c>
      <c r="AN227" s="13"/>
      <c r="AO227" s="13"/>
      <c r="AP227" s="13"/>
      <c r="AQ227" s="13"/>
      <c r="AR227" s="13"/>
    </row>
    <row r="228" spans="1:44" ht="15.75" customHeight="1">
      <c r="A228" s="9" t="s">
        <v>183</v>
      </c>
      <c r="B228" s="9" t="s">
        <v>183</v>
      </c>
      <c r="C228" s="17" t="s">
        <v>307</v>
      </c>
      <c r="D228" s="11">
        <v>261.27999999999997</v>
      </c>
      <c r="E228" s="13"/>
      <c r="F228" s="13"/>
      <c r="G228" s="11">
        <v>10.06</v>
      </c>
      <c r="H228" s="9"/>
      <c r="I228" s="11">
        <v>3.65</v>
      </c>
      <c r="J228" s="11">
        <v>38</v>
      </c>
      <c r="K228" s="11">
        <v>8.51</v>
      </c>
      <c r="L228" s="11">
        <v>28.97</v>
      </c>
      <c r="M228" s="13"/>
      <c r="N228" s="11">
        <v>4.28</v>
      </c>
      <c r="O228" s="11">
        <v>8.3699999999999992</v>
      </c>
      <c r="P228" s="9"/>
      <c r="Q228" s="9"/>
      <c r="R228" s="13"/>
      <c r="S228" s="11">
        <v>226.59</v>
      </c>
      <c r="T228" s="9"/>
      <c r="U228" s="13"/>
      <c r="V228" s="13"/>
      <c r="X228" s="13"/>
      <c r="Y228" s="9" t="s">
        <v>41</v>
      </c>
      <c r="Z228" s="13"/>
      <c r="AA228" s="13"/>
      <c r="AB228" s="13"/>
      <c r="AC228" s="13"/>
      <c r="AD228" s="13"/>
      <c r="AE228" s="13"/>
      <c r="AF228" s="13"/>
      <c r="AG228" s="9"/>
      <c r="AJ228" s="11">
        <v>589.70000000000005</v>
      </c>
      <c r="AK228" s="9"/>
      <c r="AL228" s="9">
        <v>589.70000000000005</v>
      </c>
      <c r="AM228" s="23" t="s">
        <v>382</v>
      </c>
      <c r="AN228" s="13"/>
      <c r="AO228" s="13"/>
      <c r="AP228" s="13"/>
      <c r="AQ228" s="13"/>
      <c r="AR228" s="13"/>
    </row>
    <row r="229" spans="1:44" ht="15.75" customHeight="1">
      <c r="A229" s="9" t="s">
        <v>185</v>
      </c>
      <c r="B229" s="9" t="s">
        <v>185</v>
      </c>
      <c r="C229" s="17" t="s">
        <v>307</v>
      </c>
      <c r="D229" s="11">
        <v>270244.39</v>
      </c>
      <c r="E229" s="13"/>
      <c r="F229" s="13"/>
      <c r="G229" s="11">
        <v>47.9</v>
      </c>
      <c r="H229" s="11">
        <v>13.62</v>
      </c>
      <c r="I229" s="11">
        <v>6.13</v>
      </c>
      <c r="J229" s="11">
        <v>32.49</v>
      </c>
      <c r="K229" s="11">
        <v>1024.27</v>
      </c>
      <c r="L229" s="11">
        <v>24.3</v>
      </c>
      <c r="M229" s="13"/>
      <c r="N229" s="11">
        <v>31.21</v>
      </c>
      <c r="O229" s="11">
        <v>15.88</v>
      </c>
      <c r="P229" s="11"/>
      <c r="Q229" s="11"/>
      <c r="R229" s="13"/>
      <c r="S229" s="11">
        <v>17295.509999999998</v>
      </c>
      <c r="T229" s="9"/>
      <c r="U229" s="13"/>
      <c r="V229" s="13"/>
      <c r="X229" s="13"/>
      <c r="Y229" s="9" t="s">
        <v>41</v>
      </c>
      <c r="Z229" s="13"/>
      <c r="AA229" s="13"/>
      <c r="AB229" s="13"/>
      <c r="AC229" s="13"/>
      <c r="AD229" s="13"/>
      <c r="AE229" s="13"/>
      <c r="AF229" s="13"/>
      <c r="AG229" s="11">
        <v>17.91</v>
      </c>
      <c r="AJ229" s="11">
        <v>288753.61</v>
      </c>
      <c r="AK229" s="11">
        <v>745</v>
      </c>
      <c r="AL229" s="9">
        <v>288008.61</v>
      </c>
      <c r="AM229" s="23" t="s">
        <v>383</v>
      </c>
      <c r="AN229" s="13"/>
      <c r="AO229" s="13"/>
      <c r="AP229" s="13"/>
      <c r="AQ229" s="13"/>
      <c r="AR229" s="13"/>
    </row>
    <row r="230" spans="1:44" ht="15.75" customHeight="1">
      <c r="A230" s="9" t="s">
        <v>187</v>
      </c>
      <c r="B230" s="9" t="s">
        <v>187</v>
      </c>
      <c r="C230" s="17" t="s">
        <v>307</v>
      </c>
      <c r="D230" s="11">
        <v>430.51</v>
      </c>
      <c r="E230" s="13"/>
      <c r="F230" s="13"/>
      <c r="G230" s="11">
        <v>61.11</v>
      </c>
      <c r="H230" s="9"/>
      <c r="I230" s="11">
        <v>3.86</v>
      </c>
      <c r="J230" s="11">
        <v>72.150000000000006</v>
      </c>
      <c r="K230" s="11">
        <v>4.32</v>
      </c>
      <c r="L230" s="11">
        <v>27.45</v>
      </c>
      <c r="M230" s="13"/>
      <c r="N230" s="11">
        <v>8.89</v>
      </c>
      <c r="O230" s="11">
        <v>3.16</v>
      </c>
      <c r="P230" s="9"/>
      <c r="Q230" s="9"/>
      <c r="R230" s="13"/>
      <c r="S230" s="11">
        <v>205.69</v>
      </c>
      <c r="T230" s="9"/>
      <c r="U230" s="13"/>
      <c r="V230" s="13"/>
      <c r="X230" s="13"/>
      <c r="Y230" s="9" t="s">
        <v>41</v>
      </c>
      <c r="Z230" s="13"/>
      <c r="AA230" s="13"/>
      <c r="AB230" s="13"/>
      <c r="AC230" s="13"/>
      <c r="AD230" s="13"/>
      <c r="AE230" s="13"/>
      <c r="AF230" s="13"/>
      <c r="AG230" s="11">
        <v>1.87</v>
      </c>
      <c r="AJ230" s="11">
        <v>819</v>
      </c>
      <c r="AK230" s="9"/>
      <c r="AL230" s="9">
        <v>819</v>
      </c>
      <c r="AM230" s="23" t="s">
        <v>384</v>
      </c>
      <c r="AN230" s="13"/>
      <c r="AO230" s="13"/>
      <c r="AP230" s="13"/>
      <c r="AQ230" s="13"/>
      <c r="AR230" s="13"/>
    </row>
    <row r="231" spans="1:44" ht="15.75" customHeight="1">
      <c r="A231" s="9" t="s">
        <v>188</v>
      </c>
      <c r="B231" s="9" t="s">
        <v>188</v>
      </c>
      <c r="C231" s="17" t="s">
        <v>307</v>
      </c>
      <c r="D231" s="11">
        <v>3823.3</v>
      </c>
      <c r="E231" s="13"/>
      <c r="F231" s="13"/>
      <c r="G231" s="11">
        <v>798.16</v>
      </c>
      <c r="H231" s="11">
        <v>12.15</v>
      </c>
      <c r="I231" s="11">
        <v>17.77</v>
      </c>
      <c r="J231" s="11">
        <v>196.17</v>
      </c>
      <c r="K231" s="11">
        <v>35.29</v>
      </c>
      <c r="L231" s="11">
        <v>57.43</v>
      </c>
      <c r="M231" s="13"/>
      <c r="N231" s="11">
        <v>24.57</v>
      </c>
      <c r="O231" s="11">
        <v>40.03</v>
      </c>
      <c r="P231" s="11"/>
      <c r="Q231" s="11"/>
      <c r="R231" s="13"/>
      <c r="S231" s="11">
        <v>776.27</v>
      </c>
      <c r="T231" s="9"/>
      <c r="U231" s="13"/>
      <c r="V231" s="13"/>
      <c r="X231" s="13"/>
      <c r="Y231" s="9" t="s">
        <v>41</v>
      </c>
      <c r="Z231" s="13"/>
      <c r="AA231" s="13"/>
      <c r="AB231" s="13"/>
      <c r="AC231" s="13"/>
      <c r="AD231" s="13"/>
      <c r="AE231" s="13"/>
      <c r="AF231" s="13"/>
      <c r="AG231" s="9"/>
      <c r="AJ231" s="11">
        <v>5781.13</v>
      </c>
      <c r="AK231" s="11">
        <v>308.47000000000003</v>
      </c>
      <c r="AL231" s="9">
        <v>5472.67</v>
      </c>
      <c r="AM231" s="23" t="s">
        <v>385</v>
      </c>
      <c r="AN231" s="13"/>
      <c r="AO231" s="13"/>
      <c r="AP231" s="13"/>
      <c r="AQ231" s="13"/>
      <c r="AR231" s="13"/>
    </row>
    <row r="232" spans="1:44" ht="15.75" customHeight="1">
      <c r="A232" s="9" t="s">
        <v>190</v>
      </c>
      <c r="B232" s="9" t="s">
        <v>190</v>
      </c>
      <c r="C232" s="17" t="s">
        <v>307</v>
      </c>
      <c r="D232" s="11">
        <v>334.1</v>
      </c>
      <c r="E232" s="13"/>
      <c r="F232" s="13"/>
      <c r="G232" s="11">
        <v>18.239999999999998</v>
      </c>
      <c r="H232" s="11">
        <v>0.88</v>
      </c>
      <c r="I232" s="11">
        <v>29.44</v>
      </c>
      <c r="J232" s="11">
        <v>1.03</v>
      </c>
      <c r="K232" s="11">
        <v>8.1199999999999992</v>
      </c>
      <c r="L232" s="11">
        <v>7.21</v>
      </c>
      <c r="M232" s="13"/>
      <c r="N232" s="11">
        <v>5.81</v>
      </c>
      <c r="O232" s="11">
        <v>2.02</v>
      </c>
      <c r="P232" s="9"/>
      <c r="Q232" s="9"/>
      <c r="R232" s="13"/>
      <c r="S232" s="11">
        <v>212.47</v>
      </c>
      <c r="T232" s="9"/>
      <c r="U232" s="13"/>
      <c r="V232" s="13"/>
      <c r="X232" s="13"/>
      <c r="Y232" s="9" t="s">
        <v>41</v>
      </c>
      <c r="Z232" s="13"/>
      <c r="AA232" s="13"/>
      <c r="AB232" s="13"/>
      <c r="AC232" s="13"/>
      <c r="AD232" s="13"/>
      <c r="AE232" s="13"/>
      <c r="AF232" s="13"/>
      <c r="AG232" s="9"/>
      <c r="AJ232" s="11">
        <v>619.32000000000005</v>
      </c>
      <c r="AK232" s="9"/>
      <c r="AL232" s="9">
        <v>619.32000000000005</v>
      </c>
      <c r="AM232" s="23" t="s">
        <v>386</v>
      </c>
      <c r="AN232" s="13"/>
      <c r="AO232" s="13"/>
      <c r="AP232" s="13"/>
      <c r="AQ232" s="13"/>
      <c r="AR232" s="13"/>
    </row>
    <row r="233" spans="1:44" ht="15.75" customHeight="1">
      <c r="A233" s="9" t="s">
        <v>192</v>
      </c>
      <c r="B233" s="9" t="s">
        <v>192</v>
      </c>
      <c r="C233" s="17" t="s">
        <v>307</v>
      </c>
      <c r="D233" s="11">
        <v>332.6</v>
      </c>
      <c r="E233" s="13"/>
      <c r="F233" s="13"/>
      <c r="G233" s="11">
        <v>17.309999999999999</v>
      </c>
      <c r="H233" s="11">
        <v>11.3</v>
      </c>
      <c r="I233" s="11">
        <v>2.34</v>
      </c>
      <c r="J233" s="11">
        <v>48.09</v>
      </c>
      <c r="K233" s="11">
        <v>3.27</v>
      </c>
      <c r="L233" s="11">
        <v>11.08</v>
      </c>
      <c r="M233" s="13"/>
      <c r="N233" s="11">
        <v>5.43</v>
      </c>
      <c r="O233" s="11">
        <v>1.46</v>
      </c>
      <c r="P233" s="9"/>
      <c r="Q233" s="9"/>
      <c r="R233" s="13"/>
      <c r="S233" s="11">
        <v>132.56</v>
      </c>
      <c r="T233" s="9"/>
      <c r="U233" s="13"/>
      <c r="V233" s="13"/>
      <c r="X233" s="13"/>
      <c r="Y233" s="9" t="s">
        <v>41</v>
      </c>
      <c r="Z233" s="13"/>
      <c r="AA233" s="13"/>
      <c r="AB233" s="13"/>
      <c r="AC233" s="13"/>
      <c r="AD233" s="13"/>
      <c r="AE233" s="13"/>
      <c r="AF233" s="13"/>
      <c r="AG233" s="9"/>
      <c r="AJ233" s="11">
        <v>565.44000000000005</v>
      </c>
      <c r="AK233" s="9"/>
      <c r="AL233" s="9">
        <v>565.44000000000005</v>
      </c>
      <c r="AM233" s="23" t="s">
        <v>387</v>
      </c>
      <c r="AN233" s="13"/>
      <c r="AO233" s="13"/>
      <c r="AP233" s="13"/>
      <c r="AQ233" s="13"/>
      <c r="AR233" s="13"/>
    </row>
    <row r="234" spans="1:44" ht="15.75" customHeight="1">
      <c r="A234" s="9" t="s">
        <v>305</v>
      </c>
      <c r="B234" s="9" t="s">
        <v>305</v>
      </c>
      <c r="C234" s="17" t="s">
        <v>307</v>
      </c>
      <c r="D234" s="11">
        <v>237.06</v>
      </c>
      <c r="E234" s="13"/>
      <c r="F234" s="13"/>
      <c r="G234" s="11">
        <v>18.690000000000001</v>
      </c>
      <c r="H234" s="11">
        <v>6</v>
      </c>
      <c r="I234" s="11">
        <v>7.06</v>
      </c>
      <c r="J234" s="11">
        <v>41.88</v>
      </c>
      <c r="K234" s="11">
        <v>8.2799999999999994</v>
      </c>
      <c r="L234" s="11">
        <v>4.2</v>
      </c>
      <c r="M234" s="13"/>
      <c r="N234" s="11">
        <v>3.42</v>
      </c>
      <c r="O234" s="11">
        <v>0.83</v>
      </c>
      <c r="P234" s="9"/>
      <c r="Q234" s="9"/>
      <c r="R234" s="13"/>
      <c r="S234" s="11">
        <v>103.34</v>
      </c>
      <c r="T234" s="9"/>
      <c r="U234" s="13"/>
      <c r="V234" s="13"/>
      <c r="X234" s="13"/>
      <c r="Y234" s="9" t="s">
        <v>41</v>
      </c>
      <c r="Z234" s="13"/>
      <c r="AA234" s="13"/>
      <c r="AB234" s="13"/>
      <c r="AC234" s="13"/>
      <c r="AD234" s="13"/>
      <c r="AE234" s="13"/>
      <c r="AF234" s="13"/>
      <c r="AG234" s="9"/>
      <c r="AJ234" s="11">
        <v>430.77</v>
      </c>
      <c r="AK234" s="9"/>
      <c r="AL234" s="9">
        <v>430.77</v>
      </c>
      <c r="AM234" s="23" t="s">
        <v>388</v>
      </c>
      <c r="AN234" s="13"/>
      <c r="AO234" s="13"/>
      <c r="AP234" s="13"/>
      <c r="AQ234" s="13"/>
      <c r="AR234" s="13"/>
    </row>
    <row r="235" spans="1:44" ht="15.75" customHeight="1">
      <c r="A235" s="9" t="s">
        <v>389</v>
      </c>
      <c r="B235" s="9" t="s">
        <v>195</v>
      </c>
      <c r="C235" s="17" t="s">
        <v>307</v>
      </c>
      <c r="D235" s="11">
        <v>500.11</v>
      </c>
      <c r="E235" s="13"/>
      <c r="F235" s="13"/>
      <c r="G235" s="11">
        <v>41.85</v>
      </c>
      <c r="H235" s="11">
        <v>561</v>
      </c>
      <c r="I235" s="11">
        <v>6.03</v>
      </c>
      <c r="J235" s="11">
        <v>63.82</v>
      </c>
      <c r="K235" s="11">
        <v>5.18</v>
      </c>
      <c r="L235" s="11">
        <v>17.11</v>
      </c>
      <c r="M235" s="13"/>
      <c r="N235" s="11">
        <v>13.16</v>
      </c>
      <c r="O235" s="11">
        <v>5.0999999999999996</v>
      </c>
      <c r="P235" s="9"/>
      <c r="Q235" s="9"/>
      <c r="R235" s="13"/>
      <c r="S235" s="11">
        <v>221.73</v>
      </c>
      <c r="T235" s="9"/>
      <c r="U235" s="13"/>
      <c r="V235" s="13"/>
      <c r="X235" s="13"/>
      <c r="Y235" s="9" t="s">
        <v>41</v>
      </c>
      <c r="Z235" s="13"/>
      <c r="AA235" s="13"/>
      <c r="AB235" s="13"/>
      <c r="AC235" s="13"/>
      <c r="AD235" s="13"/>
      <c r="AE235" s="13"/>
      <c r="AF235" s="13"/>
      <c r="AG235" s="9"/>
      <c r="AJ235" s="11">
        <v>879.69</v>
      </c>
      <c r="AK235" s="9"/>
      <c r="AL235" s="9">
        <v>879.69</v>
      </c>
      <c r="AM235" s="23" t="s">
        <v>390</v>
      </c>
      <c r="AN235" s="13"/>
      <c r="AO235" s="13"/>
      <c r="AP235" s="13"/>
      <c r="AQ235" s="13"/>
      <c r="AR235" s="13"/>
    </row>
    <row r="236" spans="1:44" ht="15.75" customHeight="1">
      <c r="A236" s="10" t="s">
        <v>196</v>
      </c>
      <c r="B236" s="9" t="s">
        <v>196</v>
      </c>
      <c r="C236" s="17"/>
      <c r="D236" s="17">
        <f>SUM(D168:D235)</f>
        <v>506289.4099999998</v>
      </c>
      <c r="E236" s="13"/>
      <c r="F236" s="13"/>
      <c r="G236" s="17">
        <f t="shared" ref="G236:L236" si="3">SUM(G168:G235)</f>
        <v>14132.72</v>
      </c>
      <c r="H236" s="17">
        <f t="shared" si="3"/>
        <v>6596.39</v>
      </c>
      <c r="I236" s="17">
        <f t="shared" si="3"/>
        <v>2501.5400000000009</v>
      </c>
      <c r="J236" s="17">
        <f t="shared" si="3"/>
        <v>14918.550000000003</v>
      </c>
      <c r="K236" s="17">
        <f t="shared" si="3"/>
        <v>3888.91</v>
      </c>
      <c r="L236" s="17">
        <f t="shared" si="3"/>
        <v>11868.470000000003</v>
      </c>
      <c r="M236" s="13"/>
      <c r="N236" s="17">
        <f>SUM(N168:N235)</f>
        <v>2072.06</v>
      </c>
      <c r="O236" s="17">
        <f>SUM(O168:O235)</f>
        <v>1929.4799999999991</v>
      </c>
      <c r="P236" s="17"/>
      <c r="Q236" s="17"/>
      <c r="R236" s="17"/>
      <c r="S236" s="17">
        <f>SUM(S168:S235)</f>
        <v>344760.47000000009</v>
      </c>
      <c r="T236" s="17"/>
      <c r="U236" s="17"/>
      <c r="V236" s="17"/>
      <c r="X236" s="17"/>
      <c r="Y236" s="17">
        <f>SUM(Y168:Y235)</f>
        <v>506265.69000000006</v>
      </c>
      <c r="Z236" s="17"/>
      <c r="AA236" s="17"/>
      <c r="AB236" s="17"/>
      <c r="AC236" s="17"/>
      <c r="AD236" s="17"/>
      <c r="AE236" s="17"/>
      <c r="AF236" s="17"/>
      <c r="AG236" s="17">
        <f>SUM(AG168:AG235)</f>
        <v>1735.84</v>
      </c>
      <c r="AJ236" s="17">
        <f>SUM(AJ168:AJ235)</f>
        <v>1405738.9699999995</v>
      </c>
      <c r="AK236" s="17">
        <f>SUM(AK168:AK235)</f>
        <v>164203.20000000004</v>
      </c>
      <c r="AL236" s="17">
        <f>SUM(AL168:AL235)</f>
        <v>1241536.6699999997</v>
      </c>
      <c r="AM236" s="23" t="s">
        <v>391</v>
      </c>
      <c r="AN236" s="18"/>
      <c r="AO236" s="18"/>
      <c r="AP236" s="18"/>
      <c r="AQ236" s="18"/>
      <c r="AR236" s="18"/>
    </row>
    <row r="237" spans="1:44" ht="15.75" customHeight="1">
      <c r="A237" s="9" t="s">
        <v>39</v>
      </c>
      <c r="B237" s="9" t="s">
        <v>39</v>
      </c>
      <c r="C237" s="18" t="s">
        <v>392</v>
      </c>
      <c r="D237" s="11">
        <v>8648.82</v>
      </c>
      <c r="G237" s="11">
        <v>610.83000000000004</v>
      </c>
      <c r="H237" s="11">
        <v>84.17</v>
      </c>
      <c r="I237" s="11">
        <v>109.84</v>
      </c>
      <c r="J237" s="11">
        <v>158.76</v>
      </c>
      <c r="K237" s="11">
        <v>44.21</v>
      </c>
      <c r="L237" s="11">
        <v>1162.45</v>
      </c>
      <c r="N237" s="11">
        <v>204.62</v>
      </c>
      <c r="O237" s="11">
        <v>256.83999999999997</v>
      </c>
      <c r="Q237" s="11"/>
      <c r="S237" s="11">
        <v>9169.39</v>
      </c>
      <c r="U237" s="13"/>
      <c r="V237" s="13"/>
      <c r="X237" s="13"/>
      <c r="Y237" s="11"/>
      <c r="Z237" s="13"/>
      <c r="AA237" s="13"/>
      <c r="AB237" s="13"/>
      <c r="AC237" s="13"/>
      <c r="AD237" s="13"/>
      <c r="AE237" s="13"/>
      <c r="AF237" s="13"/>
      <c r="AG237" s="11"/>
      <c r="AJ237" s="11">
        <v>20449.919999999998</v>
      </c>
      <c r="AK237" s="11">
        <v>0</v>
      </c>
      <c r="AL237" s="13">
        <f t="shared" ref="AL237:AL268" si="4">AJ237-AK237</f>
        <v>20449.919999999998</v>
      </c>
      <c r="AM237" s="23" t="s">
        <v>393</v>
      </c>
      <c r="AN237" s="13"/>
      <c r="AO237" s="13"/>
      <c r="AP237" s="13"/>
      <c r="AQ237" s="13"/>
      <c r="AR237" s="13"/>
    </row>
    <row r="238" spans="1:44" ht="15.75" customHeight="1">
      <c r="A238" s="9" t="s">
        <v>309</v>
      </c>
      <c r="B238" s="13" t="s">
        <v>202</v>
      </c>
      <c r="C238" s="18" t="s">
        <v>392</v>
      </c>
      <c r="D238" s="11">
        <v>92187.14</v>
      </c>
      <c r="G238" s="11">
        <v>1344.6</v>
      </c>
      <c r="H238" s="11">
        <v>23.76</v>
      </c>
      <c r="I238" s="11">
        <v>20.2</v>
      </c>
      <c r="J238" s="11">
        <v>302.31</v>
      </c>
      <c r="K238" s="11">
        <v>289.58</v>
      </c>
      <c r="L238" s="11">
        <v>495.21</v>
      </c>
      <c r="N238" s="11">
        <v>729.43</v>
      </c>
      <c r="O238" s="11">
        <v>127</v>
      </c>
      <c r="Q238" s="11"/>
      <c r="S238" s="11">
        <v>28180.97</v>
      </c>
      <c r="U238" s="13"/>
      <c r="V238" s="13"/>
      <c r="X238" s="13"/>
      <c r="Y238" s="11">
        <v>3028.17</v>
      </c>
      <c r="Z238" s="13"/>
      <c r="AA238" s="13"/>
      <c r="AB238" s="13"/>
      <c r="AC238" s="13"/>
      <c r="AD238" s="13"/>
      <c r="AE238" s="13"/>
      <c r="AF238" s="13"/>
      <c r="AG238" s="11">
        <v>773.89</v>
      </c>
      <c r="AJ238" s="11">
        <v>127502.26</v>
      </c>
      <c r="AK238" s="11">
        <v>0</v>
      </c>
      <c r="AL238" s="13">
        <f t="shared" si="4"/>
        <v>127502.26</v>
      </c>
      <c r="AM238" s="23" t="s">
        <v>394</v>
      </c>
      <c r="AN238" s="13"/>
      <c r="AO238" s="13"/>
      <c r="AP238" s="13"/>
      <c r="AQ238" s="13"/>
      <c r="AR238" s="13"/>
    </row>
    <row r="239" spans="1:44" ht="15.75" customHeight="1">
      <c r="A239" s="9" t="s">
        <v>54</v>
      </c>
      <c r="B239" s="9" t="s">
        <v>54</v>
      </c>
      <c r="C239" s="18" t="s">
        <v>392</v>
      </c>
      <c r="D239" s="11">
        <v>20009.259999999998</v>
      </c>
      <c r="G239" s="11">
        <v>113.98</v>
      </c>
      <c r="H239" s="11">
        <v>0.42</v>
      </c>
      <c r="I239" s="11">
        <v>0.78</v>
      </c>
      <c r="J239" s="11">
        <v>88.95</v>
      </c>
      <c r="K239" s="11">
        <v>4.2300000000000004</v>
      </c>
      <c r="L239" s="11">
        <v>11.89</v>
      </c>
      <c r="N239" s="11">
        <v>26.75</v>
      </c>
      <c r="O239" s="11">
        <v>4.72</v>
      </c>
      <c r="Q239" s="11"/>
      <c r="S239" s="11"/>
      <c r="U239" s="13"/>
      <c r="V239" s="13"/>
      <c r="X239" s="13"/>
      <c r="Y239" s="11"/>
      <c r="Z239" s="13"/>
      <c r="AA239" s="13"/>
      <c r="AB239" s="13"/>
      <c r="AC239" s="13"/>
      <c r="AD239" s="13"/>
      <c r="AE239" s="13"/>
      <c r="AF239" s="13"/>
      <c r="AG239" s="11">
        <v>2.64</v>
      </c>
      <c r="AJ239" s="11">
        <v>23267.29</v>
      </c>
      <c r="AK239" s="11">
        <v>2.0699999999999998</v>
      </c>
      <c r="AL239" s="13">
        <f t="shared" si="4"/>
        <v>23265.22</v>
      </c>
      <c r="AM239" s="23" t="s">
        <v>395</v>
      </c>
      <c r="AN239" s="13"/>
      <c r="AO239" s="13"/>
      <c r="AP239" s="13"/>
      <c r="AQ239" s="13"/>
      <c r="AR239" s="13"/>
    </row>
    <row r="240" spans="1:44" ht="15.75" customHeight="1">
      <c r="A240" s="9" t="s">
        <v>207</v>
      </c>
      <c r="B240" s="9" t="s">
        <v>207</v>
      </c>
      <c r="C240" s="18" t="s">
        <v>392</v>
      </c>
      <c r="D240" s="11">
        <v>294.55</v>
      </c>
      <c r="G240" s="11">
        <v>12.78</v>
      </c>
      <c r="H240" s="11">
        <v>0.22</v>
      </c>
      <c r="I240" s="11">
        <v>1.0900000000000001</v>
      </c>
      <c r="J240" s="11">
        <v>81.56</v>
      </c>
      <c r="K240" s="11">
        <v>1.87</v>
      </c>
      <c r="L240" s="11">
        <v>4.6100000000000003</v>
      </c>
      <c r="N240" s="11">
        <v>4.34</v>
      </c>
      <c r="O240" s="11">
        <v>1.99</v>
      </c>
      <c r="Q240" s="11"/>
      <c r="S240" s="11">
        <v>139.03</v>
      </c>
      <c r="U240" s="13"/>
      <c r="V240" s="13"/>
      <c r="X240" s="13"/>
      <c r="Y240" s="11">
        <v>480.84</v>
      </c>
      <c r="Z240" s="13"/>
      <c r="AA240" s="13"/>
      <c r="AB240" s="13"/>
      <c r="AC240" s="13"/>
      <c r="AD240" s="13"/>
      <c r="AE240" s="13"/>
      <c r="AF240" s="13"/>
      <c r="AG240" s="11"/>
      <c r="AJ240" s="11">
        <v>1022.87</v>
      </c>
      <c r="AK240" s="11">
        <v>0</v>
      </c>
      <c r="AL240" s="13">
        <f t="shared" si="4"/>
        <v>1022.87</v>
      </c>
      <c r="AM240" s="23" t="s">
        <v>396</v>
      </c>
      <c r="AN240" s="13"/>
      <c r="AO240" s="13"/>
      <c r="AP240" s="13"/>
      <c r="AQ240" s="13"/>
      <c r="AR240" s="13"/>
    </row>
    <row r="241" spans="1:44" ht="15.75" customHeight="1">
      <c r="A241" s="9" t="s">
        <v>313</v>
      </c>
      <c r="B241" s="9" t="s">
        <v>209</v>
      </c>
      <c r="C241" s="18" t="s">
        <v>392</v>
      </c>
      <c r="D241" s="11">
        <v>173.23</v>
      </c>
      <c r="G241" s="11">
        <v>10.35</v>
      </c>
      <c r="H241" s="11">
        <v>2.2799999999999998</v>
      </c>
      <c r="I241" s="11">
        <v>0.6</v>
      </c>
      <c r="J241" s="11">
        <v>75.78</v>
      </c>
      <c r="K241" s="11">
        <v>2.78</v>
      </c>
      <c r="L241" s="11">
        <v>11.82</v>
      </c>
      <c r="N241" s="11">
        <v>1.45</v>
      </c>
      <c r="O241" s="11">
        <v>2.12</v>
      </c>
      <c r="Q241" s="11"/>
      <c r="S241" s="11">
        <v>35.22</v>
      </c>
      <c r="U241" s="13"/>
      <c r="V241" s="13"/>
      <c r="X241" s="13"/>
      <c r="Y241" s="11">
        <v>646.94000000000005</v>
      </c>
      <c r="Z241" s="13"/>
      <c r="AA241" s="13"/>
      <c r="AB241" s="13"/>
      <c r="AC241" s="13"/>
      <c r="AD241" s="13"/>
      <c r="AE241" s="13"/>
      <c r="AF241" s="13"/>
      <c r="AG241" s="11"/>
      <c r="AJ241" s="11">
        <v>962.57</v>
      </c>
      <c r="AK241" s="11">
        <v>0</v>
      </c>
      <c r="AL241" s="13">
        <f t="shared" si="4"/>
        <v>962.57</v>
      </c>
      <c r="AM241" s="23" t="s">
        <v>397</v>
      </c>
      <c r="AN241" s="13"/>
      <c r="AO241" s="13"/>
      <c r="AP241" s="13"/>
      <c r="AQ241" s="13"/>
      <c r="AR241" s="13"/>
    </row>
    <row r="242" spans="1:44" ht="15.75" customHeight="1">
      <c r="A242" s="9" t="s">
        <v>66</v>
      </c>
      <c r="B242" s="9" t="s">
        <v>66</v>
      </c>
      <c r="C242" s="18" t="s">
        <v>392</v>
      </c>
      <c r="D242" s="11">
        <v>1028.74</v>
      </c>
      <c r="G242" s="11">
        <v>15.94</v>
      </c>
      <c r="H242" s="11">
        <v>4.75</v>
      </c>
      <c r="I242" s="11">
        <v>4.2699999999999996</v>
      </c>
      <c r="J242" s="11">
        <v>11.89</v>
      </c>
      <c r="K242" s="11">
        <v>48.02</v>
      </c>
      <c r="L242" s="11">
        <v>39.4</v>
      </c>
      <c r="N242" s="11">
        <v>23.19</v>
      </c>
      <c r="O242" s="11">
        <v>11.79</v>
      </c>
      <c r="Q242" s="11"/>
      <c r="S242" s="11">
        <v>227.66</v>
      </c>
      <c r="U242" s="13"/>
      <c r="V242" s="13"/>
      <c r="X242" s="13"/>
      <c r="Y242" s="11">
        <v>111022.32</v>
      </c>
      <c r="Z242" s="13"/>
      <c r="AA242" s="13"/>
      <c r="AB242" s="13"/>
      <c r="AC242" s="13"/>
      <c r="AD242" s="13"/>
      <c r="AE242" s="13"/>
      <c r="AF242" s="13"/>
      <c r="AG242" s="11"/>
      <c r="AJ242" s="11">
        <v>112437.97</v>
      </c>
      <c r="AK242" s="11">
        <v>0</v>
      </c>
      <c r="AL242" s="13">
        <f t="shared" si="4"/>
        <v>112437.97</v>
      </c>
      <c r="AM242" s="23" t="s">
        <v>398</v>
      </c>
      <c r="AN242" s="13"/>
      <c r="AO242" s="13"/>
      <c r="AP242" s="13"/>
      <c r="AQ242" s="13"/>
      <c r="AR242" s="13"/>
    </row>
    <row r="243" spans="1:44" ht="15.75" customHeight="1">
      <c r="A243" s="9" t="s">
        <v>212</v>
      </c>
      <c r="B243" s="9" t="s">
        <v>212</v>
      </c>
      <c r="C243" s="18" t="s">
        <v>392</v>
      </c>
      <c r="D243" s="11">
        <v>8109.35</v>
      </c>
      <c r="G243" s="11">
        <v>192.51</v>
      </c>
      <c r="H243" s="11">
        <v>1217.05</v>
      </c>
      <c r="I243" s="11">
        <v>31.94</v>
      </c>
      <c r="J243" s="11">
        <v>2637.66</v>
      </c>
      <c r="K243" s="11">
        <v>10.24</v>
      </c>
      <c r="L243" s="11">
        <v>334.83</v>
      </c>
      <c r="N243" s="11">
        <v>60.92</v>
      </c>
      <c r="O243" s="11">
        <v>143.13</v>
      </c>
      <c r="Q243" s="11"/>
      <c r="S243" s="11">
        <v>2903.04</v>
      </c>
      <c r="U243" s="13"/>
      <c r="V243" s="13"/>
      <c r="X243" s="13"/>
      <c r="Y243" s="11">
        <v>113.21</v>
      </c>
      <c r="Z243" s="13"/>
      <c r="AA243" s="13"/>
      <c r="AB243" s="13"/>
      <c r="AC243" s="13"/>
      <c r="AD243" s="13"/>
      <c r="AE243" s="13"/>
      <c r="AF243" s="13"/>
      <c r="AG243" s="11"/>
      <c r="AJ243" s="11">
        <v>15753.89</v>
      </c>
      <c r="AK243" s="11">
        <v>368.76</v>
      </c>
      <c r="AL243" s="13">
        <f t="shared" si="4"/>
        <v>15385.13</v>
      </c>
      <c r="AM243" s="23" t="s">
        <v>399</v>
      </c>
      <c r="AN243" s="13"/>
      <c r="AO243" s="13"/>
      <c r="AP243" s="13"/>
      <c r="AQ243" s="13"/>
      <c r="AR243" s="13"/>
    </row>
    <row r="244" spans="1:44" ht="15.75" customHeight="1">
      <c r="A244" s="9" t="s">
        <v>72</v>
      </c>
      <c r="B244" s="9" t="s">
        <v>72</v>
      </c>
      <c r="C244" s="18" t="s">
        <v>392</v>
      </c>
      <c r="D244" s="11">
        <v>5903.11</v>
      </c>
      <c r="G244" s="11">
        <v>6.42</v>
      </c>
      <c r="H244" s="11">
        <v>0.53</v>
      </c>
      <c r="I244" s="11">
        <v>0.84</v>
      </c>
      <c r="J244" s="11">
        <v>41.67</v>
      </c>
      <c r="K244" s="11">
        <v>2.62</v>
      </c>
      <c r="L244" s="11">
        <v>1</v>
      </c>
      <c r="N244" s="11">
        <v>1.56</v>
      </c>
      <c r="O244" s="11">
        <v>1.34</v>
      </c>
      <c r="Q244" s="11"/>
      <c r="S244" s="11">
        <v>336.01</v>
      </c>
      <c r="U244" s="13"/>
      <c r="V244" s="13"/>
      <c r="X244" s="13"/>
      <c r="Y244" s="11">
        <v>6825.92</v>
      </c>
      <c r="Z244" s="13"/>
      <c r="AA244" s="13"/>
      <c r="AB244" s="13"/>
      <c r="AC244" s="13"/>
      <c r="AD244" s="13"/>
      <c r="AE244" s="13"/>
      <c r="AF244" s="13"/>
      <c r="AG244" s="11"/>
      <c r="AJ244" s="11">
        <v>13122.09</v>
      </c>
      <c r="AK244" s="11">
        <v>230.61</v>
      </c>
      <c r="AL244" s="13">
        <f t="shared" si="4"/>
        <v>12891.48</v>
      </c>
      <c r="AM244" s="23" t="s">
        <v>400</v>
      </c>
      <c r="AN244" s="13"/>
      <c r="AO244" s="13"/>
      <c r="AP244" s="13"/>
      <c r="AQ244" s="13"/>
      <c r="AR244" s="13"/>
    </row>
    <row r="245" spans="1:44" ht="15.75" customHeight="1">
      <c r="A245" s="9" t="s">
        <v>217</v>
      </c>
      <c r="B245" s="9" t="s">
        <v>217</v>
      </c>
      <c r="C245" s="18" t="s">
        <v>392</v>
      </c>
      <c r="D245" s="11">
        <v>205.68</v>
      </c>
      <c r="G245" s="11">
        <v>9</v>
      </c>
      <c r="H245" s="11">
        <v>3.63</v>
      </c>
      <c r="I245" s="11">
        <v>0.88</v>
      </c>
      <c r="J245" s="11">
        <v>50.52</v>
      </c>
      <c r="K245" s="11">
        <v>1.88</v>
      </c>
      <c r="L245" s="11">
        <v>6.3</v>
      </c>
      <c r="N245" s="11">
        <v>7.61</v>
      </c>
      <c r="O245" s="11">
        <v>2.25</v>
      </c>
      <c r="Q245" s="11"/>
      <c r="S245" s="11">
        <v>32.53</v>
      </c>
      <c r="U245" s="13"/>
      <c r="V245" s="13"/>
      <c r="X245" s="13"/>
      <c r="Y245" s="11">
        <v>55023.73</v>
      </c>
      <c r="Z245" s="13"/>
      <c r="AA245" s="13"/>
      <c r="AB245" s="13"/>
      <c r="AC245" s="13"/>
      <c r="AD245" s="13"/>
      <c r="AE245" s="13"/>
      <c r="AF245" s="13"/>
      <c r="AG245" s="11"/>
      <c r="AJ245" s="11">
        <v>55344.03</v>
      </c>
      <c r="AK245" s="11">
        <v>0</v>
      </c>
      <c r="AL245" s="13">
        <f t="shared" si="4"/>
        <v>55344.03</v>
      </c>
      <c r="AM245" s="23" t="s">
        <v>401</v>
      </c>
      <c r="AN245" s="13"/>
      <c r="AO245" s="13"/>
      <c r="AP245" s="13"/>
      <c r="AQ245" s="13"/>
      <c r="AR245" s="13"/>
    </row>
    <row r="246" spans="1:44" ht="15.75" customHeight="1">
      <c r="A246" s="9" t="s">
        <v>219</v>
      </c>
      <c r="B246" s="9" t="s">
        <v>219</v>
      </c>
      <c r="C246" s="18" t="s">
        <v>392</v>
      </c>
      <c r="D246" s="11">
        <v>3578.23</v>
      </c>
      <c r="G246" s="11">
        <v>60.46</v>
      </c>
      <c r="H246" s="11">
        <v>0.81</v>
      </c>
      <c r="I246" s="11">
        <v>3.14</v>
      </c>
      <c r="J246" s="11">
        <v>111.73</v>
      </c>
      <c r="K246" s="11">
        <v>1.19</v>
      </c>
      <c r="L246" s="11">
        <v>6.79</v>
      </c>
      <c r="N246" s="11">
        <v>21.97</v>
      </c>
      <c r="O246" s="11">
        <v>8.18</v>
      </c>
      <c r="Q246" s="11"/>
      <c r="S246" s="11">
        <v>64005.440000000002</v>
      </c>
      <c r="U246" s="13"/>
      <c r="V246" s="13"/>
      <c r="X246" s="13"/>
      <c r="Y246" s="11">
        <v>18106.59</v>
      </c>
      <c r="Z246" s="13"/>
      <c r="AA246" s="13"/>
      <c r="AB246" s="13"/>
      <c r="AC246" s="13"/>
      <c r="AD246" s="13"/>
      <c r="AE246" s="13"/>
      <c r="AF246" s="13"/>
      <c r="AG246" s="11">
        <v>24.27</v>
      </c>
      <c r="AJ246" s="11">
        <v>85928.81</v>
      </c>
      <c r="AK246" s="11">
        <v>0</v>
      </c>
      <c r="AL246" s="13">
        <f t="shared" si="4"/>
        <v>85928.81</v>
      </c>
      <c r="AM246" s="23" t="s">
        <v>402</v>
      </c>
      <c r="AN246" s="13"/>
      <c r="AO246" s="13"/>
      <c r="AP246" s="13"/>
      <c r="AQ246" s="13"/>
      <c r="AR246" s="13"/>
    </row>
    <row r="247" spans="1:44" ht="15.75" customHeight="1">
      <c r="A247" s="9" t="s">
        <v>221</v>
      </c>
      <c r="B247" s="9" t="s">
        <v>221</v>
      </c>
      <c r="C247" s="18" t="s">
        <v>392</v>
      </c>
      <c r="D247" s="11">
        <v>70.34</v>
      </c>
      <c r="G247" s="11">
        <v>11.9</v>
      </c>
      <c r="H247" s="11">
        <v>0.89</v>
      </c>
      <c r="I247" s="11">
        <v>0.72</v>
      </c>
      <c r="J247" s="11">
        <v>8.73</v>
      </c>
      <c r="K247" s="11">
        <v>3.81</v>
      </c>
      <c r="L247" s="11">
        <v>6.5</v>
      </c>
      <c r="N247" s="11">
        <v>1.29</v>
      </c>
      <c r="O247" s="11">
        <v>0.71</v>
      </c>
      <c r="Q247" s="11"/>
      <c r="S247" s="11">
        <v>17.920000000000002</v>
      </c>
      <c r="U247" s="13"/>
      <c r="V247" s="13"/>
      <c r="X247" s="13"/>
      <c r="Y247" s="11"/>
      <c r="Z247" s="13"/>
      <c r="AA247" s="13"/>
      <c r="AB247" s="13"/>
      <c r="AC247" s="13"/>
      <c r="AD247" s="13"/>
      <c r="AE247" s="13"/>
      <c r="AF247" s="13"/>
      <c r="AG247" s="11"/>
      <c r="AJ247" s="11">
        <v>122.82</v>
      </c>
      <c r="AK247" s="11">
        <v>0</v>
      </c>
      <c r="AL247" s="13">
        <f t="shared" si="4"/>
        <v>122.82</v>
      </c>
      <c r="AM247" s="23" t="s">
        <v>403</v>
      </c>
      <c r="AN247" s="13"/>
      <c r="AO247" s="13"/>
      <c r="AP247" s="13"/>
      <c r="AQ247" s="13"/>
      <c r="AR247" s="13"/>
    </row>
    <row r="248" spans="1:44" ht="15.75" customHeight="1">
      <c r="A248" s="9" t="s">
        <v>77</v>
      </c>
      <c r="B248" s="9" t="s">
        <v>77</v>
      </c>
      <c r="C248" s="18" t="s">
        <v>392</v>
      </c>
      <c r="D248" s="11">
        <v>5712.54</v>
      </c>
      <c r="G248" s="11">
        <v>87.1</v>
      </c>
      <c r="H248" s="11">
        <v>20.85</v>
      </c>
      <c r="I248" s="11">
        <v>28.47</v>
      </c>
      <c r="J248" s="11">
        <v>28.85</v>
      </c>
      <c r="K248" s="11">
        <v>49.83</v>
      </c>
      <c r="L248" s="11">
        <v>291.26</v>
      </c>
      <c r="N248" s="11">
        <v>16.829999999999998</v>
      </c>
      <c r="O248" s="11">
        <v>21.34</v>
      </c>
      <c r="Q248" s="11"/>
      <c r="S248" s="11">
        <v>11350.72</v>
      </c>
      <c r="U248" s="13"/>
      <c r="V248" s="13"/>
      <c r="X248" s="13"/>
      <c r="Y248" s="11">
        <v>30007.47</v>
      </c>
      <c r="Z248" s="13"/>
      <c r="AA248" s="13"/>
      <c r="AB248" s="13"/>
      <c r="AC248" s="13"/>
      <c r="AD248" s="13"/>
      <c r="AE248" s="13"/>
      <c r="AF248" s="13"/>
      <c r="AG248" s="11"/>
      <c r="AJ248" s="11">
        <v>47615.26</v>
      </c>
      <c r="AK248" s="11">
        <v>0</v>
      </c>
      <c r="AL248" s="13">
        <f t="shared" si="4"/>
        <v>47615.26</v>
      </c>
      <c r="AM248" s="23" t="s">
        <v>404</v>
      </c>
      <c r="AN248" s="13"/>
      <c r="AO248" s="13"/>
      <c r="AP248" s="13"/>
      <c r="AQ248" s="13"/>
      <c r="AR248" s="13"/>
    </row>
    <row r="249" spans="1:44" ht="15.75" customHeight="1">
      <c r="A249" s="9" t="s">
        <v>226</v>
      </c>
      <c r="B249" s="9" t="s">
        <v>226</v>
      </c>
      <c r="C249" s="18" t="s">
        <v>392</v>
      </c>
      <c r="D249" s="11">
        <v>375.15</v>
      </c>
      <c r="G249" s="11">
        <v>29.63</v>
      </c>
      <c r="H249" s="11">
        <v>6.45</v>
      </c>
      <c r="I249" s="11">
        <v>6.77</v>
      </c>
      <c r="J249" s="11">
        <v>79.36</v>
      </c>
      <c r="K249" s="11">
        <v>12.26</v>
      </c>
      <c r="L249" s="11">
        <v>47.5</v>
      </c>
      <c r="N249" s="11">
        <v>8.48</v>
      </c>
      <c r="O249" s="11">
        <v>2.12</v>
      </c>
      <c r="Q249" s="11"/>
      <c r="S249" s="11">
        <v>168.04</v>
      </c>
      <c r="U249" s="13"/>
      <c r="V249" s="13"/>
      <c r="X249" s="13"/>
      <c r="Y249" s="11">
        <v>2408.14</v>
      </c>
      <c r="Z249" s="13"/>
      <c r="AA249" s="13"/>
      <c r="AB249" s="13"/>
      <c r="AC249" s="13"/>
      <c r="AD249" s="13"/>
      <c r="AE249" s="13"/>
      <c r="AF249" s="13"/>
      <c r="AG249" s="11"/>
      <c r="AJ249" s="11">
        <v>3143.91</v>
      </c>
      <c r="AK249" s="11">
        <v>0</v>
      </c>
      <c r="AL249" s="13">
        <f t="shared" si="4"/>
        <v>3143.91</v>
      </c>
      <c r="AM249" s="23" t="s">
        <v>405</v>
      </c>
      <c r="AN249" s="13"/>
      <c r="AO249" s="13"/>
      <c r="AP249" s="13"/>
      <c r="AQ249" s="13"/>
      <c r="AR249" s="13"/>
    </row>
    <row r="250" spans="1:44" ht="15.75" customHeight="1">
      <c r="A250" s="9" t="s">
        <v>228</v>
      </c>
      <c r="B250" s="9" t="s">
        <v>228</v>
      </c>
      <c r="C250" s="18" t="s">
        <v>392</v>
      </c>
      <c r="D250" s="11">
        <v>13264.52</v>
      </c>
      <c r="G250" s="11">
        <v>110.29</v>
      </c>
      <c r="H250" s="11">
        <v>1.7</v>
      </c>
      <c r="I250" s="11">
        <v>7.72</v>
      </c>
      <c r="J250" s="11">
        <v>5.47</v>
      </c>
      <c r="K250" s="11">
        <v>478.44</v>
      </c>
      <c r="L250" s="11">
        <v>76.42</v>
      </c>
      <c r="N250" s="11">
        <v>24.7</v>
      </c>
      <c r="O250" s="11">
        <v>136.96</v>
      </c>
      <c r="Q250" s="11"/>
      <c r="S250" s="11">
        <v>1233.4100000000001</v>
      </c>
      <c r="U250" s="13"/>
      <c r="V250" s="13"/>
      <c r="X250" s="13"/>
      <c r="Y250" s="11">
        <v>36785.43</v>
      </c>
      <c r="Z250" s="13"/>
      <c r="AA250" s="13"/>
      <c r="AB250" s="13"/>
      <c r="AC250" s="13"/>
      <c r="AD250" s="13"/>
      <c r="AE250" s="13"/>
      <c r="AF250" s="13"/>
      <c r="AG250" s="11"/>
      <c r="AJ250" s="11">
        <v>52125.07</v>
      </c>
      <c r="AK250" s="11">
        <v>1961.16</v>
      </c>
      <c r="AL250" s="13">
        <f t="shared" si="4"/>
        <v>50163.909999999996</v>
      </c>
      <c r="AM250" s="23" t="s">
        <v>406</v>
      </c>
      <c r="AN250" s="13"/>
      <c r="AO250" s="13"/>
      <c r="AP250" s="13"/>
      <c r="AQ250" s="13"/>
      <c r="AR250" s="13"/>
    </row>
    <row r="251" spans="1:44" ht="15.75" customHeight="1">
      <c r="A251" s="9" t="s">
        <v>232</v>
      </c>
      <c r="B251" s="9" t="s">
        <v>232</v>
      </c>
      <c r="C251" s="18" t="s">
        <v>392</v>
      </c>
      <c r="D251" s="11">
        <v>1063.58</v>
      </c>
      <c r="G251" s="11">
        <v>4.47</v>
      </c>
      <c r="H251" s="11">
        <v>0.28000000000000003</v>
      </c>
      <c r="I251" s="11"/>
      <c r="J251" s="11"/>
      <c r="K251" s="11">
        <v>0.14000000000000001</v>
      </c>
      <c r="L251" s="11">
        <v>2.48</v>
      </c>
      <c r="N251" s="11">
        <v>3.17</v>
      </c>
      <c r="O251" s="11">
        <v>3.94</v>
      </c>
      <c r="Q251" s="11"/>
      <c r="S251" s="11">
        <v>83.87</v>
      </c>
      <c r="U251" s="13"/>
      <c r="V251" s="13"/>
      <c r="X251" s="13"/>
      <c r="Y251" s="11">
        <v>58802.93</v>
      </c>
      <c r="Z251" s="13"/>
      <c r="AA251" s="13"/>
      <c r="AB251" s="13"/>
      <c r="AC251" s="13"/>
      <c r="AD251" s="13"/>
      <c r="AE251" s="13"/>
      <c r="AF251" s="13"/>
      <c r="AG251" s="11"/>
      <c r="AJ251" s="11">
        <v>59964.85</v>
      </c>
      <c r="AK251" s="11">
        <v>58715.93</v>
      </c>
      <c r="AL251" s="13">
        <f t="shared" si="4"/>
        <v>1248.9199999999983</v>
      </c>
      <c r="AM251" s="23" t="s">
        <v>407</v>
      </c>
      <c r="AN251" s="13"/>
      <c r="AO251" s="13"/>
      <c r="AP251" s="13"/>
      <c r="AQ251" s="13"/>
      <c r="AR251" s="13"/>
    </row>
    <row r="252" spans="1:44" ht="15.75" customHeight="1">
      <c r="A252" s="9" t="s">
        <v>87</v>
      </c>
      <c r="B252" s="9" t="s">
        <v>87</v>
      </c>
      <c r="C252" s="18" t="s">
        <v>392</v>
      </c>
      <c r="D252" s="11">
        <v>193.53</v>
      </c>
      <c r="G252" s="11">
        <v>14.68</v>
      </c>
      <c r="H252" s="11">
        <v>4.6100000000000003</v>
      </c>
      <c r="I252" s="11">
        <v>6.29</v>
      </c>
      <c r="J252" s="11">
        <v>5.8</v>
      </c>
      <c r="K252" s="11">
        <v>3.31</v>
      </c>
      <c r="L252" s="11">
        <v>7.3</v>
      </c>
      <c r="N252" s="11">
        <v>3.21</v>
      </c>
      <c r="O252" s="11">
        <v>65.95</v>
      </c>
      <c r="Q252" s="11"/>
      <c r="S252" s="11">
        <v>1918.7</v>
      </c>
      <c r="U252" s="13"/>
      <c r="V252" s="13"/>
      <c r="X252" s="13"/>
      <c r="Y252" s="11" t="s">
        <v>408</v>
      </c>
      <c r="Z252" s="13"/>
      <c r="AA252" s="13"/>
      <c r="AB252" s="13"/>
      <c r="AC252" s="13"/>
      <c r="AD252" s="13"/>
      <c r="AE252" s="13"/>
      <c r="AF252" s="13"/>
      <c r="AG252" s="11">
        <v>0.45</v>
      </c>
      <c r="AJ252" s="11">
        <v>6408.61</v>
      </c>
      <c r="AK252" s="11">
        <v>0</v>
      </c>
      <c r="AL252" s="13">
        <f t="shared" si="4"/>
        <v>6408.61</v>
      </c>
      <c r="AM252" s="23" t="s">
        <v>409</v>
      </c>
      <c r="AN252" s="13"/>
      <c r="AO252" s="13"/>
      <c r="AP252" s="13"/>
      <c r="AQ252" s="13"/>
      <c r="AR252" s="13"/>
    </row>
    <row r="253" spans="1:44" ht="15.75" customHeight="1">
      <c r="A253" s="9" t="s">
        <v>329</v>
      </c>
      <c r="B253" s="9" t="s">
        <v>329</v>
      </c>
      <c r="C253" s="18" t="s">
        <v>392</v>
      </c>
      <c r="D253" s="11">
        <v>93.12</v>
      </c>
      <c r="G253" s="11">
        <v>6.48</v>
      </c>
      <c r="H253" s="11">
        <v>0.79</v>
      </c>
      <c r="I253" s="11">
        <v>0.1</v>
      </c>
      <c r="J253" s="11">
        <v>24.01</v>
      </c>
      <c r="K253" s="11">
        <v>1.57</v>
      </c>
      <c r="L253" s="11">
        <v>4.0599999999999996</v>
      </c>
      <c r="N253" s="11">
        <v>0.73</v>
      </c>
      <c r="O253" s="11">
        <v>0.33</v>
      </c>
      <c r="Q253" s="11"/>
      <c r="S253" s="11">
        <v>12.19</v>
      </c>
      <c r="U253" s="13"/>
      <c r="V253" s="13"/>
      <c r="X253" s="13"/>
      <c r="Y253" s="11">
        <v>1290.22</v>
      </c>
      <c r="Z253" s="13"/>
      <c r="AA253" s="13"/>
      <c r="AB253" s="13"/>
      <c r="AC253" s="13"/>
      <c r="AD253" s="13"/>
      <c r="AE253" s="13"/>
      <c r="AF253" s="13"/>
      <c r="AG253" s="11"/>
      <c r="AJ253" s="11">
        <v>1433.62</v>
      </c>
      <c r="AK253" s="11">
        <v>0</v>
      </c>
      <c r="AL253" s="13">
        <f t="shared" si="4"/>
        <v>1433.62</v>
      </c>
      <c r="AM253" s="23" t="s">
        <v>410</v>
      </c>
      <c r="AN253" s="13"/>
      <c r="AO253" s="13"/>
      <c r="AP253" s="13"/>
      <c r="AQ253" s="13"/>
      <c r="AR253" s="13"/>
    </row>
    <row r="254" spans="1:44" ht="15.75" customHeight="1">
      <c r="A254" s="9" t="s">
        <v>411</v>
      </c>
      <c r="B254" s="9" t="s">
        <v>91</v>
      </c>
      <c r="C254" s="18" t="s">
        <v>392</v>
      </c>
      <c r="D254" s="11">
        <v>666.09</v>
      </c>
      <c r="G254" s="11">
        <v>7.1</v>
      </c>
      <c r="H254" s="11">
        <v>0.39</v>
      </c>
      <c r="I254" s="11">
        <v>0.85</v>
      </c>
      <c r="J254" s="11">
        <v>112.79</v>
      </c>
      <c r="K254" s="11">
        <v>2.7</v>
      </c>
      <c r="L254" s="11">
        <v>4.09</v>
      </c>
      <c r="N254" s="11">
        <v>5.75</v>
      </c>
      <c r="O254" s="11">
        <v>6.1</v>
      </c>
      <c r="Q254" s="11"/>
      <c r="S254" s="11">
        <v>139.19</v>
      </c>
      <c r="U254" s="13"/>
      <c r="V254" s="13"/>
      <c r="X254" s="13"/>
      <c r="Y254" s="11">
        <v>40</v>
      </c>
      <c r="Z254" s="13"/>
      <c r="AA254" s="13"/>
      <c r="AB254" s="13"/>
      <c r="AC254" s="13"/>
      <c r="AD254" s="13"/>
      <c r="AE254" s="13"/>
      <c r="AF254" s="13"/>
      <c r="AG254" s="11"/>
      <c r="AJ254" s="11">
        <v>985.06</v>
      </c>
      <c r="AK254" s="11">
        <v>0</v>
      </c>
      <c r="AL254" s="13">
        <f t="shared" si="4"/>
        <v>985.06</v>
      </c>
      <c r="AM254" s="23" t="s">
        <v>412</v>
      </c>
      <c r="AN254" s="13"/>
      <c r="AO254" s="13"/>
      <c r="AP254" s="13"/>
      <c r="AQ254" s="13"/>
      <c r="AR254" s="13"/>
    </row>
    <row r="255" spans="1:44" ht="15.75" customHeight="1">
      <c r="A255" s="9" t="s">
        <v>93</v>
      </c>
      <c r="B255" s="9" t="s">
        <v>93</v>
      </c>
      <c r="C255" s="18" t="s">
        <v>392</v>
      </c>
      <c r="D255" s="11">
        <v>779.4</v>
      </c>
      <c r="G255" s="11">
        <v>6.44</v>
      </c>
      <c r="H255" s="11">
        <v>0.72</v>
      </c>
      <c r="I255" s="11">
        <v>0.16</v>
      </c>
      <c r="J255" s="11">
        <v>75.84</v>
      </c>
      <c r="K255" s="11">
        <v>1.57</v>
      </c>
      <c r="L255" s="11">
        <v>2.2799999999999998</v>
      </c>
      <c r="N255" s="11">
        <v>1.78</v>
      </c>
      <c r="O255" s="11">
        <v>2.7</v>
      </c>
      <c r="Q255" s="11"/>
      <c r="S255" s="11">
        <v>118.94</v>
      </c>
      <c r="U255" s="13"/>
      <c r="V255" s="13"/>
      <c r="X255" s="13"/>
      <c r="Y255" s="11">
        <v>1278</v>
      </c>
      <c r="Z255" s="13"/>
      <c r="AA255" s="13"/>
      <c r="AB255" s="13"/>
      <c r="AC255" s="13"/>
      <c r="AD255" s="13"/>
      <c r="AE255" s="13"/>
      <c r="AF255" s="13"/>
      <c r="AG255" s="11">
        <v>0.8</v>
      </c>
      <c r="AJ255" s="11">
        <v>2268.62</v>
      </c>
      <c r="AK255" s="11">
        <v>4</v>
      </c>
      <c r="AL255" s="13">
        <f t="shared" si="4"/>
        <v>2264.62</v>
      </c>
      <c r="AM255" s="23" t="s">
        <v>413</v>
      </c>
      <c r="AN255" s="13"/>
      <c r="AO255" s="13"/>
      <c r="AP255" s="13"/>
      <c r="AQ255" s="13"/>
      <c r="AR255" s="13"/>
    </row>
    <row r="256" spans="1:44" ht="15.75" customHeight="1">
      <c r="A256" s="9" t="s">
        <v>414</v>
      </c>
      <c r="B256" s="9" t="s">
        <v>414</v>
      </c>
      <c r="C256" s="18" t="s">
        <v>392</v>
      </c>
      <c r="D256" s="11">
        <v>688.99</v>
      </c>
      <c r="G256" s="11">
        <v>19.2</v>
      </c>
      <c r="H256" s="11">
        <v>1.28</v>
      </c>
      <c r="I256" s="11">
        <v>0.62</v>
      </c>
      <c r="J256" s="9"/>
      <c r="K256" s="11">
        <v>2.09</v>
      </c>
      <c r="L256" s="11">
        <v>4.95</v>
      </c>
      <c r="N256" s="11">
        <v>8.6999999999999993</v>
      </c>
      <c r="O256" s="11">
        <v>3.14</v>
      </c>
      <c r="Q256" s="9"/>
      <c r="S256" s="9">
        <v>30.51</v>
      </c>
      <c r="U256" s="13"/>
      <c r="V256" s="13"/>
      <c r="X256" s="13"/>
      <c r="Y256" s="11">
        <v>3071.13</v>
      </c>
      <c r="Z256" s="13"/>
      <c r="AA256" s="13"/>
      <c r="AB256" s="13"/>
      <c r="AC256" s="13"/>
      <c r="AD256" s="13"/>
      <c r="AE256" s="13"/>
      <c r="AF256" s="13"/>
      <c r="AG256" s="11">
        <v>0.12</v>
      </c>
      <c r="AJ256" s="11">
        <v>3830.73</v>
      </c>
      <c r="AK256" s="11">
        <v>0</v>
      </c>
      <c r="AL256" s="13">
        <f t="shared" si="4"/>
        <v>3830.73</v>
      </c>
      <c r="AM256" s="23" t="s">
        <v>415</v>
      </c>
      <c r="AN256" s="13"/>
      <c r="AO256" s="13"/>
      <c r="AP256" s="13"/>
      <c r="AQ256" s="13"/>
      <c r="AR256" s="13"/>
    </row>
    <row r="257" spans="1:44" ht="15.75" customHeight="1">
      <c r="A257" s="9" t="s">
        <v>336</v>
      </c>
      <c r="B257" s="9" t="s">
        <v>242</v>
      </c>
      <c r="C257" s="18" t="s">
        <v>392</v>
      </c>
      <c r="D257" s="11">
        <v>111.5</v>
      </c>
      <c r="G257" s="11">
        <v>4.09</v>
      </c>
      <c r="H257" s="11">
        <v>2.69</v>
      </c>
      <c r="I257" s="11">
        <v>0.75</v>
      </c>
      <c r="J257" s="11">
        <v>73.52</v>
      </c>
      <c r="K257" s="11">
        <v>1.27</v>
      </c>
      <c r="L257" s="11">
        <v>40.33</v>
      </c>
      <c r="N257" s="11">
        <v>3.44</v>
      </c>
      <c r="O257" s="11">
        <v>4.68</v>
      </c>
      <c r="Q257" s="11"/>
      <c r="S257" s="11">
        <v>1095.31</v>
      </c>
      <c r="U257" s="13"/>
      <c r="V257" s="13"/>
      <c r="X257" s="13"/>
      <c r="Y257" s="9">
        <v>7613.57</v>
      </c>
      <c r="Z257" s="13"/>
      <c r="AA257" s="13"/>
      <c r="AB257" s="13"/>
      <c r="AC257" s="13"/>
      <c r="AD257" s="13"/>
      <c r="AE257" s="13"/>
      <c r="AF257" s="13"/>
      <c r="AG257" s="9"/>
      <c r="AJ257" s="11">
        <v>8951.15</v>
      </c>
      <c r="AK257" s="11">
        <v>976.17</v>
      </c>
      <c r="AL257" s="13">
        <f t="shared" si="4"/>
        <v>7974.98</v>
      </c>
      <c r="AM257" s="23" t="s">
        <v>416</v>
      </c>
      <c r="AN257" s="13"/>
      <c r="AO257" s="13"/>
      <c r="AP257" s="13"/>
      <c r="AQ257" s="13"/>
      <c r="AR257" s="13"/>
    </row>
    <row r="258" spans="1:44" ht="15.75" customHeight="1">
      <c r="A258" s="9" t="s">
        <v>244</v>
      </c>
      <c r="B258" s="9" t="s">
        <v>244</v>
      </c>
      <c r="C258" s="18" t="s">
        <v>392</v>
      </c>
      <c r="D258" s="9">
        <v>2386.36</v>
      </c>
      <c r="G258" s="11">
        <v>4.18</v>
      </c>
      <c r="H258" s="11">
        <v>0.35</v>
      </c>
      <c r="I258" s="11">
        <v>0.2</v>
      </c>
      <c r="J258" s="11">
        <v>134.55000000000001</v>
      </c>
      <c r="K258" s="11">
        <v>2.23</v>
      </c>
      <c r="L258" s="11">
        <v>11.73</v>
      </c>
      <c r="N258" s="11">
        <v>2.23</v>
      </c>
      <c r="O258" s="11">
        <v>3.13</v>
      </c>
      <c r="Q258" s="9"/>
      <c r="S258" s="11">
        <v>89.34</v>
      </c>
      <c r="U258" s="13"/>
      <c r="V258" s="13"/>
      <c r="X258" s="13"/>
      <c r="Y258" s="9"/>
      <c r="Z258" s="13"/>
      <c r="AA258" s="13"/>
      <c r="AB258" s="13"/>
      <c r="AC258" s="13"/>
      <c r="AD258" s="13"/>
      <c r="AE258" s="13"/>
      <c r="AF258" s="13"/>
      <c r="AG258" s="9"/>
      <c r="AJ258" s="11">
        <v>2634.3</v>
      </c>
      <c r="AK258" s="11">
        <v>0</v>
      </c>
      <c r="AL258" s="13">
        <f t="shared" si="4"/>
        <v>2634.3</v>
      </c>
      <c r="AM258" s="23" t="s">
        <v>417</v>
      </c>
      <c r="AN258" s="13"/>
      <c r="AO258" s="13"/>
      <c r="AP258" s="13"/>
      <c r="AQ258" s="13"/>
      <c r="AR258" s="13"/>
    </row>
    <row r="259" spans="1:44" ht="15.75" customHeight="1">
      <c r="A259" s="9" t="s">
        <v>339</v>
      </c>
      <c r="B259" s="9" t="s">
        <v>101</v>
      </c>
      <c r="C259" s="18" t="s">
        <v>392</v>
      </c>
      <c r="D259" s="11">
        <v>259.3</v>
      </c>
      <c r="G259" s="11">
        <v>17.190000000000001</v>
      </c>
      <c r="H259" s="11">
        <v>1.62</v>
      </c>
      <c r="I259" s="11">
        <v>3.1</v>
      </c>
      <c r="J259" s="11">
        <v>128.74</v>
      </c>
      <c r="K259" s="11">
        <v>11.07</v>
      </c>
      <c r="L259" s="11">
        <v>22.14</v>
      </c>
      <c r="N259" s="11">
        <v>7.1</v>
      </c>
      <c r="O259" s="11">
        <v>1.49</v>
      </c>
      <c r="Q259" s="9"/>
      <c r="S259" s="11">
        <v>365.45</v>
      </c>
      <c r="U259" s="13"/>
      <c r="V259" s="13"/>
      <c r="X259" s="13"/>
      <c r="Y259" s="11">
        <v>763.6</v>
      </c>
      <c r="Z259" s="13"/>
      <c r="AA259" s="13"/>
      <c r="AB259" s="13"/>
      <c r="AC259" s="13"/>
      <c r="AD259" s="13"/>
      <c r="AE259" s="13"/>
      <c r="AF259" s="13"/>
      <c r="AG259" s="11">
        <v>0.02</v>
      </c>
      <c r="AJ259" s="11">
        <v>1580.83</v>
      </c>
      <c r="AK259" s="11">
        <v>0</v>
      </c>
      <c r="AL259" s="13">
        <f t="shared" si="4"/>
        <v>1580.83</v>
      </c>
      <c r="AM259" s="23" t="s">
        <v>418</v>
      </c>
      <c r="AN259" s="13"/>
      <c r="AO259" s="13"/>
      <c r="AP259" s="13"/>
      <c r="AQ259" s="13"/>
      <c r="AR259" s="13"/>
    </row>
    <row r="260" spans="1:44" ht="15.75" customHeight="1">
      <c r="A260" s="9" t="s">
        <v>419</v>
      </c>
      <c r="B260" s="9" t="s">
        <v>103</v>
      </c>
      <c r="C260" s="18" t="s">
        <v>392</v>
      </c>
      <c r="D260" s="11">
        <v>426.72</v>
      </c>
      <c r="G260" s="11">
        <v>43.97</v>
      </c>
      <c r="H260" s="11">
        <v>7.71</v>
      </c>
      <c r="I260" s="11">
        <v>1820.52</v>
      </c>
      <c r="J260" s="11">
        <v>55.77</v>
      </c>
      <c r="K260" s="11">
        <v>5.0199999999999996</v>
      </c>
      <c r="L260" s="11">
        <v>38.49</v>
      </c>
      <c r="N260" s="11">
        <v>6.69</v>
      </c>
      <c r="O260" s="11">
        <v>2.99</v>
      </c>
      <c r="Q260" s="11"/>
      <c r="S260" s="11">
        <v>97.22</v>
      </c>
      <c r="U260" s="13"/>
      <c r="V260" s="13"/>
      <c r="X260" s="13"/>
      <c r="Y260" s="11">
        <v>3684.47</v>
      </c>
      <c r="Z260" s="13"/>
      <c r="AA260" s="13"/>
      <c r="AB260" s="13"/>
      <c r="AC260" s="13"/>
      <c r="AD260" s="13"/>
      <c r="AE260" s="13"/>
      <c r="AF260" s="13"/>
      <c r="AG260" s="11">
        <v>0.12</v>
      </c>
      <c r="AJ260" s="11">
        <v>6189.69</v>
      </c>
      <c r="AK260" s="11">
        <v>1574.56</v>
      </c>
      <c r="AL260" s="13">
        <f t="shared" si="4"/>
        <v>4615.1299999999992</v>
      </c>
      <c r="AM260" s="23" t="s">
        <v>420</v>
      </c>
      <c r="AN260" s="13"/>
      <c r="AO260" s="13"/>
      <c r="AP260" s="13"/>
      <c r="AQ260" s="13"/>
      <c r="AR260" s="13"/>
    </row>
    <row r="261" spans="1:44" ht="15.75" customHeight="1">
      <c r="A261" s="9" t="s">
        <v>105</v>
      </c>
      <c r="B261" s="9" t="s">
        <v>105</v>
      </c>
      <c r="C261" s="18" t="s">
        <v>392</v>
      </c>
      <c r="D261" s="11">
        <v>203.31</v>
      </c>
      <c r="G261" s="11">
        <v>16.059999999999999</v>
      </c>
      <c r="H261" s="11">
        <v>5.14</v>
      </c>
      <c r="I261" s="11">
        <v>0.28999999999999998</v>
      </c>
      <c r="J261" s="11">
        <v>50.87</v>
      </c>
      <c r="K261" s="11">
        <v>2.42</v>
      </c>
      <c r="L261" s="11">
        <v>7.94</v>
      </c>
      <c r="N261" s="11">
        <v>5.25</v>
      </c>
      <c r="O261" s="11">
        <v>3.58</v>
      </c>
      <c r="Q261" s="11"/>
      <c r="S261" s="11">
        <v>273.52999999999997</v>
      </c>
      <c r="U261" s="13"/>
      <c r="V261" s="13"/>
      <c r="X261" s="13"/>
      <c r="Y261" s="11">
        <v>682.24</v>
      </c>
      <c r="Z261" s="13"/>
      <c r="AA261" s="13"/>
      <c r="AB261" s="13"/>
      <c r="AC261" s="13"/>
      <c r="AD261" s="13"/>
      <c r="AE261" s="13"/>
      <c r="AF261" s="13"/>
      <c r="AG261" s="9"/>
      <c r="AJ261" s="11">
        <v>1250.6199999999999</v>
      </c>
      <c r="AK261" s="11">
        <v>136.94999999999999</v>
      </c>
      <c r="AL261" s="13">
        <f t="shared" si="4"/>
        <v>1113.6699999999998</v>
      </c>
      <c r="AM261" s="23" t="s">
        <v>421</v>
      </c>
      <c r="AN261" s="13"/>
      <c r="AO261" s="13"/>
      <c r="AP261" s="13"/>
      <c r="AQ261" s="13"/>
      <c r="AR261" s="13"/>
    </row>
    <row r="262" spans="1:44" ht="15.75" customHeight="1">
      <c r="A262" s="9" t="s">
        <v>107</v>
      </c>
      <c r="B262" s="9" t="s">
        <v>107</v>
      </c>
      <c r="C262" s="18" t="s">
        <v>392</v>
      </c>
      <c r="D262" s="11">
        <v>236.17</v>
      </c>
      <c r="G262" s="11">
        <v>49.75</v>
      </c>
      <c r="H262" s="11">
        <v>2.8</v>
      </c>
      <c r="I262" s="11">
        <v>3.91</v>
      </c>
      <c r="J262" s="11">
        <v>32.200000000000003</v>
      </c>
      <c r="K262" s="11">
        <v>2.94</v>
      </c>
      <c r="L262" s="11">
        <v>37.19</v>
      </c>
      <c r="N262" s="11">
        <v>4.13</v>
      </c>
      <c r="O262" s="11">
        <v>2.4700000000000002</v>
      </c>
      <c r="Q262" s="11"/>
      <c r="S262" s="11">
        <v>53.64</v>
      </c>
      <c r="U262" s="13"/>
      <c r="V262" s="13"/>
      <c r="X262" s="13"/>
      <c r="Y262" s="11">
        <v>1776.72</v>
      </c>
      <c r="Z262" s="13"/>
      <c r="AA262" s="13"/>
      <c r="AB262" s="13"/>
      <c r="AC262" s="13"/>
      <c r="AD262" s="13"/>
      <c r="AE262" s="13"/>
      <c r="AF262" s="13"/>
      <c r="AG262" s="9"/>
      <c r="AJ262" s="11">
        <v>2201.91</v>
      </c>
      <c r="AK262" s="11">
        <v>0.08</v>
      </c>
      <c r="AL262" s="13">
        <f t="shared" si="4"/>
        <v>2201.83</v>
      </c>
      <c r="AM262" s="23" t="s">
        <v>422</v>
      </c>
      <c r="AN262" s="13"/>
      <c r="AO262" s="13"/>
      <c r="AP262" s="13"/>
      <c r="AQ262" s="13"/>
      <c r="AR262" s="13"/>
    </row>
    <row r="263" spans="1:44" ht="15.75" customHeight="1">
      <c r="A263" s="9" t="s">
        <v>345</v>
      </c>
      <c r="B263" s="9" t="s">
        <v>345</v>
      </c>
      <c r="C263" s="18" t="s">
        <v>392</v>
      </c>
      <c r="D263" s="11">
        <v>367.4</v>
      </c>
      <c r="G263" s="11">
        <v>66.040000000000006</v>
      </c>
      <c r="H263" s="11">
        <v>6.33</v>
      </c>
      <c r="I263" s="11">
        <v>1.99</v>
      </c>
      <c r="J263" s="9"/>
      <c r="K263" s="11">
        <v>15.55</v>
      </c>
      <c r="L263" s="11">
        <v>42.85</v>
      </c>
      <c r="N263" s="11">
        <v>14.47</v>
      </c>
      <c r="O263" s="11">
        <v>15.68</v>
      </c>
      <c r="Q263" s="11"/>
      <c r="S263" s="11">
        <v>114.17</v>
      </c>
      <c r="U263" s="13"/>
      <c r="V263" s="13"/>
      <c r="X263" s="13"/>
      <c r="Y263" s="11">
        <v>5662</v>
      </c>
      <c r="Z263" s="13"/>
      <c r="AA263" s="13"/>
      <c r="AB263" s="13"/>
      <c r="AC263" s="13"/>
      <c r="AD263" s="13"/>
      <c r="AE263" s="13"/>
      <c r="AF263" s="13"/>
      <c r="AG263" s="9"/>
      <c r="AJ263" s="11">
        <v>6306.49</v>
      </c>
      <c r="AK263" s="11">
        <v>4813.49</v>
      </c>
      <c r="AL263" s="13">
        <f t="shared" si="4"/>
        <v>1493</v>
      </c>
      <c r="AM263" s="23" t="s">
        <v>423</v>
      </c>
      <c r="AN263" s="13"/>
      <c r="AO263" s="13"/>
      <c r="AP263" s="13"/>
      <c r="AQ263" s="13"/>
      <c r="AR263" s="13"/>
    </row>
    <row r="264" spans="1:44" ht="15.75" customHeight="1">
      <c r="A264" s="9" t="s">
        <v>252</v>
      </c>
      <c r="B264" s="9" t="s">
        <v>252</v>
      </c>
      <c r="C264" s="18" t="s">
        <v>392</v>
      </c>
      <c r="D264" s="11">
        <v>1510.44</v>
      </c>
      <c r="G264" s="11">
        <v>10.6</v>
      </c>
      <c r="H264" s="11">
        <v>1.48</v>
      </c>
      <c r="I264" s="11">
        <v>1.5</v>
      </c>
      <c r="J264" s="11">
        <v>50.42</v>
      </c>
      <c r="K264" s="11">
        <v>3.28</v>
      </c>
      <c r="L264" s="11">
        <v>22.86</v>
      </c>
      <c r="N264" s="11">
        <v>6</v>
      </c>
      <c r="O264" s="11">
        <v>3.32</v>
      </c>
      <c r="Q264" s="9"/>
      <c r="S264" s="11">
        <v>212.78</v>
      </c>
      <c r="U264" s="13"/>
      <c r="V264" s="13"/>
      <c r="X264" s="13"/>
      <c r="Y264" s="11">
        <v>471.98</v>
      </c>
      <c r="Z264" s="13"/>
      <c r="AA264" s="13"/>
      <c r="AB264" s="13"/>
      <c r="AC264" s="13"/>
      <c r="AD264" s="13"/>
      <c r="AE264" s="13"/>
      <c r="AF264" s="13"/>
      <c r="AG264" s="9"/>
      <c r="AJ264" s="11">
        <v>2294.6799999999998</v>
      </c>
      <c r="AK264" s="9">
        <v>18.5</v>
      </c>
      <c r="AL264" s="13">
        <f t="shared" si="4"/>
        <v>2276.1799999999998</v>
      </c>
      <c r="AM264" s="23" t="s">
        <v>424</v>
      </c>
      <c r="AN264" s="13"/>
      <c r="AO264" s="13"/>
      <c r="AP264" s="13"/>
      <c r="AQ264" s="13"/>
      <c r="AR264" s="13"/>
    </row>
    <row r="265" spans="1:44" ht="15.75" customHeight="1">
      <c r="A265" s="9" t="s">
        <v>348</v>
      </c>
      <c r="B265" s="9" t="s">
        <v>117</v>
      </c>
      <c r="C265" s="18" t="s">
        <v>392</v>
      </c>
      <c r="D265" s="11">
        <v>861.09</v>
      </c>
      <c r="G265" s="11">
        <v>7.69</v>
      </c>
      <c r="H265" s="11">
        <v>1.1299999999999999</v>
      </c>
      <c r="I265" s="11">
        <v>1.36</v>
      </c>
      <c r="J265" s="11">
        <v>39.6</v>
      </c>
      <c r="K265" s="11">
        <v>2.02</v>
      </c>
      <c r="L265" s="11">
        <v>3.42</v>
      </c>
      <c r="N265" s="11">
        <v>3.17</v>
      </c>
      <c r="O265" s="11">
        <v>1.51</v>
      </c>
      <c r="Q265" s="11"/>
      <c r="S265" s="9">
        <v>5662.83</v>
      </c>
      <c r="U265" s="13"/>
      <c r="V265" s="13"/>
      <c r="X265" s="13"/>
      <c r="Y265" s="11">
        <v>14080.81</v>
      </c>
      <c r="Z265" s="13"/>
      <c r="AA265" s="13"/>
      <c r="AB265" s="13"/>
      <c r="AC265" s="13"/>
      <c r="AD265" s="13"/>
      <c r="AE265" s="13"/>
      <c r="AF265" s="13"/>
      <c r="AG265" s="9"/>
      <c r="AJ265" s="11">
        <v>20664.64</v>
      </c>
      <c r="AK265" s="11">
        <v>2670.59</v>
      </c>
      <c r="AL265" s="13">
        <f t="shared" si="4"/>
        <v>17994.05</v>
      </c>
      <c r="AM265" s="23" t="s">
        <v>425</v>
      </c>
      <c r="AN265" s="13"/>
      <c r="AO265" s="13"/>
      <c r="AP265" s="13"/>
      <c r="AQ265" s="13"/>
      <c r="AR265" s="13"/>
    </row>
    <row r="266" spans="1:44" ht="15.75" customHeight="1">
      <c r="A266" s="9" t="s">
        <v>426</v>
      </c>
      <c r="B266" s="9" t="s">
        <v>255</v>
      </c>
      <c r="C266" s="18" t="s">
        <v>392</v>
      </c>
      <c r="D266" s="11">
        <v>249.08</v>
      </c>
      <c r="G266" s="11">
        <v>10.64</v>
      </c>
      <c r="H266" s="11">
        <v>1.05</v>
      </c>
      <c r="I266" s="11">
        <v>0.47</v>
      </c>
      <c r="J266" s="11">
        <v>5.83</v>
      </c>
      <c r="K266" s="11">
        <v>1.78</v>
      </c>
      <c r="L266" s="11">
        <v>7.56</v>
      </c>
      <c r="N266" s="11">
        <v>3.81</v>
      </c>
      <c r="O266" s="11">
        <v>3.08</v>
      </c>
      <c r="Q266" s="9"/>
      <c r="S266" s="11">
        <v>620.53</v>
      </c>
      <c r="U266" s="13"/>
      <c r="V266" s="13"/>
      <c r="X266" s="13"/>
      <c r="Y266" s="11">
        <v>1506.29</v>
      </c>
      <c r="Z266" s="13"/>
      <c r="AA266" s="13"/>
      <c r="AB266" s="13"/>
      <c r="AC266" s="13"/>
      <c r="AD266" s="13"/>
      <c r="AE266" s="13"/>
      <c r="AF266" s="13"/>
      <c r="AG266" s="9"/>
      <c r="AJ266" s="11">
        <v>2410.1</v>
      </c>
      <c r="AK266" s="11">
        <v>0</v>
      </c>
      <c r="AL266" s="13">
        <f t="shared" si="4"/>
        <v>2410.1</v>
      </c>
      <c r="AM266" s="23" t="s">
        <v>427</v>
      </c>
      <c r="AN266" s="13"/>
      <c r="AO266" s="13"/>
      <c r="AP266" s="13"/>
      <c r="AQ266" s="13"/>
      <c r="AR266" s="13"/>
    </row>
    <row r="267" spans="1:44" ht="15.75" customHeight="1">
      <c r="A267" s="9" t="s">
        <v>119</v>
      </c>
      <c r="B267" s="9" t="s">
        <v>119</v>
      </c>
      <c r="C267" s="18" t="s">
        <v>392</v>
      </c>
      <c r="D267" s="11">
        <v>205.54</v>
      </c>
      <c r="G267" s="11">
        <v>35.07</v>
      </c>
      <c r="H267" s="11">
        <v>4.22</v>
      </c>
      <c r="I267" s="11">
        <v>3.25</v>
      </c>
      <c r="J267" s="11">
        <v>0.26</v>
      </c>
      <c r="K267" s="11">
        <v>4.74</v>
      </c>
      <c r="L267" s="11">
        <v>21.71</v>
      </c>
      <c r="N267" s="11">
        <v>5.47</v>
      </c>
      <c r="O267" s="11">
        <v>4.8600000000000003</v>
      </c>
      <c r="Q267" s="11"/>
      <c r="S267" s="11">
        <v>80.95</v>
      </c>
      <c r="U267" s="13"/>
      <c r="V267" s="13"/>
      <c r="X267" s="13"/>
      <c r="Y267" s="11">
        <v>540.28</v>
      </c>
      <c r="Z267" s="13"/>
      <c r="AA267" s="13"/>
      <c r="AB267" s="13"/>
      <c r="AC267" s="13"/>
      <c r="AD267" s="13"/>
      <c r="AE267" s="13"/>
      <c r="AF267" s="13"/>
      <c r="AG267" s="9"/>
      <c r="AJ267" s="11">
        <v>906.36</v>
      </c>
      <c r="AK267" s="11">
        <v>539.72</v>
      </c>
      <c r="AL267" s="13">
        <f t="shared" si="4"/>
        <v>366.64</v>
      </c>
      <c r="AM267" s="23" t="s">
        <v>428</v>
      </c>
      <c r="AN267" s="13"/>
      <c r="AO267" s="13"/>
      <c r="AP267" s="13"/>
      <c r="AQ267" s="13"/>
      <c r="AR267" s="13"/>
    </row>
    <row r="268" spans="1:44" ht="15.75" customHeight="1">
      <c r="A268" s="9" t="s">
        <v>121</v>
      </c>
      <c r="B268" s="9" t="s">
        <v>121</v>
      </c>
      <c r="C268" s="18" t="s">
        <v>392</v>
      </c>
      <c r="D268" s="11">
        <v>406.97</v>
      </c>
      <c r="G268" s="11">
        <v>53.08</v>
      </c>
      <c r="H268" s="11">
        <v>30.62</v>
      </c>
      <c r="I268" s="11">
        <v>5.22</v>
      </c>
      <c r="J268" s="11">
        <v>100.64</v>
      </c>
      <c r="K268" s="11">
        <v>5.24</v>
      </c>
      <c r="L268" s="11">
        <v>43.53</v>
      </c>
      <c r="N268" s="11">
        <v>4.8499999999999996</v>
      </c>
      <c r="O268" s="11">
        <v>2.11</v>
      </c>
      <c r="Q268" s="9"/>
      <c r="S268" s="11">
        <v>137.22999999999999</v>
      </c>
      <c r="U268" s="13"/>
      <c r="V268" s="13"/>
      <c r="X268" s="13"/>
      <c r="Y268" s="9">
        <v>1196.33</v>
      </c>
      <c r="Z268" s="13"/>
      <c r="AA268" s="13"/>
      <c r="AB268" s="13"/>
      <c r="AC268" s="13"/>
      <c r="AD268" s="13"/>
      <c r="AE268" s="13"/>
      <c r="AF268" s="13"/>
      <c r="AG268" s="9"/>
      <c r="AJ268" s="11">
        <v>1985.82</v>
      </c>
      <c r="AK268" s="9">
        <v>3.45</v>
      </c>
      <c r="AL268" s="13">
        <f t="shared" si="4"/>
        <v>1982.37</v>
      </c>
      <c r="AM268" s="23" t="s">
        <v>429</v>
      </c>
      <c r="AN268" s="13"/>
      <c r="AO268" s="13"/>
      <c r="AP268" s="13"/>
      <c r="AQ268" s="13"/>
      <c r="AR268" s="13"/>
    </row>
    <row r="269" spans="1:44" ht="15.75" customHeight="1">
      <c r="A269" s="9" t="s">
        <v>262</v>
      </c>
      <c r="B269" s="9" t="s">
        <v>262</v>
      </c>
      <c r="C269" s="18" t="s">
        <v>392</v>
      </c>
      <c r="D269" s="11">
        <v>407.34</v>
      </c>
      <c r="G269" s="11">
        <v>4.58</v>
      </c>
      <c r="H269" s="11">
        <v>0.97</v>
      </c>
      <c r="I269" s="11">
        <v>0.87</v>
      </c>
      <c r="J269" s="11">
        <v>113.29</v>
      </c>
      <c r="K269" s="11">
        <v>2.16</v>
      </c>
      <c r="L269" s="11">
        <v>1.69</v>
      </c>
      <c r="N269" s="11">
        <v>4</v>
      </c>
      <c r="O269" s="11">
        <v>0.62</v>
      </c>
      <c r="Q269" s="11"/>
      <c r="S269" s="11">
        <v>41.21</v>
      </c>
      <c r="U269" s="13"/>
      <c r="V269" s="13"/>
      <c r="X269" s="13"/>
      <c r="Y269" s="11">
        <v>2215.62</v>
      </c>
      <c r="Z269" s="13"/>
      <c r="AA269" s="13"/>
      <c r="AB269" s="13"/>
      <c r="AC269" s="13"/>
      <c r="AD269" s="13"/>
      <c r="AE269" s="13"/>
      <c r="AF269" s="13"/>
      <c r="AG269" s="9"/>
      <c r="AJ269" s="11">
        <v>2792.34</v>
      </c>
      <c r="AK269" s="11">
        <v>769.84</v>
      </c>
      <c r="AL269" s="13">
        <f t="shared" ref="AL269:AL300" si="5">AJ269-AK269</f>
        <v>2022.5</v>
      </c>
      <c r="AM269" s="23" t="s">
        <v>430</v>
      </c>
      <c r="AN269" s="13"/>
      <c r="AO269" s="13"/>
      <c r="AP269" s="13"/>
      <c r="AQ269" s="13"/>
      <c r="AR269" s="13"/>
    </row>
    <row r="270" spans="1:44" ht="15.75" customHeight="1">
      <c r="A270" s="9" t="s">
        <v>264</v>
      </c>
      <c r="B270" s="9" t="s">
        <v>264</v>
      </c>
      <c r="C270" s="18" t="s">
        <v>392</v>
      </c>
      <c r="D270" s="11">
        <v>633.07000000000005</v>
      </c>
      <c r="G270" s="11">
        <v>46.17</v>
      </c>
      <c r="H270" s="11">
        <v>7.65</v>
      </c>
      <c r="I270" s="11">
        <v>6.33</v>
      </c>
      <c r="J270" s="11">
        <v>244.22</v>
      </c>
      <c r="K270" s="11">
        <v>10.17</v>
      </c>
      <c r="L270" s="11">
        <v>37.520000000000003</v>
      </c>
      <c r="N270" s="11">
        <v>9.84</v>
      </c>
      <c r="O270" s="11">
        <v>3.44</v>
      </c>
      <c r="Q270" s="11"/>
      <c r="S270" s="11">
        <v>134.91</v>
      </c>
      <c r="U270" s="13"/>
      <c r="V270" s="13"/>
      <c r="X270" s="13"/>
      <c r="Y270" s="9">
        <v>1352.29</v>
      </c>
      <c r="Z270" s="13"/>
      <c r="AA270" s="13"/>
      <c r="AB270" s="13"/>
      <c r="AC270" s="13"/>
      <c r="AD270" s="13"/>
      <c r="AE270" s="13"/>
      <c r="AF270" s="13"/>
      <c r="AG270" s="11">
        <v>1.89</v>
      </c>
      <c r="AJ270" s="11">
        <v>2487.5</v>
      </c>
      <c r="AK270" s="11">
        <v>893.24</v>
      </c>
      <c r="AL270" s="13">
        <f t="shared" si="5"/>
        <v>1594.26</v>
      </c>
      <c r="AM270" s="23" t="s">
        <v>431</v>
      </c>
      <c r="AN270" s="13"/>
      <c r="AO270" s="13"/>
      <c r="AP270" s="13"/>
      <c r="AQ270" s="13"/>
      <c r="AR270" s="13"/>
    </row>
    <row r="271" spans="1:44" ht="15.75" customHeight="1">
      <c r="A271" s="9" t="s">
        <v>432</v>
      </c>
      <c r="B271" s="9" t="s">
        <v>131</v>
      </c>
      <c r="C271" s="18" t="s">
        <v>392</v>
      </c>
      <c r="D271" s="11">
        <v>1515.26</v>
      </c>
      <c r="G271" s="11">
        <v>19.55</v>
      </c>
      <c r="H271" s="11">
        <v>4.37</v>
      </c>
      <c r="I271" s="11">
        <v>29.85</v>
      </c>
      <c r="J271" s="11">
        <v>3.82</v>
      </c>
      <c r="K271" s="11">
        <v>2.52</v>
      </c>
      <c r="L271" s="11">
        <v>19.510000000000002</v>
      </c>
      <c r="N271" s="11">
        <v>5.81</v>
      </c>
      <c r="O271" s="9">
        <v>6.32</v>
      </c>
      <c r="Q271" s="9"/>
      <c r="S271" s="11">
        <v>27520.6</v>
      </c>
      <c r="U271" s="13"/>
      <c r="V271" s="13"/>
      <c r="X271" s="13"/>
      <c r="Y271" s="11">
        <v>862.13</v>
      </c>
      <c r="Z271" s="13"/>
      <c r="AA271" s="13"/>
      <c r="AB271" s="13"/>
      <c r="AC271" s="13"/>
      <c r="AD271" s="13"/>
      <c r="AE271" s="13"/>
      <c r="AF271" s="13"/>
      <c r="AG271" s="11">
        <v>2.84</v>
      </c>
      <c r="AJ271" s="11">
        <v>29984.95</v>
      </c>
      <c r="AK271" s="9">
        <v>87.88</v>
      </c>
      <c r="AL271" s="13">
        <f t="shared" si="5"/>
        <v>29897.07</v>
      </c>
      <c r="AM271" s="23" t="s">
        <v>433</v>
      </c>
      <c r="AN271" s="13"/>
      <c r="AO271" s="13"/>
      <c r="AP271" s="13"/>
      <c r="AQ271" s="13"/>
      <c r="AR271" s="13"/>
    </row>
    <row r="272" spans="1:44" ht="15.75" customHeight="1">
      <c r="A272" s="9" t="s">
        <v>133</v>
      </c>
      <c r="B272" s="9" t="s">
        <v>133</v>
      </c>
      <c r="C272" s="18" t="s">
        <v>392</v>
      </c>
      <c r="D272" s="11">
        <v>362.08</v>
      </c>
      <c r="G272" s="11">
        <v>1.63</v>
      </c>
      <c r="H272" s="11">
        <v>0.33</v>
      </c>
      <c r="I272" s="11">
        <v>0.32</v>
      </c>
      <c r="J272" s="11">
        <v>0.55000000000000004</v>
      </c>
      <c r="K272" s="11">
        <v>8.6300000000000008</v>
      </c>
      <c r="L272" s="11">
        <v>2.15</v>
      </c>
      <c r="N272" s="11">
        <v>2</v>
      </c>
      <c r="O272" s="11">
        <v>0.63</v>
      </c>
      <c r="Q272" s="9"/>
      <c r="S272" s="9"/>
      <c r="U272" s="13"/>
      <c r="V272" s="13"/>
      <c r="X272" s="13"/>
      <c r="Y272" s="11">
        <v>24</v>
      </c>
      <c r="Z272" s="13"/>
      <c r="AA272" s="13"/>
      <c r="AB272" s="13"/>
      <c r="AC272" s="13"/>
      <c r="AD272" s="13"/>
      <c r="AE272" s="13"/>
      <c r="AF272" s="13"/>
      <c r="AG272" s="11">
        <v>2.2200000000000002</v>
      </c>
      <c r="AJ272" s="11">
        <v>514.72</v>
      </c>
      <c r="AK272" s="9">
        <v>60</v>
      </c>
      <c r="AL272" s="13">
        <f t="shared" si="5"/>
        <v>454.72</v>
      </c>
      <c r="AM272" s="23" t="s">
        <v>434</v>
      </c>
      <c r="AN272" s="13"/>
      <c r="AO272" s="13"/>
      <c r="AP272" s="13"/>
      <c r="AQ272" s="13"/>
      <c r="AR272" s="13"/>
    </row>
    <row r="273" spans="1:44" ht="15.75" customHeight="1">
      <c r="A273" s="9" t="s">
        <v>135</v>
      </c>
      <c r="B273" s="9" t="s">
        <v>135</v>
      </c>
      <c r="C273" s="18" t="s">
        <v>392</v>
      </c>
      <c r="D273" s="11">
        <v>174.8</v>
      </c>
      <c r="G273" s="11">
        <v>11.14</v>
      </c>
      <c r="H273" s="11">
        <v>2.33</v>
      </c>
      <c r="I273" s="11">
        <v>1.52</v>
      </c>
      <c r="J273" s="9"/>
      <c r="K273" s="11">
        <v>3.5</v>
      </c>
      <c r="L273" s="11">
        <v>8.33</v>
      </c>
      <c r="N273" s="11">
        <v>5.51</v>
      </c>
      <c r="O273" s="11">
        <v>2.08</v>
      </c>
      <c r="Q273" s="11"/>
      <c r="S273" s="9">
        <v>1620.22</v>
      </c>
      <c r="U273" s="13"/>
      <c r="V273" s="13"/>
      <c r="X273" s="13"/>
      <c r="Y273" s="9"/>
      <c r="Z273" s="13"/>
      <c r="AA273" s="13"/>
      <c r="AB273" s="13"/>
      <c r="AC273" s="13"/>
      <c r="AD273" s="13"/>
      <c r="AE273" s="13"/>
      <c r="AF273" s="13"/>
      <c r="AG273" s="9"/>
      <c r="AJ273" s="11">
        <v>1829.42</v>
      </c>
      <c r="AK273" s="11">
        <v>1647</v>
      </c>
      <c r="AL273" s="13">
        <f t="shared" si="5"/>
        <v>182.42000000000007</v>
      </c>
      <c r="AM273" s="23" t="s">
        <v>435</v>
      </c>
      <c r="AN273" s="13"/>
      <c r="AO273" s="13"/>
      <c r="AP273" s="13"/>
      <c r="AQ273" s="13"/>
      <c r="AR273" s="13"/>
    </row>
    <row r="274" spans="1:44" ht="15.75" customHeight="1">
      <c r="A274" s="9" t="s">
        <v>137</v>
      </c>
      <c r="B274" s="9" t="s">
        <v>137</v>
      </c>
      <c r="C274" s="18" t="s">
        <v>392</v>
      </c>
      <c r="D274" s="11">
        <v>257.14</v>
      </c>
      <c r="G274" s="11">
        <v>30.88</v>
      </c>
      <c r="H274" s="11">
        <v>28.18</v>
      </c>
      <c r="I274" s="11">
        <v>2.64</v>
      </c>
      <c r="J274" s="11">
        <v>36.479999999999997</v>
      </c>
      <c r="K274" s="11">
        <v>3.19</v>
      </c>
      <c r="L274" s="11">
        <v>18.34</v>
      </c>
      <c r="N274" s="11">
        <v>5.18</v>
      </c>
      <c r="O274" s="11">
        <v>4.08</v>
      </c>
      <c r="Q274" s="9"/>
      <c r="S274" s="11">
        <v>3469.31</v>
      </c>
      <c r="U274" s="13"/>
      <c r="V274" s="13"/>
      <c r="X274" s="13"/>
      <c r="Y274" s="11">
        <v>1964.84</v>
      </c>
      <c r="Z274" s="13"/>
      <c r="AA274" s="13"/>
      <c r="AB274" s="13"/>
      <c r="AC274" s="13"/>
      <c r="AD274" s="13"/>
      <c r="AE274" s="13"/>
      <c r="AF274" s="13"/>
      <c r="AG274" s="11">
        <v>88.95</v>
      </c>
      <c r="AJ274" s="13">
        <v>5909.23</v>
      </c>
      <c r="AK274" s="9">
        <v>3401.49</v>
      </c>
      <c r="AL274" s="13">
        <f t="shared" si="5"/>
        <v>2507.7399999999998</v>
      </c>
      <c r="AM274" s="23" t="s">
        <v>436</v>
      </c>
      <c r="AN274" s="13"/>
      <c r="AO274" s="13"/>
      <c r="AP274" s="13"/>
      <c r="AQ274" s="13"/>
      <c r="AR274" s="13"/>
    </row>
    <row r="275" spans="1:44" ht="15.75" customHeight="1">
      <c r="A275" s="9" t="s">
        <v>139</v>
      </c>
      <c r="B275" s="9" t="s">
        <v>139</v>
      </c>
      <c r="C275" s="18" t="s">
        <v>392</v>
      </c>
      <c r="D275" s="13">
        <v>114.46</v>
      </c>
      <c r="G275" s="13">
        <v>5.85</v>
      </c>
      <c r="H275" s="13">
        <v>0.96</v>
      </c>
      <c r="I275" s="13">
        <v>0.23</v>
      </c>
      <c r="J275" s="13">
        <v>56.48</v>
      </c>
      <c r="K275" s="13"/>
      <c r="L275" s="13">
        <v>2.56</v>
      </c>
      <c r="N275" s="13">
        <v>1.67</v>
      </c>
      <c r="O275" s="13">
        <v>0.36</v>
      </c>
      <c r="Q275" s="13"/>
      <c r="S275" s="13">
        <v>85.47</v>
      </c>
      <c r="U275" s="13"/>
      <c r="V275" s="13"/>
      <c r="X275" s="13"/>
      <c r="Y275" s="13">
        <v>7229.56</v>
      </c>
      <c r="Z275" s="13"/>
      <c r="AA275" s="13"/>
      <c r="AB275" s="13"/>
      <c r="AC275" s="13"/>
      <c r="AD275" s="13"/>
      <c r="AE275" s="13"/>
      <c r="AF275" s="13"/>
      <c r="AG275" s="13">
        <v>537.26</v>
      </c>
      <c r="AJ275" s="13">
        <v>8037.03</v>
      </c>
      <c r="AK275" s="11">
        <v>0</v>
      </c>
      <c r="AL275" s="13">
        <f t="shared" si="5"/>
        <v>8037.03</v>
      </c>
      <c r="AM275" s="23" t="s">
        <v>437</v>
      </c>
      <c r="AN275" s="13"/>
      <c r="AO275" s="13"/>
      <c r="AP275" s="13"/>
      <c r="AQ275" s="13"/>
      <c r="AR275" s="13"/>
    </row>
    <row r="276" spans="1:44" ht="15.75" customHeight="1">
      <c r="A276" s="9" t="s">
        <v>143</v>
      </c>
      <c r="B276" s="9" t="s">
        <v>143</v>
      </c>
      <c r="C276" s="18" t="s">
        <v>392</v>
      </c>
      <c r="D276" s="11">
        <v>654.01</v>
      </c>
      <c r="G276" s="11">
        <v>68.75</v>
      </c>
      <c r="H276" s="11">
        <v>14.8</v>
      </c>
      <c r="I276" s="11">
        <v>4.7300000000000004</v>
      </c>
      <c r="J276" s="11">
        <v>214.17</v>
      </c>
      <c r="K276" s="11">
        <v>23.32</v>
      </c>
      <c r="L276" s="11">
        <v>67.040000000000006</v>
      </c>
      <c r="N276" s="11">
        <v>12.22</v>
      </c>
      <c r="O276" s="11">
        <v>76.5</v>
      </c>
      <c r="Q276" s="11"/>
      <c r="S276" s="9">
        <v>4907.8599999999997</v>
      </c>
      <c r="U276" s="13"/>
      <c r="V276" s="13"/>
      <c r="X276" s="13"/>
      <c r="Y276" s="9">
        <v>6925.5</v>
      </c>
      <c r="Z276" s="13"/>
      <c r="AA276" s="13"/>
      <c r="AB276" s="13"/>
      <c r="AC276" s="13"/>
      <c r="AD276" s="13"/>
      <c r="AE276" s="13"/>
      <c r="AF276" s="13"/>
      <c r="AG276" s="11">
        <v>0.3</v>
      </c>
      <c r="AJ276" s="11">
        <v>12969.2</v>
      </c>
      <c r="AK276" s="11">
        <v>1.31</v>
      </c>
      <c r="AL276" s="13">
        <f t="shared" si="5"/>
        <v>12967.890000000001</v>
      </c>
      <c r="AM276" s="23" t="s">
        <v>438</v>
      </c>
      <c r="AN276" s="13"/>
      <c r="AO276" s="13"/>
      <c r="AP276" s="13"/>
      <c r="AQ276" s="13"/>
      <c r="AR276" s="13"/>
    </row>
    <row r="277" spans="1:44" ht="15.75" customHeight="1">
      <c r="A277" s="9" t="s">
        <v>439</v>
      </c>
      <c r="B277" s="9" t="s">
        <v>439</v>
      </c>
      <c r="C277" s="18" t="s">
        <v>392</v>
      </c>
      <c r="D277" s="11">
        <v>637.44000000000005</v>
      </c>
      <c r="G277" s="11">
        <v>17.84</v>
      </c>
      <c r="H277" s="11">
        <v>5.21</v>
      </c>
      <c r="I277" s="11">
        <v>7.83</v>
      </c>
      <c r="J277" s="11">
        <v>74.17</v>
      </c>
      <c r="K277" s="11">
        <v>17.649999999999999</v>
      </c>
      <c r="L277" s="11">
        <v>12.82</v>
      </c>
      <c r="N277" s="11">
        <v>9.74</v>
      </c>
      <c r="O277" s="11">
        <v>12.97</v>
      </c>
      <c r="Q277" s="9"/>
      <c r="S277" s="11">
        <v>90.09</v>
      </c>
      <c r="U277" s="13"/>
      <c r="V277" s="13"/>
      <c r="X277" s="13"/>
      <c r="Y277" s="11">
        <v>428.58</v>
      </c>
      <c r="Z277" s="13"/>
      <c r="AA277" s="13"/>
      <c r="AB277" s="13"/>
      <c r="AC277" s="13"/>
      <c r="AD277" s="13"/>
      <c r="AE277" s="13"/>
      <c r="AF277" s="13"/>
      <c r="AG277" s="11">
        <v>0.77</v>
      </c>
      <c r="AJ277" s="11">
        <v>1315.12</v>
      </c>
      <c r="AK277" s="11">
        <v>0</v>
      </c>
      <c r="AL277" s="13">
        <f t="shared" si="5"/>
        <v>1315.12</v>
      </c>
      <c r="AM277" s="23" t="s">
        <v>440</v>
      </c>
      <c r="AN277" s="13"/>
      <c r="AO277" s="13"/>
      <c r="AP277" s="13"/>
      <c r="AQ277" s="13"/>
      <c r="AR277" s="13"/>
    </row>
    <row r="278" spans="1:44" ht="15.75" customHeight="1">
      <c r="A278" s="9" t="s">
        <v>275</v>
      </c>
      <c r="B278" s="9" t="s">
        <v>275</v>
      </c>
      <c r="C278" s="18" t="s">
        <v>392</v>
      </c>
      <c r="D278" s="11">
        <v>271.61</v>
      </c>
      <c r="G278" s="11">
        <v>20.399999999999999</v>
      </c>
      <c r="H278" s="11">
        <v>2.35</v>
      </c>
      <c r="I278" s="11">
        <v>55.25</v>
      </c>
      <c r="J278" s="11">
        <v>43</v>
      </c>
      <c r="K278" s="11">
        <v>30.33</v>
      </c>
      <c r="L278" s="11">
        <v>48.57</v>
      </c>
      <c r="N278" s="11">
        <v>2.73</v>
      </c>
      <c r="O278" s="11">
        <v>16.95</v>
      </c>
      <c r="Q278" s="9"/>
      <c r="S278" s="11">
        <v>81.489999999999995</v>
      </c>
      <c r="U278" s="13"/>
      <c r="V278" s="13"/>
      <c r="X278" s="13"/>
      <c r="Y278" s="11">
        <v>357.77</v>
      </c>
      <c r="Z278" s="13"/>
      <c r="AA278" s="13"/>
      <c r="AB278" s="13"/>
      <c r="AC278" s="13"/>
      <c r="AD278" s="13"/>
      <c r="AE278" s="13"/>
      <c r="AF278" s="13"/>
      <c r="AG278" s="9"/>
      <c r="AJ278" s="11">
        <v>930.45</v>
      </c>
      <c r="AK278" s="11">
        <v>0</v>
      </c>
      <c r="AL278" s="13">
        <f t="shared" si="5"/>
        <v>930.45</v>
      </c>
      <c r="AM278" s="23" t="s">
        <v>441</v>
      </c>
      <c r="AN278" s="13"/>
      <c r="AO278" s="13"/>
      <c r="AP278" s="13"/>
      <c r="AQ278" s="13"/>
      <c r="AR278" s="13"/>
    </row>
    <row r="279" spans="1:44" ht="15.75" customHeight="1">
      <c r="A279" s="9" t="s">
        <v>145</v>
      </c>
      <c r="B279" s="9" t="s">
        <v>145</v>
      </c>
      <c r="C279" s="18" t="s">
        <v>392</v>
      </c>
      <c r="D279" s="11">
        <v>240.68</v>
      </c>
      <c r="G279" s="11">
        <v>33.9</v>
      </c>
      <c r="H279" s="11">
        <v>47.84</v>
      </c>
      <c r="I279" s="11">
        <v>4.59</v>
      </c>
      <c r="J279" s="11">
        <v>97.69</v>
      </c>
      <c r="K279" s="11">
        <v>1.58</v>
      </c>
      <c r="L279" s="11">
        <v>14.56</v>
      </c>
      <c r="N279" s="11">
        <v>4.29</v>
      </c>
      <c r="O279" s="11">
        <v>0.46</v>
      </c>
      <c r="Q279" s="9"/>
      <c r="S279" s="11">
        <v>49.65</v>
      </c>
      <c r="U279" s="13"/>
      <c r="V279" s="13"/>
      <c r="X279" s="13"/>
      <c r="Y279" s="11">
        <v>7.74</v>
      </c>
      <c r="Z279" s="13"/>
      <c r="AA279" s="13"/>
      <c r="AB279" s="13"/>
      <c r="AC279" s="13"/>
      <c r="AD279" s="13"/>
      <c r="AE279" s="13"/>
      <c r="AF279" s="13"/>
      <c r="AG279" s="9"/>
      <c r="AJ279" s="11">
        <v>502.98</v>
      </c>
      <c r="AK279" s="11">
        <v>0</v>
      </c>
      <c r="AL279" s="13">
        <f t="shared" si="5"/>
        <v>502.98</v>
      </c>
      <c r="AM279" s="23" t="s">
        <v>442</v>
      </c>
      <c r="AN279" s="13"/>
      <c r="AO279" s="13"/>
      <c r="AP279" s="13"/>
      <c r="AQ279" s="13"/>
      <c r="AR279" s="13"/>
    </row>
    <row r="280" spans="1:44" ht="15.75" customHeight="1">
      <c r="A280" s="9" t="s">
        <v>278</v>
      </c>
      <c r="B280" s="9" t="s">
        <v>278</v>
      </c>
      <c r="C280" s="18" t="s">
        <v>392</v>
      </c>
      <c r="D280" s="11">
        <v>93.4</v>
      </c>
      <c r="G280" s="11">
        <v>7.78</v>
      </c>
      <c r="H280" s="11">
        <v>0.87</v>
      </c>
      <c r="I280" s="11">
        <v>0.37</v>
      </c>
      <c r="J280" s="9"/>
      <c r="K280" s="11">
        <v>1.83</v>
      </c>
      <c r="L280" s="11">
        <v>7.76</v>
      </c>
      <c r="N280" s="11">
        <v>1.75</v>
      </c>
      <c r="O280" s="11">
        <v>0.46</v>
      </c>
      <c r="Q280" s="11"/>
      <c r="S280" s="11">
        <v>17.12</v>
      </c>
      <c r="U280" s="13"/>
      <c r="V280" s="13"/>
      <c r="X280" s="13"/>
      <c r="Y280" s="11">
        <v>1768.8</v>
      </c>
      <c r="Z280" s="13"/>
      <c r="AA280" s="13"/>
      <c r="AB280" s="13"/>
      <c r="AC280" s="13"/>
      <c r="AD280" s="13"/>
      <c r="AE280" s="13"/>
      <c r="AF280" s="13"/>
      <c r="AG280" s="9"/>
      <c r="AJ280" s="11">
        <v>1900.15</v>
      </c>
      <c r="AK280" s="11">
        <v>417.06</v>
      </c>
      <c r="AL280" s="13">
        <f t="shared" si="5"/>
        <v>1483.0900000000001</v>
      </c>
      <c r="AM280" s="23" t="s">
        <v>443</v>
      </c>
      <c r="AN280" s="13"/>
      <c r="AO280" s="13"/>
      <c r="AP280" s="13"/>
      <c r="AQ280" s="13"/>
      <c r="AR280" s="13"/>
    </row>
    <row r="281" spans="1:44" ht="15.75" customHeight="1">
      <c r="A281" s="9" t="s">
        <v>280</v>
      </c>
      <c r="B281" s="9" t="s">
        <v>280</v>
      </c>
      <c r="C281" s="18" t="s">
        <v>392</v>
      </c>
      <c r="D281" s="11">
        <v>1268.28</v>
      </c>
      <c r="G281" s="11">
        <v>98.1</v>
      </c>
      <c r="H281" s="11">
        <v>12.7</v>
      </c>
      <c r="I281" s="11">
        <v>7.29</v>
      </c>
      <c r="J281" s="11">
        <v>109.18</v>
      </c>
      <c r="K281" s="11">
        <v>26.3</v>
      </c>
      <c r="L281" s="11">
        <v>61.16</v>
      </c>
      <c r="N281" s="11">
        <v>15.21</v>
      </c>
      <c r="O281" s="11">
        <v>15.33</v>
      </c>
      <c r="Q281" s="9"/>
      <c r="S281" s="11">
        <v>234.38</v>
      </c>
      <c r="U281" s="13"/>
      <c r="V281" s="13"/>
      <c r="X281" s="13"/>
      <c r="Y281" s="11">
        <v>1864.18</v>
      </c>
      <c r="Z281" s="13"/>
      <c r="AA281" s="13"/>
      <c r="AB281" s="13"/>
      <c r="AC281" s="13"/>
      <c r="AD281" s="13"/>
      <c r="AE281" s="13"/>
      <c r="AF281" s="13"/>
      <c r="AG281" s="11">
        <v>442.48</v>
      </c>
      <c r="AJ281" s="11">
        <v>4154.59</v>
      </c>
      <c r="AK281" s="11">
        <v>0</v>
      </c>
      <c r="AL281" s="13">
        <f t="shared" si="5"/>
        <v>4154.59</v>
      </c>
      <c r="AM281" s="23" t="s">
        <v>444</v>
      </c>
      <c r="AN281" s="13"/>
      <c r="AO281" s="13"/>
      <c r="AP281" s="13"/>
      <c r="AQ281" s="13"/>
      <c r="AR281" s="13"/>
    </row>
    <row r="282" spans="1:44" ht="15.75" customHeight="1">
      <c r="A282" s="9" t="s">
        <v>148</v>
      </c>
      <c r="B282" s="9" t="s">
        <v>148</v>
      </c>
      <c r="C282" s="18" t="s">
        <v>392</v>
      </c>
      <c r="D282" s="11">
        <v>9399.17</v>
      </c>
      <c r="G282" s="11">
        <v>653.42999999999995</v>
      </c>
      <c r="H282" s="11">
        <v>9.7899999999999991</v>
      </c>
      <c r="I282" s="11">
        <v>30.49</v>
      </c>
      <c r="J282" s="11">
        <v>50.93</v>
      </c>
      <c r="K282" s="11">
        <v>9.94</v>
      </c>
      <c r="L282" s="11">
        <v>280.47000000000003</v>
      </c>
      <c r="N282" s="11">
        <v>176.11</v>
      </c>
      <c r="O282" s="11">
        <v>46.65</v>
      </c>
      <c r="Q282" s="9"/>
      <c r="S282" s="11">
        <v>3129.27</v>
      </c>
      <c r="U282" s="13"/>
      <c r="V282" s="13"/>
      <c r="X282" s="13"/>
      <c r="Y282" s="9"/>
      <c r="Z282" s="13"/>
      <c r="AA282" s="13"/>
      <c r="AB282" s="13"/>
      <c r="AC282" s="13"/>
      <c r="AD282" s="13"/>
      <c r="AE282" s="13"/>
      <c r="AF282" s="13"/>
      <c r="AG282" s="9"/>
      <c r="AJ282" s="11">
        <v>13786.24</v>
      </c>
      <c r="AK282" s="11">
        <v>0</v>
      </c>
      <c r="AL282" s="13">
        <f t="shared" si="5"/>
        <v>13786.24</v>
      </c>
      <c r="AM282" s="23" t="s">
        <v>445</v>
      </c>
      <c r="AN282" s="13"/>
      <c r="AO282" s="13"/>
      <c r="AP282" s="13"/>
      <c r="AQ282" s="13"/>
      <c r="AR282" s="13"/>
    </row>
    <row r="283" spans="1:44" ht="15.75" customHeight="1">
      <c r="A283" s="9" t="s">
        <v>150</v>
      </c>
      <c r="B283" s="9" t="s">
        <v>150</v>
      </c>
      <c r="C283" s="18" t="s">
        <v>392</v>
      </c>
      <c r="D283" s="9">
        <v>2102.1799999999998</v>
      </c>
      <c r="G283" s="11">
        <v>211.23</v>
      </c>
      <c r="H283" s="11">
        <v>1.96</v>
      </c>
      <c r="I283" s="11">
        <v>31.11</v>
      </c>
      <c r="J283" s="11">
        <v>70.13</v>
      </c>
      <c r="K283" s="11">
        <v>67.069999999999993</v>
      </c>
      <c r="L283" s="11">
        <v>56.29</v>
      </c>
      <c r="N283" s="11">
        <v>20.05</v>
      </c>
      <c r="O283" s="11">
        <v>7.89</v>
      </c>
      <c r="Q283" s="9"/>
      <c r="S283" s="11">
        <v>644.65</v>
      </c>
      <c r="U283" s="13"/>
      <c r="V283" s="13"/>
      <c r="X283" s="13"/>
      <c r="Y283" s="9"/>
      <c r="Z283" s="13"/>
      <c r="AA283" s="13"/>
      <c r="AB283" s="13"/>
      <c r="AC283" s="13"/>
      <c r="AD283" s="13"/>
      <c r="AE283" s="13"/>
      <c r="AF283" s="13"/>
      <c r="AG283" s="11">
        <v>4.42</v>
      </c>
      <c r="AJ283" s="11">
        <v>3216.97</v>
      </c>
      <c r="AK283" s="11">
        <v>0</v>
      </c>
      <c r="AL283" s="13">
        <f t="shared" si="5"/>
        <v>3216.97</v>
      </c>
      <c r="AM283" s="23" t="s">
        <v>446</v>
      </c>
      <c r="AN283" s="13"/>
      <c r="AO283" s="13"/>
      <c r="AP283" s="13"/>
      <c r="AQ283" s="13"/>
      <c r="AR283" s="13"/>
    </row>
    <row r="284" spans="1:44" ht="15.75" customHeight="1">
      <c r="A284" s="9" t="s">
        <v>152</v>
      </c>
      <c r="B284" s="9" t="s">
        <v>152</v>
      </c>
      <c r="C284" s="18" t="s">
        <v>392</v>
      </c>
      <c r="D284" s="11">
        <v>26280.81</v>
      </c>
      <c r="G284" s="9"/>
      <c r="H284" s="9"/>
      <c r="I284" s="9"/>
      <c r="J284" s="9"/>
      <c r="K284" s="9"/>
      <c r="L284" s="9"/>
      <c r="N284" s="9"/>
      <c r="O284" s="9"/>
      <c r="Q284" s="9"/>
      <c r="S284" s="9"/>
      <c r="U284" s="13"/>
      <c r="V284" s="13"/>
      <c r="X284" s="13"/>
      <c r="Y284" s="11">
        <v>44829.24</v>
      </c>
      <c r="Z284" s="13"/>
      <c r="AA284" s="13"/>
      <c r="AB284" s="13"/>
      <c r="AC284" s="13"/>
      <c r="AD284" s="13"/>
      <c r="AE284" s="13"/>
      <c r="AF284" s="13"/>
      <c r="AG284" s="9"/>
      <c r="AJ284" s="11">
        <v>44829.24</v>
      </c>
      <c r="AK284" s="11">
        <v>0</v>
      </c>
      <c r="AL284" s="13">
        <f t="shared" si="5"/>
        <v>44829.24</v>
      </c>
      <c r="AM284" s="23" t="s">
        <v>447</v>
      </c>
      <c r="AN284" s="13"/>
      <c r="AO284" s="13"/>
      <c r="AP284" s="13"/>
      <c r="AQ284" s="13"/>
      <c r="AR284" s="13"/>
    </row>
    <row r="285" spans="1:44" ht="15.75" customHeight="1">
      <c r="A285" s="9" t="s">
        <v>154</v>
      </c>
      <c r="B285" s="9" t="s">
        <v>154</v>
      </c>
      <c r="C285" s="18" t="s">
        <v>392</v>
      </c>
      <c r="D285" s="9">
        <v>1827.3</v>
      </c>
      <c r="G285" s="11">
        <v>88.79</v>
      </c>
      <c r="H285" s="11">
        <v>16.100000000000001</v>
      </c>
      <c r="I285" s="11">
        <v>4.9800000000000004</v>
      </c>
      <c r="J285" s="11">
        <v>224.46</v>
      </c>
      <c r="K285" s="11">
        <v>41.1</v>
      </c>
      <c r="L285" s="11">
        <v>33.76</v>
      </c>
      <c r="N285" s="11">
        <v>16.309999999999999</v>
      </c>
      <c r="O285" s="11">
        <v>5.8</v>
      </c>
      <c r="Q285" s="9"/>
      <c r="S285" s="11">
        <v>946.58</v>
      </c>
      <c r="U285" s="13"/>
      <c r="V285" s="13"/>
      <c r="X285" s="13"/>
      <c r="Y285" s="9"/>
      <c r="Z285" s="13"/>
      <c r="AA285" s="13"/>
      <c r="AB285" s="13"/>
      <c r="AC285" s="13"/>
      <c r="AD285" s="13"/>
      <c r="AE285" s="13"/>
      <c r="AF285" s="13"/>
      <c r="AG285" s="9"/>
      <c r="AJ285" s="11">
        <v>3205.19</v>
      </c>
      <c r="AK285" s="11">
        <v>0</v>
      </c>
      <c r="AL285" s="13">
        <f t="shared" si="5"/>
        <v>3205.19</v>
      </c>
      <c r="AM285" s="23" t="s">
        <v>448</v>
      </c>
      <c r="AN285" s="13"/>
      <c r="AO285" s="13"/>
      <c r="AP285" s="13"/>
      <c r="AQ285" s="13"/>
      <c r="AR285" s="13"/>
    </row>
    <row r="286" spans="1:44" ht="15.75" customHeight="1">
      <c r="A286" s="9" t="s">
        <v>156</v>
      </c>
      <c r="B286" s="9" t="s">
        <v>156</v>
      </c>
      <c r="C286" s="18" t="s">
        <v>392</v>
      </c>
      <c r="D286" s="11">
        <v>155.97999999999999</v>
      </c>
      <c r="G286" s="11">
        <v>14.97</v>
      </c>
      <c r="H286" s="11">
        <v>0.32</v>
      </c>
      <c r="I286" s="11">
        <v>1.55</v>
      </c>
      <c r="J286" s="11">
        <v>33.68</v>
      </c>
      <c r="K286" s="11">
        <v>1.33</v>
      </c>
      <c r="L286" s="11">
        <v>8.69</v>
      </c>
      <c r="N286" s="11">
        <v>1.52</v>
      </c>
      <c r="O286" s="11">
        <v>0.55000000000000004</v>
      </c>
      <c r="Q286" s="9"/>
      <c r="S286" s="11">
        <v>79.8</v>
      </c>
      <c r="U286" s="13"/>
      <c r="V286" s="13"/>
      <c r="X286" s="13"/>
      <c r="Y286" s="11">
        <v>995.24</v>
      </c>
      <c r="Z286" s="13"/>
      <c r="AA286" s="13"/>
      <c r="AB286" s="13"/>
      <c r="AC286" s="13"/>
      <c r="AD286" s="13"/>
      <c r="AE286" s="13"/>
      <c r="AF286" s="13"/>
      <c r="AG286" s="11">
        <v>1.23</v>
      </c>
      <c r="AJ286" s="11">
        <v>1294.8499999999999</v>
      </c>
      <c r="AK286" s="11">
        <v>0</v>
      </c>
      <c r="AL286" s="13">
        <f t="shared" si="5"/>
        <v>1294.8499999999999</v>
      </c>
      <c r="AM286" s="23" t="s">
        <v>449</v>
      </c>
      <c r="AN286" s="13"/>
      <c r="AO286" s="13"/>
      <c r="AP286" s="13"/>
      <c r="AQ286" s="13"/>
      <c r="AR286" s="13"/>
    </row>
    <row r="287" spans="1:44" ht="15.75" customHeight="1">
      <c r="A287" s="9" t="s">
        <v>158</v>
      </c>
      <c r="B287" s="9" t="s">
        <v>158</v>
      </c>
      <c r="C287" s="18" t="s">
        <v>392</v>
      </c>
      <c r="D287" s="11">
        <v>304.7</v>
      </c>
      <c r="G287" s="11">
        <v>0.41</v>
      </c>
      <c r="H287" s="9"/>
      <c r="I287" s="11">
        <v>0.18</v>
      </c>
      <c r="J287" s="11">
        <v>15.35</v>
      </c>
      <c r="K287" s="11">
        <v>0.12</v>
      </c>
      <c r="L287" s="11">
        <v>0.61</v>
      </c>
      <c r="N287" s="11">
        <v>0.8</v>
      </c>
      <c r="O287" s="11">
        <v>0.8</v>
      </c>
      <c r="Q287" s="9"/>
      <c r="S287" s="11">
        <v>139.13</v>
      </c>
      <c r="U287" s="13"/>
      <c r="V287" s="13"/>
      <c r="X287" s="13"/>
      <c r="Y287" s="9"/>
      <c r="Z287" s="13"/>
      <c r="AA287" s="13"/>
      <c r="AB287" s="13"/>
      <c r="AC287" s="13"/>
      <c r="AD287" s="13"/>
      <c r="AE287" s="13"/>
      <c r="AF287" s="13"/>
      <c r="AG287" s="9"/>
      <c r="AJ287" s="11">
        <v>462.09</v>
      </c>
      <c r="AK287" s="11">
        <v>0</v>
      </c>
      <c r="AL287" s="13">
        <f t="shared" si="5"/>
        <v>462.09</v>
      </c>
      <c r="AM287" s="23" t="s">
        <v>450</v>
      </c>
      <c r="AN287" s="13"/>
      <c r="AO287" s="13"/>
      <c r="AP287" s="13"/>
      <c r="AQ287" s="13"/>
      <c r="AR287" s="13"/>
    </row>
    <row r="288" spans="1:44" ht="15.75" customHeight="1">
      <c r="A288" s="9" t="s">
        <v>164</v>
      </c>
      <c r="B288" s="9" t="s">
        <v>164</v>
      </c>
      <c r="C288" s="18" t="s">
        <v>392</v>
      </c>
      <c r="D288" s="11">
        <v>263.07</v>
      </c>
      <c r="G288" s="11">
        <v>0.03</v>
      </c>
      <c r="H288" s="9"/>
      <c r="I288" s="11">
        <v>0.13</v>
      </c>
      <c r="J288" s="11">
        <v>55.43</v>
      </c>
      <c r="K288" s="11">
        <v>0.31</v>
      </c>
      <c r="L288" s="11">
        <v>0.18</v>
      </c>
      <c r="N288" s="11">
        <v>2.66</v>
      </c>
      <c r="O288" s="11">
        <v>1.1299999999999999</v>
      </c>
      <c r="Q288" s="9"/>
      <c r="S288" s="11">
        <v>42.45</v>
      </c>
      <c r="U288" s="13"/>
      <c r="V288" s="13"/>
      <c r="X288" s="13"/>
      <c r="Y288" s="9"/>
      <c r="Z288" s="13"/>
      <c r="AA288" s="13"/>
      <c r="AB288" s="13"/>
      <c r="AC288" s="13"/>
      <c r="AD288" s="13"/>
      <c r="AE288" s="13"/>
      <c r="AF288" s="13"/>
      <c r="AG288" s="9"/>
      <c r="AJ288" s="11">
        <v>365.39</v>
      </c>
      <c r="AK288" s="11">
        <v>0</v>
      </c>
      <c r="AL288" s="13">
        <f t="shared" si="5"/>
        <v>365.39</v>
      </c>
      <c r="AM288" s="23" t="s">
        <v>451</v>
      </c>
      <c r="AN288" s="13"/>
      <c r="AO288" s="13"/>
      <c r="AP288" s="13"/>
      <c r="AQ288" s="13"/>
      <c r="AR288" s="13"/>
    </row>
    <row r="289" spans="1:44" ht="15.75" customHeight="1">
      <c r="A289" s="9" t="s">
        <v>166</v>
      </c>
      <c r="B289" s="9" t="s">
        <v>166</v>
      </c>
      <c r="C289" s="18" t="s">
        <v>392</v>
      </c>
      <c r="D289" s="11">
        <v>843.16</v>
      </c>
      <c r="G289" s="11">
        <v>14.29</v>
      </c>
      <c r="H289" s="11">
        <v>1.04</v>
      </c>
      <c r="I289" s="11">
        <v>3.49</v>
      </c>
      <c r="J289" s="11">
        <v>34.82</v>
      </c>
      <c r="K289" s="11">
        <v>2.21</v>
      </c>
      <c r="L289" s="11">
        <v>8.27</v>
      </c>
      <c r="N289" s="11">
        <v>2.2400000000000002</v>
      </c>
      <c r="O289" s="11">
        <v>0.3</v>
      </c>
      <c r="Q289" s="9"/>
      <c r="S289" s="11">
        <v>137.88</v>
      </c>
      <c r="U289" s="13"/>
      <c r="V289" s="13"/>
      <c r="X289" s="13"/>
      <c r="Y289" s="9"/>
      <c r="Z289" s="13"/>
      <c r="AA289" s="13"/>
      <c r="AB289" s="13"/>
      <c r="AC289" s="13"/>
      <c r="AD289" s="13"/>
      <c r="AE289" s="13"/>
      <c r="AF289" s="13"/>
      <c r="AG289" s="9"/>
      <c r="AJ289" s="11">
        <v>1047.7</v>
      </c>
      <c r="AK289" s="11">
        <v>0</v>
      </c>
      <c r="AL289" s="13">
        <f t="shared" si="5"/>
        <v>1047.7</v>
      </c>
      <c r="AM289" s="23" t="s">
        <v>452</v>
      </c>
      <c r="AN289" s="13"/>
      <c r="AO289" s="13"/>
      <c r="AP289" s="13"/>
      <c r="AQ289" s="13"/>
      <c r="AR289" s="13"/>
    </row>
    <row r="290" spans="1:44" ht="15.75" customHeight="1">
      <c r="A290" s="9" t="s">
        <v>168</v>
      </c>
      <c r="B290" s="9" t="s">
        <v>168</v>
      </c>
      <c r="C290" s="18" t="s">
        <v>392</v>
      </c>
      <c r="D290" s="9">
        <v>2518.3000000000002</v>
      </c>
      <c r="G290" s="11">
        <v>296.3</v>
      </c>
      <c r="H290" s="11">
        <v>4.41</v>
      </c>
      <c r="I290" s="11">
        <v>35.68</v>
      </c>
      <c r="J290" s="11">
        <v>399.92</v>
      </c>
      <c r="K290" s="11">
        <v>99.69</v>
      </c>
      <c r="L290" s="11">
        <v>199.56</v>
      </c>
      <c r="N290" s="11">
        <v>14.48</v>
      </c>
      <c r="O290" s="11">
        <v>17.829999999999998</v>
      </c>
      <c r="Q290" s="9"/>
      <c r="S290" s="11">
        <v>798.07</v>
      </c>
      <c r="U290" s="13"/>
      <c r="V290" s="13"/>
      <c r="X290" s="13"/>
      <c r="Y290" s="9"/>
      <c r="Z290" s="13"/>
      <c r="AA290" s="13"/>
      <c r="AB290" s="13"/>
      <c r="AC290" s="13"/>
      <c r="AD290" s="13"/>
      <c r="AE290" s="13"/>
      <c r="AF290" s="13"/>
      <c r="AG290" s="11">
        <v>538.08000000000004</v>
      </c>
      <c r="AJ290" s="11">
        <v>4922.3100000000004</v>
      </c>
      <c r="AK290" s="11">
        <v>0</v>
      </c>
      <c r="AL290" s="13">
        <f t="shared" si="5"/>
        <v>4922.3100000000004</v>
      </c>
      <c r="AM290" s="23" t="s">
        <v>453</v>
      </c>
      <c r="AN290" s="13"/>
      <c r="AO290" s="13"/>
      <c r="AP290" s="13"/>
      <c r="AQ290" s="13"/>
      <c r="AR290" s="13"/>
    </row>
    <row r="291" spans="1:44" ht="15.75" customHeight="1">
      <c r="A291" s="9" t="s">
        <v>173</v>
      </c>
      <c r="B291" s="9" t="s">
        <v>173</v>
      </c>
      <c r="C291" s="18" t="s">
        <v>392</v>
      </c>
      <c r="D291" s="11">
        <v>2262.64</v>
      </c>
      <c r="G291" s="11">
        <v>137.24</v>
      </c>
      <c r="H291" s="11">
        <v>161.85</v>
      </c>
      <c r="I291" s="11">
        <v>24.49</v>
      </c>
      <c r="J291" s="11">
        <v>392.21</v>
      </c>
      <c r="K291" s="11">
        <v>99.79</v>
      </c>
      <c r="L291" s="11">
        <v>87.89</v>
      </c>
      <c r="N291" s="11">
        <v>0.32</v>
      </c>
      <c r="O291" s="11">
        <v>53.26</v>
      </c>
      <c r="Q291" s="9"/>
      <c r="S291" s="11">
        <v>1479.8</v>
      </c>
      <c r="U291" s="13"/>
      <c r="V291" s="13"/>
      <c r="X291" s="13"/>
      <c r="Y291" s="9"/>
      <c r="Z291" s="13"/>
      <c r="AA291" s="13"/>
      <c r="AB291" s="13"/>
      <c r="AC291" s="13"/>
      <c r="AD291" s="13"/>
      <c r="AE291" s="13"/>
      <c r="AF291" s="13"/>
      <c r="AG291" s="9"/>
      <c r="AJ291" s="11">
        <v>4699.4799999999996</v>
      </c>
      <c r="AK291" s="11">
        <v>0</v>
      </c>
      <c r="AL291" s="13">
        <f t="shared" si="5"/>
        <v>4699.4799999999996</v>
      </c>
      <c r="AM291" s="23" t="s">
        <v>454</v>
      </c>
      <c r="AN291" s="13"/>
      <c r="AO291" s="13"/>
      <c r="AP291" s="13"/>
      <c r="AQ291" s="13"/>
      <c r="AR291" s="13"/>
    </row>
    <row r="292" spans="1:44" ht="15.75" customHeight="1">
      <c r="A292" s="9" t="s">
        <v>170</v>
      </c>
      <c r="B292" s="9" t="s">
        <v>170</v>
      </c>
      <c r="C292" s="18" t="s">
        <v>392</v>
      </c>
      <c r="D292" s="11">
        <v>2699.77</v>
      </c>
      <c r="G292" s="11">
        <v>1173.72</v>
      </c>
      <c r="H292" s="11">
        <v>432.78</v>
      </c>
      <c r="I292" s="11">
        <v>32.42</v>
      </c>
      <c r="J292" s="9"/>
      <c r="K292" s="11">
        <v>92.33</v>
      </c>
      <c r="L292" s="11">
        <v>144.38</v>
      </c>
      <c r="N292" s="11">
        <v>19.03</v>
      </c>
      <c r="O292" s="11">
        <v>21.63</v>
      </c>
      <c r="Q292" s="9"/>
      <c r="S292" s="11">
        <v>736.84</v>
      </c>
      <c r="U292" s="13"/>
      <c r="V292" s="13"/>
      <c r="X292" s="13"/>
      <c r="Y292" s="9"/>
      <c r="Z292" s="13"/>
      <c r="AA292" s="13"/>
      <c r="AB292" s="13"/>
      <c r="AC292" s="13"/>
      <c r="AD292" s="13"/>
      <c r="AE292" s="13"/>
      <c r="AF292" s="13"/>
      <c r="AG292" s="11">
        <v>36.53</v>
      </c>
      <c r="AJ292" s="11">
        <v>5389.44</v>
      </c>
      <c r="AK292" s="11">
        <v>0</v>
      </c>
      <c r="AL292" s="13">
        <f t="shared" si="5"/>
        <v>5389.44</v>
      </c>
      <c r="AM292" s="23" t="s">
        <v>455</v>
      </c>
      <c r="AN292" s="13"/>
      <c r="AO292" s="13"/>
      <c r="AP292" s="13"/>
      <c r="AQ292" s="13"/>
      <c r="AR292" s="13"/>
    </row>
    <row r="293" spans="1:44" ht="15.75" customHeight="1">
      <c r="A293" s="9" t="s">
        <v>293</v>
      </c>
      <c r="B293" s="9" t="s">
        <v>293</v>
      </c>
      <c r="C293" s="18" t="s">
        <v>392</v>
      </c>
      <c r="D293" s="11">
        <v>10529.75</v>
      </c>
      <c r="G293" s="11">
        <v>4510.88</v>
      </c>
      <c r="H293" s="11">
        <v>823.78</v>
      </c>
      <c r="I293" s="11">
        <v>65.69</v>
      </c>
      <c r="J293" s="11">
        <v>6.48</v>
      </c>
      <c r="K293" s="11">
        <v>83.51</v>
      </c>
      <c r="L293" s="11">
        <v>161.97999999999999</v>
      </c>
      <c r="N293" s="11">
        <v>34.44</v>
      </c>
      <c r="O293" s="11">
        <v>35.96</v>
      </c>
      <c r="Q293" s="9"/>
      <c r="S293" s="11">
        <v>2797.06</v>
      </c>
      <c r="U293" s="13"/>
      <c r="V293" s="13"/>
      <c r="X293" s="13"/>
      <c r="Y293" s="11">
        <v>70</v>
      </c>
      <c r="Z293" s="13"/>
      <c r="AA293" s="13"/>
      <c r="AB293" s="13"/>
      <c r="AC293" s="13"/>
      <c r="AD293" s="13"/>
      <c r="AE293" s="13"/>
      <c r="AF293" s="13"/>
      <c r="AG293" s="11">
        <v>12.4</v>
      </c>
      <c r="AJ293" s="11">
        <v>19131.93</v>
      </c>
      <c r="AK293" s="11">
        <v>0</v>
      </c>
      <c r="AL293" s="13">
        <f t="shared" si="5"/>
        <v>19131.93</v>
      </c>
      <c r="AM293" s="23" t="s">
        <v>456</v>
      </c>
      <c r="AN293" s="13"/>
      <c r="AO293" s="13"/>
      <c r="AP293" s="13"/>
      <c r="AQ293" s="13"/>
      <c r="AR293" s="13"/>
    </row>
    <row r="294" spans="1:44" ht="15.75" customHeight="1">
      <c r="A294" s="9" t="s">
        <v>176</v>
      </c>
      <c r="B294" s="9" t="s">
        <v>176</v>
      </c>
      <c r="C294" s="18" t="s">
        <v>392</v>
      </c>
      <c r="D294" s="11">
        <v>154.69</v>
      </c>
      <c r="G294" s="11">
        <v>59.92</v>
      </c>
      <c r="H294" s="11">
        <v>0.57999999999999996</v>
      </c>
      <c r="I294" s="11">
        <v>11.06</v>
      </c>
      <c r="J294" s="11">
        <v>30.27</v>
      </c>
      <c r="K294" s="11">
        <v>23.88</v>
      </c>
      <c r="L294" s="11">
        <v>111.36</v>
      </c>
      <c r="N294" s="11">
        <v>5.76</v>
      </c>
      <c r="O294" s="11">
        <v>0.34</v>
      </c>
      <c r="Q294" s="9"/>
      <c r="S294" s="11">
        <v>81.22</v>
      </c>
      <c r="U294" s="13"/>
      <c r="V294" s="13"/>
      <c r="X294" s="13"/>
      <c r="Y294" s="9"/>
      <c r="Z294" s="13"/>
      <c r="AA294" s="13"/>
      <c r="AB294" s="13"/>
      <c r="AC294" s="13"/>
      <c r="AD294" s="13"/>
      <c r="AE294" s="13"/>
      <c r="AF294" s="13"/>
      <c r="AG294" s="9"/>
      <c r="AJ294" s="11">
        <v>479.07</v>
      </c>
      <c r="AK294" s="11">
        <v>0</v>
      </c>
      <c r="AL294" s="13">
        <f t="shared" si="5"/>
        <v>479.07</v>
      </c>
      <c r="AM294" s="23" t="s">
        <v>457</v>
      </c>
      <c r="AN294" s="13"/>
      <c r="AO294" s="13"/>
      <c r="AP294" s="13"/>
      <c r="AQ294" s="13"/>
      <c r="AR294" s="13"/>
    </row>
    <row r="295" spans="1:44" ht="15.75" customHeight="1">
      <c r="A295" s="9" t="s">
        <v>178</v>
      </c>
      <c r="B295" s="9" t="s">
        <v>178</v>
      </c>
      <c r="C295" s="18" t="s">
        <v>392</v>
      </c>
      <c r="D295" s="11">
        <v>177.13</v>
      </c>
      <c r="G295" s="11">
        <v>2.41</v>
      </c>
      <c r="H295" s="9"/>
      <c r="I295" s="11">
        <v>1.45</v>
      </c>
      <c r="J295" s="11">
        <v>50.17</v>
      </c>
      <c r="K295" s="11">
        <v>0.17</v>
      </c>
      <c r="L295" s="11">
        <v>1.26</v>
      </c>
      <c r="N295" s="11">
        <v>4.3099999999999996</v>
      </c>
      <c r="O295" s="11">
        <v>0.12</v>
      </c>
      <c r="Q295" s="9"/>
      <c r="S295" s="11">
        <v>76.81</v>
      </c>
      <c r="U295" s="13"/>
      <c r="V295" s="13"/>
      <c r="X295" s="13"/>
      <c r="Y295" s="9"/>
      <c r="Z295" s="13"/>
      <c r="AA295" s="13"/>
      <c r="AB295" s="13"/>
      <c r="AC295" s="13"/>
      <c r="AD295" s="13"/>
      <c r="AE295" s="13"/>
      <c r="AF295" s="13"/>
      <c r="AG295" s="9"/>
      <c r="AJ295" s="11">
        <v>313.83</v>
      </c>
      <c r="AK295" s="11">
        <v>0</v>
      </c>
      <c r="AL295" s="13">
        <f t="shared" si="5"/>
        <v>313.83</v>
      </c>
      <c r="AM295" s="23" t="s">
        <v>458</v>
      </c>
      <c r="AN295" s="13"/>
      <c r="AO295" s="13"/>
      <c r="AP295" s="13"/>
      <c r="AQ295" s="13"/>
      <c r="AR295" s="13"/>
    </row>
    <row r="296" spans="1:44" ht="15.75" customHeight="1">
      <c r="A296" s="9" t="s">
        <v>181</v>
      </c>
      <c r="B296" s="9" t="s">
        <v>181</v>
      </c>
      <c r="C296" s="18" t="s">
        <v>392</v>
      </c>
      <c r="D296" s="11">
        <v>1622.44</v>
      </c>
      <c r="G296" s="11">
        <v>35.28</v>
      </c>
      <c r="H296" s="11">
        <v>4.17</v>
      </c>
      <c r="I296" s="11">
        <v>85.37</v>
      </c>
      <c r="J296" s="11">
        <v>10.25</v>
      </c>
      <c r="K296" s="11">
        <v>28.2</v>
      </c>
      <c r="L296" s="11">
        <v>51.37</v>
      </c>
      <c r="N296" s="11">
        <v>6.58</v>
      </c>
      <c r="O296" s="11">
        <v>9.0399999999999991</v>
      </c>
      <c r="Q296" s="11"/>
      <c r="S296" s="11">
        <v>283.08999999999997</v>
      </c>
      <c r="U296" s="13"/>
      <c r="V296" s="13"/>
      <c r="X296" s="13"/>
      <c r="Y296" s="9"/>
      <c r="Z296" s="13"/>
      <c r="AA296" s="13"/>
      <c r="AB296" s="13"/>
      <c r="AC296" s="13"/>
      <c r="AD296" s="13"/>
      <c r="AE296" s="13"/>
      <c r="AF296" s="13"/>
      <c r="AG296" s="11">
        <v>0.35</v>
      </c>
      <c r="AJ296" s="11">
        <v>2136.13</v>
      </c>
      <c r="AK296" s="11">
        <v>1.53</v>
      </c>
      <c r="AL296" s="13">
        <f t="shared" si="5"/>
        <v>2134.6</v>
      </c>
      <c r="AM296" s="23" t="s">
        <v>459</v>
      </c>
      <c r="AN296" s="13"/>
      <c r="AO296" s="13"/>
      <c r="AP296" s="13"/>
      <c r="AQ296" s="13"/>
      <c r="AR296" s="13"/>
    </row>
    <row r="297" spans="1:44" ht="15.75" customHeight="1">
      <c r="A297" s="9" t="s">
        <v>183</v>
      </c>
      <c r="B297" s="9" t="s">
        <v>183</v>
      </c>
      <c r="C297" s="18" t="s">
        <v>392</v>
      </c>
      <c r="D297" s="11">
        <v>218.63</v>
      </c>
      <c r="G297" s="11">
        <v>6</v>
      </c>
      <c r="H297" s="9"/>
      <c r="I297" s="11">
        <v>2.0299999999999998</v>
      </c>
      <c r="J297" s="11">
        <v>41.01</v>
      </c>
      <c r="K297" s="11">
        <v>5.25</v>
      </c>
      <c r="L297" s="11">
        <v>14.04</v>
      </c>
      <c r="N297" s="11">
        <v>3.77</v>
      </c>
      <c r="O297" s="11">
        <v>4.21</v>
      </c>
      <c r="Q297" s="9"/>
      <c r="S297" s="11">
        <v>146.19</v>
      </c>
      <c r="U297" s="13"/>
      <c r="V297" s="13"/>
      <c r="X297" s="13"/>
      <c r="Y297" s="9"/>
      <c r="Z297" s="13"/>
      <c r="AA297" s="13"/>
      <c r="AB297" s="13"/>
      <c r="AC297" s="13"/>
      <c r="AD297" s="13"/>
      <c r="AE297" s="13"/>
      <c r="AF297" s="13"/>
      <c r="AG297" s="9"/>
      <c r="AJ297" s="11">
        <v>441.14</v>
      </c>
      <c r="AK297" s="11">
        <v>0</v>
      </c>
      <c r="AL297" s="13">
        <f t="shared" si="5"/>
        <v>441.14</v>
      </c>
      <c r="AM297" s="23" t="s">
        <v>460</v>
      </c>
      <c r="AN297" s="13"/>
      <c r="AO297" s="13"/>
      <c r="AP297" s="13"/>
      <c r="AQ297" s="13"/>
      <c r="AR297" s="13"/>
    </row>
    <row r="298" spans="1:44" ht="15.75" customHeight="1">
      <c r="A298" s="9" t="s">
        <v>185</v>
      </c>
      <c r="B298" s="9" t="s">
        <v>185</v>
      </c>
      <c r="C298" s="18" t="s">
        <v>392</v>
      </c>
      <c r="D298" s="11">
        <v>273412.88</v>
      </c>
      <c r="G298" s="11">
        <v>29.34</v>
      </c>
      <c r="H298" s="11">
        <v>0.99</v>
      </c>
      <c r="I298" s="11">
        <v>2.35</v>
      </c>
      <c r="J298" s="11">
        <v>21.96</v>
      </c>
      <c r="K298" s="11">
        <v>894.15</v>
      </c>
      <c r="L298" s="11">
        <v>20.100000000000001</v>
      </c>
      <c r="N298" s="11">
        <v>28.24</v>
      </c>
      <c r="O298" s="11">
        <v>13.26</v>
      </c>
      <c r="Q298" s="9"/>
      <c r="S298" s="11">
        <v>427.87</v>
      </c>
      <c r="U298" s="13"/>
      <c r="V298" s="13"/>
      <c r="X298" s="13"/>
      <c r="Y298" s="9"/>
      <c r="Z298" s="13"/>
      <c r="AA298" s="13"/>
      <c r="AB298" s="13"/>
      <c r="AC298" s="13"/>
      <c r="AD298" s="13"/>
      <c r="AE298" s="13"/>
      <c r="AF298" s="13"/>
      <c r="AG298" s="11">
        <v>30</v>
      </c>
      <c r="AJ298" s="11">
        <v>274881.14</v>
      </c>
      <c r="AK298" s="11">
        <v>0</v>
      </c>
      <c r="AL298" s="13">
        <f t="shared" si="5"/>
        <v>274881.14</v>
      </c>
      <c r="AM298" s="23" t="s">
        <v>461</v>
      </c>
      <c r="AN298" s="13"/>
      <c r="AO298" s="13"/>
      <c r="AP298" s="13"/>
      <c r="AQ298" s="13"/>
      <c r="AR298" s="13"/>
    </row>
    <row r="299" spans="1:44" ht="15.75" customHeight="1">
      <c r="A299" s="9" t="s">
        <v>187</v>
      </c>
      <c r="B299" s="9" t="s">
        <v>187</v>
      </c>
      <c r="C299" s="18" t="s">
        <v>392</v>
      </c>
      <c r="D299" s="11">
        <v>325.7</v>
      </c>
      <c r="G299" s="11">
        <v>31.65</v>
      </c>
      <c r="H299" s="9"/>
      <c r="I299" s="11">
        <v>1.25</v>
      </c>
      <c r="J299" s="11">
        <v>92.05</v>
      </c>
      <c r="K299" s="11">
        <v>4.7300000000000004</v>
      </c>
      <c r="L299" s="11">
        <v>27.9</v>
      </c>
      <c r="N299" s="11">
        <v>7.57</v>
      </c>
      <c r="O299" s="11">
        <v>1.23</v>
      </c>
      <c r="Q299" s="9"/>
      <c r="S299" s="11">
        <v>131.41999999999999</v>
      </c>
      <c r="U299" s="13"/>
      <c r="V299" s="13"/>
      <c r="X299" s="13"/>
      <c r="Y299" s="9"/>
      <c r="Z299" s="13"/>
      <c r="AA299" s="13"/>
      <c r="AB299" s="13"/>
      <c r="AC299" s="13"/>
      <c r="AD299" s="13"/>
      <c r="AE299" s="13"/>
      <c r="AF299" s="13"/>
      <c r="AG299" s="11">
        <v>0.9</v>
      </c>
      <c r="AJ299" s="11">
        <v>624.41</v>
      </c>
      <c r="AK299" s="11">
        <v>0</v>
      </c>
      <c r="AL299" s="13">
        <f t="shared" si="5"/>
        <v>624.41</v>
      </c>
      <c r="AM299" s="23" t="s">
        <v>462</v>
      </c>
      <c r="AN299" s="13"/>
      <c r="AO299" s="13"/>
      <c r="AP299" s="13"/>
      <c r="AQ299" s="13"/>
      <c r="AR299" s="13"/>
    </row>
    <row r="300" spans="1:44" ht="15.75" customHeight="1">
      <c r="A300" s="9" t="s">
        <v>188</v>
      </c>
      <c r="B300" s="9" t="s">
        <v>188</v>
      </c>
      <c r="C300" s="18" t="s">
        <v>392</v>
      </c>
      <c r="D300" s="11">
        <v>2022.92</v>
      </c>
      <c r="G300" s="11">
        <v>501.65</v>
      </c>
      <c r="H300" s="11">
        <v>2.69</v>
      </c>
      <c r="I300" s="11">
        <v>16.43</v>
      </c>
      <c r="J300" s="11">
        <v>220.79</v>
      </c>
      <c r="K300" s="11">
        <v>16.309999999999999</v>
      </c>
      <c r="L300" s="11">
        <v>39.65</v>
      </c>
      <c r="N300" s="11">
        <v>25.6</v>
      </c>
      <c r="O300" s="11">
        <v>85</v>
      </c>
      <c r="Q300" s="11"/>
      <c r="S300" s="11">
        <v>2185.46</v>
      </c>
      <c r="U300" s="13"/>
      <c r="V300" s="13"/>
      <c r="X300" s="13"/>
      <c r="Y300" s="9"/>
      <c r="Z300" s="13"/>
      <c r="AA300" s="13"/>
      <c r="AB300" s="13"/>
      <c r="AC300" s="13"/>
      <c r="AD300" s="13"/>
      <c r="AE300" s="13"/>
      <c r="AF300" s="13"/>
      <c r="AG300" s="9"/>
      <c r="AJ300" s="11">
        <v>5116.51</v>
      </c>
      <c r="AK300" s="11">
        <v>180.14</v>
      </c>
      <c r="AL300" s="13">
        <f t="shared" si="5"/>
        <v>4936.37</v>
      </c>
      <c r="AM300" s="23" t="s">
        <v>463</v>
      </c>
      <c r="AN300" s="13"/>
      <c r="AO300" s="13"/>
      <c r="AP300" s="13"/>
      <c r="AQ300" s="13"/>
      <c r="AR300" s="13"/>
    </row>
    <row r="301" spans="1:44" ht="15.75" customHeight="1">
      <c r="A301" s="9" t="s">
        <v>190</v>
      </c>
      <c r="B301" s="9" t="s">
        <v>190</v>
      </c>
      <c r="C301" s="18" t="s">
        <v>392</v>
      </c>
      <c r="D301" s="11">
        <v>318.69</v>
      </c>
      <c r="G301" s="11">
        <v>8.0500000000000007</v>
      </c>
      <c r="H301" s="11">
        <v>0.77</v>
      </c>
      <c r="I301" s="11">
        <v>32.5</v>
      </c>
      <c r="J301" s="11">
        <v>2.2999999999999998</v>
      </c>
      <c r="K301" s="11">
        <v>2.2000000000000002</v>
      </c>
      <c r="L301" s="11">
        <v>5.33</v>
      </c>
      <c r="N301" s="11">
        <v>2.5499999999999998</v>
      </c>
      <c r="O301" s="11">
        <v>1.28</v>
      </c>
      <c r="Q301" s="9"/>
      <c r="S301" s="11">
        <v>166.55</v>
      </c>
      <c r="U301" s="13"/>
      <c r="V301" s="13"/>
      <c r="X301" s="13"/>
      <c r="Y301" s="9"/>
      <c r="Z301" s="13"/>
      <c r="AA301" s="13"/>
      <c r="AB301" s="13"/>
      <c r="AC301" s="13"/>
      <c r="AD301" s="13"/>
      <c r="AE301" s="13"/>
      <c r="AF301" s="13"/>
      <c r="AG301" s="9"/>
      <c r="AJ301" s="11">
        <v>540.22</v>
      </c>
      <c r="AK301" s="11">
        <v>0</v>
      </c>
      <c r="AL301" s="13">
        <f t="shared" ref="AL301:AL332" si="6">AJ301-AK301</f>
        <v>540.22</v>
      </c>
      <c r="AM301" s="23" t="s">
        <v>464</v>
      </c>
      <c r="AN301" s="13"/>
      <c r="AO301" s="13"/>
      <c r="AP301" s="13"/>
      <c r="AQ301" s="13"/>
      <c r="AR301" s="13"/>
    </row>
    <row r="302" spans="1:44" ht="15.75" customHeight="1">
      <c r="A302" s="9" t="s">
        <v>192</v>
      </c>
      <c r="B302" s="9" t="s">
        <v>192</v>
      </c>
      <c r="C302" s="18" t="s">
        <v>392</v>
      </c>
      <c r="D302" s="11">
        <v>299.45</v>
      </c>
      <c r="G302" s="11">
        <v>10.52</v>
      </c>
      <c r="H302" s="11">
        <v>0.17</v>
      </c>
      <c r="I302" s="11">
        <v>1.67</v>
      </c>
      <c r="J302" s="11">
        <v>46.46</v>
      </c>
      <c r="K302" s="11">
        <v>0.88</v>
      </c>
      <c r="L302" s="11">
        <v>7.04</v>
      </c>
      <c r="N302" s="11">
        <v>3.42</v>
      </c>
      <c r="O302" s="11">
        <v>1.95</v>
      </c>
      <c r="Q302" s="9"/>
      <c r="S302" s="11">
        <v>88.3</v>
      </c>
      <c r="U302" s="13"/>
      <c r="V302" s="13"/>
      <c r="X302" s="13"/>
      <c r="Y302" s="9"/>
      <c r="Z302" s="13"/>
      <c r="AA302" s="13"/>
      <c r="AB302" s="13"/>
      <c r="AC302" s="13"/>
      <c r="AD302" s="13"/>
      <c r="AE302" s="13"/>
      <c r="AF302" s="13"/>
      <c r="AG302" s="11">
        <v>1.26</v>
      </c>
      <c r="AJ302" s="11">
        <v>461.11</v>
      </c>
      <c r="AK302" s="11">
        <v>0</v>
      </c>
      <c r="AL302" s="13">
        <f t="shared" si="6"/>
        <v>461.11</v>
      </c>
      <c r="AM302" s="23" t="s">
        <v>465</v>
      </c>
      <c r="AN302" s="13"/>
      <c r="AO302" s="13"/>
      <c r="AP302" s="13"/>
      <c r="AQ302" s="13"/>
      <c r="AR302" s="13"/>
    </row>
    <row r="303" spans="1:44" ht="15.75" customHeight="1">
      <c r="A303" s="9" t="s">
        <v>305</v>
      </c>
      <c r="B303" s="9" t="s">
        <v>305</v>
      </c>
      <c r="C303" s="18" t="s">
        <v>392</v>
      </c>
      <c r="D303" s="11">
        <v>222.32</v>
      </c>
      <c r="G303" s="11">
        <v>13.17</v>
      </c>
      <c r="H303" s="11">
        <v>2.08</v>
      </c>
      <c r="I303" s="11">
        <v>2.02</v>
      </c>
      <c r="J303" s="11">
        <v>41.09</v>
      </c>
      <c r="K303" s="11">
        <v>4.28</v>
      </c>
      <c r="L303" s="11">
        <v>1.83</v>
      </c>
      <c r="N303" s="11">
        <v>1.95</v>
      </c>
      <c r="O303" s="11">
        <v>1.26</v>
      </c>
      <c r="Q303" s="9"/>
      <c r="S303" s="11">
        <v>60.7</v>
      </c>
      <c r="U303" s="13"/>
      <c r="V303" s="13"/>
      <c r="X303" s="13"/>
      <c r="Y303" s="9"/>
      <c r="Z303" s="13"/>
      <c r="AA303" s="13"/>
      <c r="AB303" s="13"/>
      <c r="AC303" s="13"/>
      <c r="AD303" s="13"/>
      <c r="AE303" s="13"/>
      <c r="AF303" s="13"/>
      <c r="AG303" s="9"/>
      <c r="AJ303" s="11">
        <v>350.7</v>
      </c>
      <c r="AK303" s="11">
        <v>0</v>
      </c>
      <c r="AL303" s="13">
        <f t="shared" si="6"/>
        <v>350.7</v>
      </c>
      <c r="AM303" s="23" t="s">
        <v>466</v>
      </c>
      <c r="AN303" s="13"/>
      <c r="AO303" s="13"/>
      <c r="AP303" s="13"/>
      <c r="AQ303" s="13"/>
      <c r="AR303" s="13"/>
    </row>
    <row r="304" spans="1:44" ht="15.75" customHeight="1">
      <c r="A304" s="9" t="s">
        <v>389</v>
      </c>
      <c r="B304" s="9" t="s">
        <v>195</v>
      </c>
      <c r="C304" s="18" t="s">
        <v>392</v>
      </c>
      <c r="D304" s="11">
        <v>488.9</v>
      </c>
      <c r="G304" s="11">
        <v>27.97</v>
      </c>
      <c r="H304" s="9"/>
      <c r="I304" s="11">
        <v>3.19</v>
      </c>
      <c r="J304" s="11">
        <v>68.489999999999995</v>
      </c>
      <c r="K304" s="11">
        <v>2.61</v>
      </c>
      <c r="L304" s="11">
        <v>6.99</v>
      </c>
      <c r="N304" s="11">
        <v>10.43</v>
      </c>
      <c r="O304" s="11">
        <v>1.47</v>
      </c>
      <c r="Q304" s="9"/>
      <c r="S304" s="11">
        <v>164.86</v>
      </c>
      <c r="U304" s="13"/>
      <c r="V304" s="13"/>
      <c r="X304" s="13"/>
      <c r="Y304" s="9"/>
      <c r="Z304" s="13"/>
      <c r="AA304" s="13"/>
      <c r="AB304" s="13"/>
      <c r="AC304" s="13"/>
      <c r="AD304" s="13"/>
      <c r="AE304" s="13"/>
      <c r="AF304" s="13"/>
      <c r="AG304" s="9"/>
      <c r="AJ304" s="11">
        <v>774.91</v>
      </c>
      <c r="AK304" s="11">
        <v>0</v>
      </c>
      <c r="AL304" s="13">
        <f t="shared" si="6"/>
        <v>774.91</v>
      </c>
      <c r="AM304" s="23" t="s">
        <v>467</v>
      </c>
      <c r="AN304" s="13"/>
      <c r="AO304" s="13"/>
      <c r="AP304" s="13"/>
      <c r="AQ304" s="13"/>
      <c r="AR304" s="13"/>
    </row>
    <row r="305" spans="1:44" ht="15.75" customHeight="1">
      <c r="A305" s="18" t="s">
        <v>468</v>
      </c>
      <c r="B305" s="9" t="s">
        <v>468</v>
      </c>
      <c r="C305" s="17"/>
      <c r="D305" s="17">
        <f>SUM(D237:D304)</f>
        <v>515349.39999999997</v>
      </c>
      <c r="G305" s="17">
        <f t="shared" ref="G305:L305" si="7">SUM(G237:G304)</f>
        <v>11186.339999999998</v>
      </c>
      <c r="H305" s="17">
        <f t="shared" si="7"/>
        <v>3032.7599999999993</v>
      </c>
      <c r="I305" s="17">
        <f t="shared" si="7"/>
        <v>2579.1899999999982</v>
      </c>
      <c r="J305" s="17">
        <f t="shared" si="7"/>
        <v>7475.3800000000019</v>
      </c>
      <c r="K305" s="17">
        <f t="shared" si="7"/>
        <v>2631.14</v>
      </c>
      <c r="L305" s="17">
        <f t="shared" si="7"/>
        <v>4391.8500000000004</v>
      </c>
      <c r="N305" s="17">
        <f>SUM(N237:N304)</f>
        <v>1691.1799999999998</v>
      </c>
      <c r="O305" s="17">
        <f>SUM(O237:O304)</f>
        <v>1302.7100000000007</v>
      </c>
      <c r="Q305" s="17"/>
      <c r="S305" s="17">
        <f>SUM(S237:S304)</f>
        <v>181902.06999999989</v>
      </c>
      <c r="U305" s="18"/>
      <c r="V305" s="18"/>
      <c r="X305" s="18"/>
      <c r="Y305" s="17">
        <f>SUM(Y237:Y304)</f>
        <v>437804.81999999989</v>
      </c>
      <c r="Z305" s="18"/>
      <c r="AA305" s="18"/>
      <c r="AB305" s="18"/>
      <c r="AC305" s="18"/>
      <c r="AD305" s="18"/>
      <c r="AE305" s="18"/>
      <c r="AF305" s="18"/>
      <c r="AG305" s="17">
        <f>SUM(AG237:AG304)</f>
        <v>2504.1900000000005</v>
      </c>
      <c r="AJ305" s="17">
        <f>SUM(AJ237:AJ304)</f>
        <v>1152864.5199999996</v>
      </c>
      <c r="AK305" s="17">
        <f>SUM(AK237:AK304)</f>
        <v>79475.53</v>
      </c>
      <c r="AL305" s="17">
        <f>SUM(AL237:AL304)</f>
        <v>1073388.9899999995</v>
      </c>
      <c r="AM305" s="18"/>
      <c r="AN305" s="13"/>
      <c r="AO305" s="13"/>
      <c r="AP305" s="13"/>
      <c r="AQ305" s="13"/>
      <c r="AR305" s="13"/>
    </row>
    <row r="306" spans="1:44" ht="15.75" customHeight="1">
      <c r="A306" s="9" t="s">
        <v>469</v>
      </c>
      <c r="B306" s="9" t="s">
        <v>39</v>
      </c>
      <c r="C306" s="18" t="s">
        <v>470</v>
      </c>
      <c r="D306" s="11">
        <v>2264.3000000000002</v>
      </c>
      <c r="G306" s="11">
        <v>843</v>
      </c>
      <c r="H306" s="11">
        <v>247.8</v>
      </c>
      <c r="I306" s="11">
        <v>108.9</v>
      </c>
      <c r="J306" s="11">
        <v>396.7</v>
      </c>
      <c r="K306" s="11">
        <v>35.299999999999997</v>
      </c>
      <c r="L306" s="11">
        <v>1678.6</v>
      </c>
      <c r="N306" s="9"/>
      <c r="O306" s="9"/>
      <c r="P306" s="13"/>
      <c r="Q306" s="13"/>
      <c r="R306" s="13"/>
      <c r="S306" s="11">
        <v>4924.7</v>
      </c>
      <c r="T306" s="13"/>
      <c r="U306" s="13"/>
      <c r="V306" s="13"/>
      <c r="X306" s="13"/>
      <c r="Y306" s="11">
        <v>82.2</v>
      </c>
      <c r="Z306" s="13"/>
      <c r="AA306" s="13"/>
      <c r="AB306" s="13"/>
      <c r="AC306" s="13"/>
      <c r="AD306" s="13"/>
      <c r="AE306" s="13"/>
      <c r="AF306" s="13"/>
      <c r="AG306" s="11" t="s">
        <v>41</v>
      </c>
      <c r="AJ306" s="11">
        <v>10581.4</v>
      </c>
      <c r="AK306" s="13">
        <v>4.2</v>
      </c>
      <c r="AL306" s="13">
        <f t="shared" ref="AL306:AL337" si="8">AJ306-AK306</f>
        <v>10577.199999999999</v>
      </c>
      <c r="AM306" s="23" t="s">
        <v>471</v>
      </c>
      <c r="AN306" s="18"/>
      <c r="AO306" s="18"/>
      <c r="AP306" s="18"/>
      <c r="AQ306" s="18"/>
      <c r="AR306" s="18"/>
    </row>
    <row r="307" spans="1:44" ht="15.75" customHeight="1">
      <c r="A307" s="9" t="s">
        <v>202</v>
      </c>
      <c r="B307" s="9" t="s">
        <v>202</v>
      </c>
      <c r="C307" s="18" t="s">
        <v>470</v>
      </c>
      <c r="D307" s="11">
        <v>87687.6</v>
      </c>
      <c r="G307" s="11">
        <v>1089.0999999999999</v>
      </c>
      <c r="H307" s="11">
        <v>9</v>
      </c>
      <c r="I307" s="11">
        <v>9.8000000000000007</v>
      </c>
      <c r="J307" s="11">
        <v>394.2</v>
      </c>
      <c r="K307" s="11">
        <v>192.7</v>
      </c>
      <c r="L307" s="11">
        <v>1358.6</v>
      </c>
      <c r="N307" s="11">
        <v>591.20000000000005</v>
      </c>
      <c r="O307" s="11">
        <v>233.4</v>
      </c>
      <c r="P307" s="13"/>
      <c r="Q307" s="13"/>
      <c r="R307" s="13"/>
      <c r="S307" s="11">
        <v>27702.799999999999</v>
      </c>
      <c r="T307" s="13"/>
      <c r="U307" s="13"/>
      <c r="V307" s="13"/>
      <c r="X307" s="13"/>
      <c r="Y307" s="11">
        <v>3038.5</v>
      </c>
      <c r="Z307" s="13"/>
      <c r="AA307" s="13"/>
      <c r="AB307" s="13"/>
      <c r="AC307" s="13"/>
      <c r="AD307" s="13"/>
      <c r="AE307" s="13"/>
      <c r="AF307" s="13"/>
      <c r="AG307" s="11" t="s">
        <v>41</v>
      </c>
      <c r="AJ307" s="11">
        <v>122306.8</v>
      </c>
      <c r="AK307" s="13">
        <v>1239.3</v>
      </c>
      <c r="AL307" s="13">
        <f t="shared" si="8"/>
        <v>121067.5</v>
      </c>
      <c r="AM307" s="23" t="s">
        <v>472</v>
      </c>
      <c r="AN307" s="13"/>
      <c r="AO307" s="13"/>
      <c r="AP307" s="13"/>
      <c r="AQ307" s="13"/>
      <c r="AR307" s="13"/>
    </row>
    <row r="308" spans="1:44" ht="15.75" customHeight="1">
      <c r="A308" s="9" t="s">
        <v>54</v>
      </c>
      <c r="B308" s="9" t="s">
        <v>54</v>
      </c>
      <c r="C308" s="18" t="s">
        <v>470</v>
      </c>
      <c r="D308" s="11">
        <v>18409.5</v>
      </c>
      <c r="G308" s="11">
        <v>173.2</v>
      </c>
      <c r="H308" s="11">
        <v>0.4</v>
      </c>
      <c r="I308" s="11">
        <v>9</v>
      </c>
      <c r="J308" s="11">
        <v>85.4</v>
      </c>
      <c r="K308" s="11">
        <v>306.7</v>
      </c>
      <c r="L308" s="11">
        <v>42.8</v>
      </c>
      <c r="N308" s="11">
        <v>49.3</v>
      </c>
      <c r="O308" s="11">
        <v>2.4</v>
      </c>
      <c r="P308" s="13"/>
      <c r="Q308" s="13"/>
      <c r="R308" s="13"/>
      <c r="S308" s="11">
        <v>8720</v>
      </c>
      <c r="T308" s="13"/>
      <c r="U308" s="13"/>
      <c r="V308" s="13"/>
      <c r="X308" s="13"/>
      <c r="Y308" s="9"/>
      <c r="Z308" s="13"/>
      <c r="AA308" s="13"/>
      <c r="AB308" s="13"/>
      <c r="AC308" s="13"/>
      <c r="AD308" s="13"/>
      <c r="AE308" s="13"/>
      <c r="AF308" s="13"/>
      <c r="AG308" s="11" t="s">
        <v>41</v>
      </c>
      <c r="AJ308" s="11">
        <v>27798.6</v>
      </c>
      <c r="AK308" s="13">
        <v>1.1000000000000001</v>
      </c>
      <c r="AL308" s="13">
        <f t="shared" si="8"/>
        <v>27797.5</v>
      </c>
      <c r="AM308" s="23" t="s">
        <v>473</v>
      </c>
      <c r="AN308" s="13"/>
      <c r="AO308" s="13"/>
      <c r="AP308" s="13"/>
      <c r="AQ308" s="13"/>
      <c r="AR308" s="13"/>
    </row>
    <row r="309" spans="1:44" ht="15.75" customHeight="1">
      <c r="A309" s="9" t="s">
        <v>56</v>
      </c>
      <c r="B309" s="9" t="s">
        <v>56</v>
      </c>
      <c r="C309" s="18" t="s">
        <v>470</v>
      </c>
      <c r="D309" s="11">
        <v>1175.0999999999999</v>
      </c>
      <c r="G309" s="11">
        <v>90</v>
      </c>
      <c r="H309" s="11">
        <v>19.5</v>
      </c>
      <c r="I309" s="11">
        <v>8.5</v>
      </c>
      <c r="J309" s="11">
        <v>14.5</v>
      </c>
      <c r="K309" s="11">
        <v>19.100000000000001</v>
      </c>
      <c r="L309" s="11">
        <v>44.1</v>
      </c>
      <c r="N309" s="11">
        <v>18.3</v>
      </c>
      <c r="O309" s="9">
        <v>13.1</v>
      </c>
      <c r="P309" s="13"/>
      <c r="Q309" s="13"/>
      <c r="R309" s="13"/>
      <c r="S309" s="11">
        <v>437.6</v>
      </c>
      <c r="T309" s="13"/>
      <c r="U309" s="13"/>
      <c r="V309" s="13"/>
      <c r="X309" s="13"/>
      <c r="Y309" s="11">
        <v>0</v>
      </c>
      <c r="Z309" s="13"/>
      <c r="AA309" s="13"/>
      <c r="AB309" s="13"/>
      <c r="AC309" s="13"/>
      <c r="AD309" s="13"/>
      <c r="AE309" s="13"/>
      <c r="AF309" s="13"/>
      <c r="AG309" s="11">
        <v>0.1</v>
      </c>
      <c r="AJ309" s="11">
        <v>1839.9</v>
      </c>
      <c r="AK309" s="13">
        <v>0</v>
      </c>
      <c r="AL309" s="13">
        <f t="shared" si="8"/>
        <v>1839.9</v>
      </c>
      <c r="AM309" s="23" t="s">
        <v>474</v>
      </c>
      <c r="AN309" s="13"/>
      <c r="AO309" s="13"/>
      <c r="AP309" s="13"/>
      <c r="AQ309" s="13"/>
      <c r="AR309" s="13"/>
    </row>
    <row r="310" spans="1:44" ht="15.75" customHeight="1">
      <c r="A310" s="9" t="s">
        <v>207</v>
      </c>
      <c r="B310" s="9" t="s">
        <v>207</v>
      </c>
      <c r="C310" s="18" t="s">
        <v>470</v>
      </c>
      <c r="D310" s="11">
        <v>312.39999999999998</v>
      </c>
      <c r="G310" s="11">
        <v>16.2</v>
      </c>
      <c r="H310" s="11">
        <v>0.2</v>
      </c>
      <c r="I310" s="11">
        <v>3.5</v>
      </c>
      <c r="J310" s="11">
        <v>87.5</v>
      </c>
      <c r="K310" s="11">
        <v>5.2</v>
      </c>
      <c r="L310" s="11">
        <v>9.6999999999999993</v>
      </c>
      <c r="N310" s="11">
        <v>6.2</v>
      </c>
      <c r="O310" s="11">
        <v>2</v>
      </c>
      <c r="P310" s="13"/>
      <c r="Q310" s="13"/>
      <c r="R310" s="13"/>
      <c r="S310" s="11">
        <v>1538</v>
      </c>
      <c r="T310" s="13"/>
      <c r="U310" s="13"/>
      <c r="V310" s="13"/>
      <c r="X310" s="13"/>
      <c r="Y310" s="11">
        <v>390.6</v>
      </c>
      <c r="Z310" s="13"/>
      <c r="AA310" s="13"/>
      <c r="AB310" s="13"/>
      <c r="AC310" s="13"/>
      <c r="AD310" s="13"/>
      <c r="AE310" s="13"/>
      <c r="AF310" s="13"/>
      <c r="AG310" s="11" t="s">
        <v>41</v>
      </c>
      <c r="AJ310" s="11">
        <v>2371.5</v>
      </c>
      <c r="AK310" s="13">
        <v>0</v>
      </c>
      <c r="AL310" s="13">
        <f t="shared" si="8"/>
        <v>2371.5</v>
      </c>
      <c r="AM310" s="23" t="s">
        <v>475</v>
      </c>
      <c r="AN310" s="13"/>
      <c r="AO310" s="13"/>
      <c r="AP310" s="13"/>
      <c r="AQ310" s="13"/>
      <c r="AR310" s="13"/>
    </row>
    <row r="311" spans="1:44" ht="15.75" customHeight="1">
      <c r="A311" s="9" t="s">
        <v>476</v>
      </c>
      <c r="B311" s="9" t="s">
        <v>209</v>
      </c>
      <c r="C311" s="18" t="s">
        <v>470</v>
      </c>
      <c r="D311" s="11">
        <v>155.9</v>
      </c>
      <c r="G311" s="11">
        <v>17.8</v>
      </c>
      <c r="H311" s="11">
        <v>2.7</v>
      </c>
      <c r="I311" s="11">
        <v>1.1000000000000001</v>
      </c>
      <c r="J311" s="11">
        <v>92.8</v>
      </c>
      <c r="K311" s="11">
        <v>5.5</v>
      </c>
      <c r="L311" s="11">
        <v>13.1</v>
      </c>
      <c r="N311" s="11">
        <v>2.1</v>
      </c>
      <c r="O311" s="11">
        <v>4.7</v>
      </c>
      <c r="P311" s="13"/>
      <c r="Q311" s="13"/>
      <c r="R311" s="13"/>
      <c r="S311" s="11">
        <v>33.6</v>
      </c>
      <c r="T311" s="13"/>
      <c r="U311" s="13"/>
      <c r="V311" s="13"/>
      <c r="X311" s="13"/>
      <c r="Y311" s="11">
        <v>646.9</v>
      </c>
      <c r="Z311" s="13"/>
      <c r="AA311" s="13"/>
      <c r="AB311" s="13"/>
      <c r="AC311" s="13"/>
      <c r="AD311" s="13"/>
      <c r="AE311" s="13"/>
      <c r="AF311" s="13"/>
      <c r="AG311" s="11" t="s">
        <v>41</v>
      </c>
      <c r="AJ311" s="11">
        <v>976.3</v>
      </c>
      <c r="AK311" s="13">
        <v>0</v>
      </c>
      <c r="AL311" s="13">
        <f t="shared" si="8"/>
        <v>976.3</v>
      </c>
      <c r="AM311" s="23" t="s">
        <v>477</v>
      </c>
      <c r="AN311" s="13"/>
      <c r="AO311" s="13"/>
      <c r="AP311" s="13"/>
      <c r="AQ311" s="13"/>
      <c r="AR311" s="13"/>
    </row>
    <row r="312" spans="1:44" ht="15.75" customHeight="1">
      <c r="A312" s="9" t="s">
        <v>66</v>
      </c>
      <c r="B312" s="9" t="s">
        <v>66</v>
      </c>
      <c r="C312" s="18" t="s">
        <v>470</v>
      </c>
      <c r="D312" s="11">
        <v>904.4</v>
      </c>
      <c r="G312" s="11">
        <v>30.2</v>
      </c>
      <c r="H312" s="11">
        <v>4.9000000000000004</v>
      </c>
      <c r="I312" s="11">
        <v>1.3</v>
      </c>
      <c r="J312" s="9"/>
      <c r="K312" s="11">
        <v>7.4</v>
      </c>
      <c r="L312" s="11">
        <v>25.1</v>
      </c>
      <c r="N312" s="11">
        <v>10</v>
      </c>
      <c r="O312" s="9">
        <v>3.2</v>
      </c>
      <c r="P312" s="13"/>
      <c r="Q312" s="13"/>
      <c r="R312" s="13"/>
      <c r="S312" s="11">
        <v>98639.9</v>
      </c>
      <c r="T312" s="13"/>
      <c r="U312" s="13"/>
      <c r="V312" s="13"/>
      <c r="X312" s="13"/>
      <c r="Y312" s="9"/>
      <c r="Z312" s="13"/>
      <c r="AA312" s="13"/>
      <c r="AB312" s="13"/>
      <c r="AC312" s="13"/>
      <c r="AD312" s="13"/>
      <c r="AE312" s="13"/>
      <c r="AF312" s="13"/>
      <c r="AG312" s="11" t="s">
        <v>41</v>
      </c>
      <c r="AJ312" s="11">
        <v>99626.4</v>
      </c>
      <c r="AK312" s="13">
        <v>0</v>
      </c>
      <c r="AL312" s="13">
        <f t="shared" si="8"/>
        <v>99626.4</v>
      </c>
      <c r="AM312" s="23" t="s">
        <v>478</v>
      </c>
      <c r="AN312" s="13"/>
      <c r="AO312" s="13"/>
      <c r="AP312" s="13"/>
      <c r="AQ312" s="13"/>
      <c r="AR312" s="13"/>
    </row>
    <row r="313" spans="1:44" ht="15.75" customHeight="1">
      <c r="A313" s="9" t="s">
        <v>212</v>
      </c>
      <c r="B313" s="9" t="s">
        <v>212</v>
      </c>
      <c r="C313" s="18" t="s">
        <v>470</v>
      </c>
      <c r="D313" s="11">
        <v>7492.9</v>
      </c>
      <c r="G313" s="11">
        <v>277.8</v>
      </c>
      <c r="H313" s="11">
        <v>1889.1</v>
      </c>
      <c r="I313" s="11">
        <v>39.5</v>
      </c>
      <c r="J313" s="11">
        <v>2504.1999999999998</v>
      </c>
      <c r="K313" s="11">
        <v>18.7</v>
      </c>
      <c r="L313" s="11">
        <v>843.3</v>
      </c>
      <c r="N313" s="11">
        <v>62.8</v>
      </c>
      <c r="O313" s="11">
        <v>139.9</v>
      </c>
      <c r="P313" s="13"/>
      <c r="Q313" s="13"/>
      <c r="R313" s="13"/>
      <c r="S313" s="11">
        <v>3046.8</v>
      </c>
      <c r="T313" s="13"/>
      <c r="U313" s="13"/>
      <c r="V313" s="13"/>
      <c r="X313" s="13"/>
      <c r="Y313" s="11">
        <v>108.9</v>
      </c>
      <c r="Z313" s="13"/>
      <c r="AA313" s="13"/>
      <c r="AB313" s="13"/>
      <c r="AC313" s="13"/>
      <c r="AD313" s="13"/>
      <c r="AE313" s="13"/>
      <c r="AF313" s="13"/>
      <c r="AG313" s="11" t="s">
        <v>41</v>
      </c>
      <c r="AJ313" s="11">
        <v>16424</v>
      </c>
      <c r="AK313" s="13">
        <v>488.2</v>
      </c>
      <c r="AL313" s="13">
        <f t="shared" si="8"/>
        <v>15935.8</v>
      </c>
      <c r="AM313" s="23" t="s">
        <v>479</v>
      </c>
      <c r="AN313" s="13"/>
      <c r="AO313" s="13"/>
      <c r="AP313" s="13"/>
      <c r="AQ313" s="13"/>
      <c r="AR313" s="13"/>
    </row>
    <row r="314" spans="1:44" ht="15.75" customHeight="1">
      <c r="A314" s="9" t="s">
        <v>72</v>
      </c>
      <c r="B314" s="9" t="s">
        <v>72</v>
      </c>
      <c r="C314" s="18" t="s">
        <v>470</v>
      </c>
      <c r="D314" s="11">
        <v>5081.3</v>
      </c>
      <c r="G314" s="11">
        <v>4.5999999999999996</v>
      </c>
      <c r="H314" s="11">
        <v>1.8</v>
      </c>
      <c r="I314" s="11">
        <v>3.5</v>
      </c>
      <c r="J314" s="11">
        <v>43.9</v>
      </c>
      <c r="K314" s="11">
        <v>2.1</v>
      </c>
      <c r="L314" s="11">
        <v>3.9</v>
      </c>
      <c r="N314" s="11">
        <v>1.5</v>
      </c>
      <c r="O314" s="11">
        <v>0.6</v>
      </c>
      <c r="P314" s="13"/>
      <c r="Q314" s="13"/>
      <c r="R314" s="13"/>
      <c r="S314" s="11">
        <v>14.1</v>
      </c>
      <c r="T314" s="13"/>
      <c r="U314" s="13"/>
      <c r="V314" s="13"/>
      <c r="X314" s="13"/>
      <c r="Y314" s="11">
        <v>8487.2999999999993</v>
      </c>
      <c r="Z314" s="13"/>
      <c r="AA314" s="13"/>
      <c r="AB314" s="13"/>
      <c r="AC314" s="13"/>
      <c r="AD314" s="13"/>
      <c r="AE314" s="13"/>
      <c r="AF314" s="13"/>
      <c r="AG314" s="11" t="s">
        <v>41</v>
      </c>
      <c r="AJ314" s="11">
        <v>13644.6</v>
      </c>
      <c r="AK314" s="13">
        <v>1980.2</v>
      </c>
      <c r="AL314" s="13">
        <f t="shared" si="8"/>
        <v>11664.4</v>
      </c>
      <c r="AM314" s="23" t="s">
        <v>480</v>
      </c>
      <c r="AN314" s="13"/>
      <c r="AO314" s="13"/>
      <c r="AP314" s="13"/>
      <c r="AQ314" s="13"/>
      <c r="AR314" s="13"/>
    </row>
    <row r="315" spans="1:44" ht="15.75" customHeight="1">
      <c r="A315" s="9" t="s">
        <v>217</v>
      </c>
      <c r="B315" s="9" t="s">
        <v>217</v>
      </c>
      <c r="C315" s="18" t="s">
        <v>470</v>
      </c>
      <c r="D315" s="11">
        <v>221.1</v>
      </c>
      <c r="G315" s="11">
        <v>17.8</v>
      </c>
      <c r="H315" s="11">
        <v>11.2</v>
      </c>
      <c r="I315" s="11">
        <v>3.9</v>
      </c>
      <c r="J315" s="11">
        <v>52.7</v>
      </c>
      <c r="K315" s="11">
        <v>7.3</v>
      </c>
      <c r="L315" s="11">
        <v>23</v>
      </c>
      <c r="N315" s="11">
        <v>9.6</v>
      </c>
      <c r="O315" s="11">
        <v>72</v>
      </c>
      <c r="P315" s="13"/>
      <c r="Q315" s="13"/>
      <c r="R315" s="13"/>
      <c r="S315" s="11">
        <v>52.2</v>
      </c>
      <c r="T315" s="13"/>
      <c r="U315" s="13"/>
      <c r="V315" s="13"/>
      <c r="X315" s="13"/>
      <c r="Y315" s="11">
        <v>62438.6</v>
      </c>
      <c r="Z315" s="13"/>
      <c r="AA315" s="13"/>
      <c r="AB315" s="13"/>
      <c r="AC315" s="13"/>
      <c r="AD315" s="13"/>
      <c r="AE315" s="13"/>
      <c r="AF315" s="13"/>
      <c r="AG315" s="11" t="s">
        <v>41</v>
      </c>
      <c r="AJ315" s="11">
        <v>62844.5</v>
      </c>
      <c r="AK315" s="13">
        <v>0</v>
      </c>
      <c r="AL315" s="13">
        <f t="shared" si="8"/>
        <v>62844.5</v>
      </c>
      <c r="AM315" s="23" t="s">
        <v>481</v>
      </c>
      <c r="AN315" s="13"/>
      <c r="AO315" s="13"/>
      <c r="AP315" s="13"/>
      <c r="AQ315" s="13"/>
      <c r="AR315" s="13"/>
    </row>
    <row r="316" spans="1:44" ht="15.75" customHeight="1">
      <c r="A316" s="9" t="s">
        <v>219</v>
      </c>
      <c r="B316" s="9" t="s">
        <v>219</v>
      </c>
      <c r="C316" s="18" t="s">
        <v>470</v>
      </c>
      <c r="D316" s="11">
        <v>3639.1</v>
      </c>
      <c r="G316" s="11">
        <v>30.7</v>
      </c>
      <c r="H316" s="11">
        <v>0.9</v>
      </c>
      <c r="I316" s="11">
        <v>8</v>
      </c>
      <c r="J316" s="11">
        <v>63.9</v>
      </c>
      <c r="K316" s="11">
        <v>6.7</v>
      </c>
      <c r="L316" s="11">
        <v>12.8</v>
      </c>
      <c r="N316" s="11">
        <v>9.6</v>
      </c>
      <c r="O316" s="9"/>
      <c r="P316" s="13"/>
      <c r="Q316" s="13"/>
      <c r="R316" s="13"/>
      <c r="S316" s="11">
        <v>61861.9</v>
      </c>
      <c r="T316" s="13"/>
      <c r="U316" s="13"/>
      <c r="V316" s="13"/>
      <c r="X316" s="13"/>
      <c r="Y316" s="11">
        <v>14972.6</v>
      </c>
      <c r="Z316" s="13"/>
      <c r="AA316" s="13"/>
      <c r="AB316" s="13"/>
      <c r="AC316" s="13"/>
      <c r="AD316" s="13"/>
      <c r="AE316" s="13"/>
      <c r="AF316" s="13"/>
      <c r="AG316" s="11" t="s">
        <v>41</v>
      </c>
      <c r="AJ316" s="11">
        <v>80606</v>
      </c>
      <c r="AK316" s="13">
        <v>0</v>
      </c>
      <c r="AL316" s="13">
        <f t="shared" si="8"/>
        <v>80606</v>
      </c>
      <c r="AM316" s="23" t="s">
        <v>482</v>
      </c>
      <c r="AN316" s="13"/>
      <c r="AO316" s="13"/>
      <c r="AP316" s="13"/>
      <c r="AQ316" s="13"/>
      <c r="AR316" s="13"/>
    </row>
    <row r="317" spans="1:44" ht="15.75" customHeight="1">
      <c r="A317" s="9" t="s">
        <v>221</v>
      </c>
      <c r="B317" s="9" t="s">
        <v>221</v>
      </c>
      <c r="C317" s="18" t="s">
        <v>470</v>
      </c>
      <c r="D317" s="11">
        <v>57.1</v>
      </c>
      <c r="G317" s="11">
        <v>12.5</v>
      </c>
      <c r="H317" s="11">
        <v>2.4</v>
      </c>
      <c r="I317" s="11">
        <v>2.1</v>
      </c>
      <c r="J317" s="11">
        <v>7.3</v>
      </c>
      <c r="K317" s="11">
        <v>1.6</v>
      </c>
      <c r="L317" s="11">
        <v>3.7</v>
      </c>
      <c r="N317" s="11">
        <v>3.1</v>
      </c>
      <c r="O317" s="11">
        <v>0.5</v>
      </c>
      <c r="P317" s="13"/>
      <c r="Q317" s="13"/>
      <c r="R317" s="13"/>
      <c r="S317" s="11">
        <v>22.4</v>
      </c>
      <c r="T317" s="13"/>
      <c r="U317" s="13"/>
      <c r="V317" s="13"/>
      <c r="X317" s="13"/>
      <c r="Y317" s="9"/>
      <c r="Z317" s="13"/>
      <c r="AA317" s="13"/>
      <c r="AB317" s="13"/>
      <c r="AC317" s="13"/>
      <c r="AD317" s="13"/>
      <c r="AE317" s="13"/>
      <c r="AF317" s="13"/>
      <c r="AG317" s="11" t="s">
        <v>41</v>
      </c>
      <c r="AJ317" s="11">
        <v>112.9</v>
      </c>
      <c r="AK317" s="13">
        <v>0</v>
      </c>
      <c r="AL317" s="13">
        <f t="shared" si="8"/>
        <v>112.9</v>
      </c>
      <c r="AM317" s="23" t="s">
        <v>483</v>
      </c>
      <c r="AN317" s="13"/>
      <c r="AO317" s="13"/>
      <c r="AP317" s="13"/>
      <c r="AQ317" s="13"/>
      <c r="AR317" s="13"/>
    </row>
    <row r="318" spans="1:44" ht="15.75" customHeight="1">
      <c r="A318" s="9" t="s">
        <v>77</v>
      </c>
      <c r="B318" s="9" t="s">
        <v>77</v>
      </c>
      <c r="C318" s="18" t="s">
        <v>470</v>
      </c>
      <c r="D318" s="11">
        <v>2364.1</v>
      </c>
      <c r="G318" s="11">
        <v>59.7</v>
      </c>
      <c r="H318" s="11">
        <v>43.9</v>
      </c>
      <c r="I318" s="11">
        <v>6.2</v>
      </c>
      <c r="J318" s="11">
        <v>51.3</v>
      </c>
      <c r="K318" s="11">
        <v>138.19999999999999</v>
      </c>
      <c r="L318" s="11">
        <v>494.9</v>
      </c>
      <c r="N318" s="11">
        <v>5</v>
      </c>
      <c r="O318" s="11">
        <v>6.8</v>
      </c>
      <c r="P318" s="13"/>
      <c r="Q318" s="13"/>
      <c r="R318" s="13"/>
      <c r="S318" s="11">
        <v>14684.5</v>
      </c>
      <c r="T318" s="13"/>
      <c r="U318" s="13"/>
      <c r="V318" s="13"/>
      <c r="X318" s="13"/>
      <c r="Y318" s="11">
        <v>38139.9</v>
      </c>
      <c r="Z318" s="13"/>
      <c r="AA318" s="13"/>
      <c r="AB318" s="13"/>
      <c r="AC318" s="13"/>
      <c r="AD318" s="13"/>
      <c r="AE318" s="13"/>
      <c r="AF318" s="13"/>
      <c r="AG318" s="11" t="s">
        <v>41</v>
      </c>
      <c r="AJ318" s="11">
        <v>55994.400000000001</v>
      </c>
      <c r="AK318" s="13">
        <v>2949.3</v>
      </c>
      <c r="AL318" s="13">
        <f t="shared" si="8"/>
        <v>53045.1</v>
      </c>
      <c r="AM318" s="23" t="s">
        <v>484</v>
      </c>
      <c r="AN318" s="13"/>
      <c r="AO318" s="13"/>
      <c r="AP318" s="13"/>
      <c r="AQ318" s="13"/>
      <c r="AR318" s="13"/>
    </row>
    <row r="319" spans="1:44" ht="15.75" customHeight="1">
      <c r="A319" s="9" t="s">
        <v>226</v>
      </c>
      <c r="B319" s="9" t="s">
        <v>226</v>
      </c>
      <c r="C319" s="18" t="s">
        <v>470</v>
      </c>
      <c r="D319" s="11">
        <v>322.60000000000002</v>
      </c>
      <c r="G319" s="11">
        <v>41.9</v>
      </c>
      <c r="H319" s="11">
        <v>9.1999999999999993</v>
      </c>
      <c r="I319" s="11">
        <v>8.9</v>
      </c>
      <c r="J319" s="11">
        <v>37.5</v>
      </c>
      <c r="K319" s="11">
        <v>13.8</v>
      </c>
      <c r="L319" s="11">
        <v>84.5</v>
      </c>
      <c r="N319" s="11">
        <v>6.8</v>
      </c>
      <c r="O319" s="11">
        <v>3.5</v>
      </c>
      <c r="P319" s="13"/>
      <c r="Q319" s="13"/>
      <c r="R319" s="13"/>
      <c r="S319" s="11">
        <v>156.4</v>
      </c>
      <c r="T319" s="13"/>
      <c r="U319" s="13"/>
      <c r="V319" s="13"/>
      <c r="X319" s="13"/>
      <c r="Y319" s="11">
        <v>10934.8</v>
      </c>
      <c r="Z319" s="13"/>
      <c r="AA319" s="13"/>
      <c r="AB319" s="13"/>
      <c r="AC319" s="13"/>
      <c r="AD319" s="13"/>
      <c r="AE319" s="13"/>
      <c r="AF319" s="13"/>
      <c r="AG319" s="11" t="s">
        <v>41</v>
      </c>
      <c r="AJ319" s="11">
        <v>11619.8</v>
      </c>
      <c r="AK319" s="13">
        <v>0</v>
      </c>
      <c r="AL319" s="13">
        <f t="shared" si="8"/>
        <v>11619.8</v>
      </c>
      <c r="AM319" s="23" t="s">
        <v>485</v>
      </c>
      <c r="AN319" s="13"/>
      <c r="AO319" s="13"/>
      <c r="AP319" s="13"/>
      <c r="AQ319" s="13"/>
      <c r="AR319" s="13"/>
    </row>
    <row r="320" spans="1:44" ht="15.75" customHeight="1">
      <c r="A320" s="9" t="s">
        <v>228</v>
      </c>
      <c r="B320" s="9" t="s">
        <v>228</v>
      </c>
      <c r="C320" s="18" t="s">
        <v>470</v>
      </c>
      <c r="D320" s="11">
        <v>8092.1</v>
      </c>
      <c r="G320" s="11">
        <v>31.8</v>
      </c>
      <c r="H320" s="11">
        <v>2.2000000000000002</v>
      </c>
      <c r="I320" s="11">
        <v>7.4</v>
      </c>
      <c r="J320" s="11">
        <v>1.9</v>
      </c>
      <c r="K320" s="11">
        <v>516.9</v>
      </c>
      <c r="L320" s="11">
        <v>8</v>
      </c>
      <c r="N320" s="11">
        <v>70.599999999999994</v>
      </c>
      <c r="O320" s="9"/>
      <c r="P320" s="13"/>
      <c r="Q320" s="13"/>
      <c r="R320" s="13"/>
      <c r="S320" s="11">
        <v>1487.7</v>
      </c>
      <c r="T320" s="13"/>
      <c r="U320" s="13"/>
      <c r="V320" s="13"/>
      <c r="X320" s="13"/>
      <c r="Y320" s="11">
        <v>56434.8</v>
      </c>
      <c r="Z320" s="13"/>
      <c r="AA320" s="13"/>
      <c r="AB320" s="13"/>
      <c r="AC320" s="13"/>
      <c r="AD320" s="13"/>
      <c r="AE320" s="13"/>
      <c r="AF320" s="13"/>
      <c r="AG320" s="11" t="s">
        <v>41</v>
      </c>
      <c r="AJ320" s="11">
        <v>66653.2</v>
      </c>
      <c r="AK320" s="13">
        <v>8561.4</v>
      </c>
      <c r="AL320" s="13">
        <f t="shared" si="8"/>
        <v>58091.799999999996</v>
      </c>
      <c r="AM320" s="23" t="s">
        <v>486</v>
      </c>
      <c r="AN320" s="13"/>
      <c r="AO320" s="13"/>
      <c r="AP320" s="13"/>
      <c r="AQ320" s="13"/>
      <c r="AR320" s="13"/>
    </row>
    <row r="321" spans="1:44" ht="15.75" customHeight="1">
      <c r="A321" s="9" t="s">
        <v>232</v>
      </c>
      <c r="B321" s="9" t="s">
        <v>232</v>
      </c>
      <c r="C321" s="18" t="s">
        <v>470</v>
      </c>
      <c r="D321" s="11">
        <v>1234.5999999999999</v>
      </c>
      <c r="G321" s="11">
        <v>10.9</v>
      </c>
      <c r="H321" s="11">
        <v>1.1000000000000001</v>
      </c>
      <c r="I321" s="11">
        <v>1.8</v>
      </c>
      <c r="J321" s="9"/>
      <c r="K321" s="11">
        <v>0.6</v>
      </c>
      <c r="L321" s="11">
        <v>7.1</v>
      </c>
      <c r="N321" s="11">
        <v>6.5</v>
      </c>
      <c r="O321" s="11">
        <v>11.7</v>
      </c>
      <c r="P321" s="13"/>
      <c r="Q321" s="13"/>
      <c r="R321" s="13"/>
      <c r="S321" s="11">
        <v>54061.9</v>
      </c>
      <c r="T321" s="13"/>
      <c r="U321" s="13"/>
      <c r="V321" s="13"/>
      <c r="X321" s="13"/>
      <c r="Y321" s="11">
        <v>134</v>
      </c>
      <c r="Z321" s="13"/>
      <c r="AA321" s="13"/>
      <c r="AB321" s="13"/>
      <c r="AC321" s="13"/>
      <c r="AD321" s="13"/>
      <c r="AE321" s="13"/>
      <c r="AF321" s="13"/>
      <c r="AG321" s="11" t="s">
        <v>41</v>
      </c>
      <c r="AJ321" s="11">
        <v>55470.1</v>
      </c>
      <c r="AK321" s="13">
        <v>54009.3</v>
      </c>
      <c r="AL321" s="13">
        <f t="shared" si="8"/>
        <v>1460.7999999999956</v>
      </c>
      <c r="AM321" s="23" t="s">
        <v>487</v>
      </c>
      <c r="AN321" s="13"/>
      <c r="AO321" s="13"/>
      <c r="AP321" s="13"/>
      <c r="AQ321" s="13"/>
      <c r="AR321" s="13"/>
    </row>
    <row r="322" spans="1:44" ht="15.75" customHeight="1">
      <c r="A322" s="9" t="s">
        <v>87</v>
      </c>
      <c r="B322" s="9" t="s">
        <v>87</v>
      </c>
      <c r="C322" s="18" t="s">
        <v>470</v>
      </c>
      <c r="D322" s="11">
        <v>199.2</v>
      </c>
      <c r="G322" s="11">
        <v>25.7</v>
      </c>
      <c r="H322" s="11">
        <v>10.5</v>
      </c>
      <c r="I322" s="11">
        <v>4.9000000000000004</v>
      </c>
      <c r="J322" s="11">
        <v>2</v>
      </c>
      <c r="K322" s="11">
        <v>10.7</v>
      </c>
      <c r="L322" s="11">
        <v>14.4</v>
      </c>
      <c r="N322" s="11">
        <v>3.2</v>
      </c>
      <c r="O322" s="11">
        <v>126.1</v>
      </c>
      <c r="P322" s="13"/>
      <c r="Q322" s="13"/>
      <c r="R322" s="13"/>
      <c r="S322" s="11">
        <v>122.1</v>
      </c>
      <c r="T322" s="13"/>
      <c r="U322" s="13"/>
      <c r="V322" s="13"/>
      <c r="X322" s="13"/>
      <c r="Y322" s="11">
        <v>7994.9</v>
      </c>
      <c r="Z322" s="13"/>
      <c r="AA322" s="13"/>
      <c r="AB322" s="13"/>
      <c r="AC322" s="13"/>
      <c r="AD322" s="13"/>
      <c r="AE322" s="13"/>
      <c r="AF322" s="13"/>
      <c r="AG322" s="11" t="s">
        <v>41</v>
      </c>
      <c r="AJ322" s="11">
        <v>8513.7000000000007</v>
      </c>
      <c r="AK322" s="13">
        <v>7407.6</v>
      </c>
      <c r="AL322" s="13">
        <f t="shared" si="8"/>
        <v>1106.1000000000004</v>
      </c>
      <c r="AM322" s="23" t="s">
        <v>488</v>
      </c>
      <c r="AN322" s="13"/>
      <c r="AO322" s="13"/>
      <c r="AP322" s="13"/>
      <c r="AQ322" s="13"/>
      <c r="AR322" s="13"/>
    </row>
    <row r="323" spans="1:44" ht="15.75" customHeight="1">
      <c r="A323" s="9" t="s">
        <v>329</v>
      </c>
      <c r="B323" s="9" t="s">
        <v>329</v>
      </c>
      <c r="C323" s="18" t="s">
        <v>470</v>
      </c>
      <c r="D323" s="11">
        <v>78.5</v>
      </c>
      <c r="G323" s="11">
        <v>5.9</v>
      </c>
      <c r="H323" s="11">
        <v>3.8</v>
      </c>
      <c r="I323" s="11">
        <v>0.9</v>
      </c>
      <c r="J323" s="11">
        <v>24.1</v>
      </c>
      <c r="K323" s="11">
        <v>3</v>
      </c>
      <c r="L323" s="11">
        <v>3.5</v>
      </c>
      <c r="N323" s="11">
        <v>0.3</v>
      </c>
      <c r="O323" s="11">
        <v>0.2</v>
      </c>
      <c r="P323" s="13"/>
      <c r="Q323" s="13"/>
      <c r="R323" s="13"/>
      <c r="S323" s="11">
        <v>11.3</v>
      </c>
      <c r="T323" s="13"/>
      <c r="U323" s="13"/>
      <c r="V323" s="13"/>
      <c r="X323" s="13"/>
      <c r="Y323" s="11">
        <v>1000.6</v>
      </c>
      <c r="Z323" s="13"/>
      <c r="AA323" s="13"/>
      <c r="AB323" s="13"/>
      <c r="AC323" s="13"/>
      <c r="AD323" s="13"/>
      <c r="AE323" s="13"/>
      <c r="AF323" s="13"/>
      <c r="AG323" s="11" t="s">
        <v>41</v>
      </c>
      <c r="AJ323" s="11">
        <v>1132.0999999999999</v>
      </c>
      <c r="AK323" s="13">
        <v>0</v>
      </c>
      <c r="AL323" s="13">
        <f t="shared" si="8"/>
        <v>1132.0999999999999</v>
      </c>
      <c r="AM323" s="23" t="s">
        <v>489</v>
      </c>
      <c r="AN323" s="13"/>
      <c r="AO323" s="13"/>
      <c r="AP323" s="13"/>
      <c r="AQ323" s="13"/>
      <c r="AR323" s="13"/>
    </row>
    <row r="324" spans="1:44" ht="15.75" customHeight="1">
      <c r="A324" s="9" t="s">
        <v>331</v>
      </c>
      <c r="B324" s="9" t="s">
        <v>91</v>
      </c>
      <c r="C324" s="18" t="s">
        <v>470</v>
      </c>
      <c r="D324" s="11">
        <v>643.5</v>
      </c>
      <c r="G324" s="11">
        <v>8.1999999999999993</v>
      </c>
      <c r="H324" s="11">
        <v>2.8</v>
      </c>
      <c r="I324" s="11">
        <v>1.7</v>
      </c>
      <c r="J324" s="11">
        <v>99.1</v>
      </c>
      <c r="K324" s="11">
        <v>3</v>
      </c>
      <c r="L324" s="11">
        <v>2.8</v>
      </c>
      <c r="N324" s="11">
        <v>4.7</v>
      </c>
      <c r="O324" s="11">
        <v>1.3</v>
      </c>
      <c r="P324" s="13"/>
      <c r="Q324" s="13"/>
      <c r="R324" s="13"/>
      <c r="S324" s="11">
        <v>110</v>
      </c>
      <c r="T324" s="13"/>
      <c r="U324" s="13"/>
      <c r="V324" s="13"/>
      <c r="X324" s="13"/>
      <c r="Y324" s="11">
        <v>21</v>
      </c>
      <c r="Z324" s="13"/>
      <c r="AA324" s="13"/>
      <c r="AB324" s="13"/>
      <c r="AC324" s="13"/>
      <c r="AD324" s="13"/>
      <c r="AE324" s="13"/>
      <c r="AF324" s="13"/>
      <c r="AG324" s="11" t="s">
        <v>41</v>
      </c>
      <c r="AJ324" s="11">
        <v>898.2</v>
      </c>
      <c r="AK324" s="13">
        <v>0</v>
      </c>
      <c r="AL324" s="13">
        <f t="shared" si="8"/>
        <v>898.2</v>
      </c>
      <c r="AM324" s="23" t="s">
        <v>490</v>
      </c>
      <c r="AN324" s="13"/>
      <c r="AO324" s="13"/>
      <c r="AP324" s="13"/>
      <c r="AQ324" s="13"/>
      <c r="AR324" s="13"/>
    </row>
    <row r="325" spans="1:44" ht="15.75" customHeight="1">
      <c r="A325" s="9" t="s">
        <v>93</v>
      </c>
      <c r="B325" s="9" t="s">
        <v>93</v>
      </c>
      <c r="C325" s="18" t="s">
        <v>470</v>
      </c>
      <c r="D325" s="11">
        <v>738.2</v>
      </c>
      <c r="G325" s="11">
        <v>14.3</v>
      </c>
      <c r="H325" s="11">
        <v>1.4</v>
      </c>
      <c r="I325" s="11">
        <v>0.7</v>
      </c>
      <c r="J325" s="11">
        <v>74.400000000000006</v>
      </c>
      <c r="K325" s="11">
        <v>3.1</v>
      </c>
      <c r="L325" s="11">
        <v>4.0999999999999996</v>
      </c>
      <c r="N325" s="11">
        <v>1.7</v>
      </c>
      <c r="O325" s="9">
        <v>2.2999999999999998</v>
      </c>
      <c r="P325" s="13"/>
      <c r="Q325" s="13"/>
      <c r="R325" s="13"/>
      <c r="S325" s="11">
        <v>50.8</v>
      </c>
      <c r="T325" s="13"/>
      <c r="U325" s="13"/>
      <c r="V325" s="13"/>
      <c r="X325" s="13"/>
      <c r="Y325" s="11">
        <v>1258.4000000000001</v>
      </c>
      <c r="Z325" s="13"/>
      <c r="AA325" s="13"/>
      <c r="AB325" s="13"/>
      <c r="AC325" s="13"/>
      <c r="AD325" s="13"/>
      <c r="AE325" s="13"/>
      <c r="AF325" s="13"/>
      <c r="AG325" s="11">
        <v>0.5</v>
      </c>
      <c r="AJ325" s="11">
        <v>2149.9</v>
      </c>
      <c r="AK325" s="13">
        <v>1.2</v>
      </c>
      <c r="AL325" s="13">
        <f t="shared" si="8"/>
        <v>2148.7000000000003</v>
      </c>
      <c r="AM325" s="23" t="s">
        <v>491</v>
      </c>
      <c r="AN325" s="13"/>
      <c r="AO325" s="13"/>
      <c r="AP325" s="13"/>
      <c r="AQ325" s="13"/>
      <c r="AR325" s="13"/>
    </row>
    <row r="326" spans="1:44" ht="15.75" customHeight="1">
      <c r="A326" s="9" t="s">
        <v>492</v>
      </c>
      <c r="B326" s="9" t="s">
        <v>492</v>
      </c>
      <c r="C326" s="18" t="s">
        <v>470</v>
      </c>
      <c r="D326" s="11">
        <v>522.4</v>
      </c>
      <c r="G326" s="11">
        <v>40.799999999999997</v>
      </c>
      <c r="H326" s="11">
        <v>2.2999999999999998</v>
      </c>
      <c r="I326" s="11">
        <v>0.5</v>
      </c>
      <c r="J326" s="9"/>
      <c r="K326" s="11">
        <v>2.2000000000000002</v>
      </c>
      <c r="L326" s="11">
        <v>2.2000000000000002</v>
      </c>
      <c r="N326" s="11">
        <v>5.2</v>
      </c>
      <c r="O326" s="9">
        <v>1.2</v>
      </c>
      <c r="P326" s="13"/>
      <c r="Q326" s="13"/>
      <c r="R326" s="13"/>
      <c r="S326" s="11">
        <v>21</v>
      </c>
      <c r="T326" s="13"/>
      <c r="U326" s="13"/>
      <c r="V326" s="13"/>
      <c r="X326" s="13"/>
      <c r="Y326" s="11">
        <v>5007.8</v>
      </c>
      <c r="Z326" s="13"/>
      <c r="AA326" s="13"/>
      <c r="AB326" s="13"/>
      <c r="AC326" s="13"/>
      <c r="AD326" s="13"/>
      <c r="AE326" s="13"/>
      <c r="AF326" s="13"/>
      <c r="AG326" s="11">
        <v>0.1</v>
      </c>
      <c r="AJ326" s="11">
        <v>5605.6</v>
      </c>
      <c r="AK326" s="13">
        <v>2103</v>
      </c>
      <c r="AL326" s="13">
        <f t="shared" si="8"/>
        <v>3502.6000000000004</v>
      </c>
      <c r="AM326" s="23" t="s">
        <v>493</v>
      </c>
      <c r="AN326" s="13"/>
      <c r="AO326" s="13"/>
      <c r="AP326" s="13"/>
      <c r="AQ326" s="13"/>
      <c r="AR326" s="13"/>
    </row>
    <row r="327" spans="1:44" ht="15.75" customHeight="1">
      <c r="A327" s="9" t="s">
        <v>494</v>
      </c>
      <c r="B327" s="9" t="s">
        <v>160</v>
      </c>
      <c r="C327" s="18" t="s">
        <v>470</v>
      </c>
      <c r="D327" s="11">
        <v>1054.5</v>
      </c>
      <c r="G327" s="11">
        <v>7.2</v>
      </c>
      <c r="H327" s="11">
        <v>5.9</v>
      </c>
      <c r="I327" s="11">
        <v>1.7</v>
      </c>
      <c r="J327" s="11">
        <v>75.3</v>
      </c>
      <c r="K327" s="11">
        <v>1.3</v>
      </c>
      <c r="L327" s="11">
        <v>43.4</v>
      </c>
      <c r="N327" s="11">
        <v>3.5</v>
      </c>
      <c r="O327" s="11">
        <v>5.8</v>
      </c>
      <c r="P327" s="13"/>
      <c r="Q327" s="13"/>
      <c r="R327" s="13"/>
      <c r="S327" s="11">
        <v>981.5</v>
      </c>
      <c r="T327" s="13"/>
      <c r="U327" s="13"/>
      <c r="V327" s="13"/>
      <c r="X327" s="13"/>
      <c r="Y327" s="11">
        <v>7549.5</v>
      </c>
      <c r="Z327" s="13"/>
      <c r="AA327" s="13"/>
      <c r="AB327" s="13"/>
      <c r="AC327" s="13"/>
      <c r="AD327" s="13"/>
      <c r="AE327" s="13"/>
      <c r="AF327" s="13"/>
      <c r="AG327" s="11" t="s">
        <v>41</v>
      </c>
      <c r="AJ327" s="11">
        <v>9729.5</v>
      </c>
      <c r="AK327" s="13">
        <v>781.8</v>
      </c>
      <c r="AL327" s="13">
        <f t="shared" si="8"/>
        <v>8947.7000000000007</v>
      </c>
      <c r="AM327" s="23" t="s">
        <v>495</v>
      </c>
      <c r="AN327" s="13"/>
      <c r="AO327" s="13"/>
      <c r="AP327" s="13"/>
      <c r="AQ327" s="13"/>
      <c r="AR327" s="13"/>
    </row>
    <row r="328" spans="1:44" ht="15.75" customHeight="1">
      <c r="A328" s="9" t="s">
        <v>244</v>
      </c>
      <c r="B328" s="9" t="s">
        <v>244</v>
      </c>
      <c r="C328" s="18" t="s">
        <v>470</v>
      </c>
      <c r="D328" s="11">
        <v>1989.6</v>
      </c>
      <c r="G328" s="11">
        <v>4.0999999999999996</v>
      </c>
      <c r="H328" s="11">
        <v>1.1000000000000001</v>
      </c>
      <c r="I328" s="11">
        <v>0.2</v>
      </c>
      <c r="J328" s="11">
        <v>0.7</v>
      </c>
      <c r="K328" s="11">
        <v>0.3</v>
      </c>
      <c r="L328" s="11">
        <v>0.5</v>
      </c>
      <c r="N328" s="11">
        <v>3</v>
      </c>
      <c r="O328" s="9">
        <v>4.0999999999999996</v>
      </c>
      <c r="P328" s="13"/>
      <c r="Q328" s="13"/>
      <c r="R328" s="13"/>
      <c r="S328" s="11">
        <v>184.3</v>
      </c>
      <c r="T328" s="13"/>
      <c r="U328" s="13"/>
      <c r="V328" s="13"/>
      <c r="X328" s="13"/>
      <c r="Y328" s="9" t="s">
        <v>41</v>
      </c>
      <c r="Z328" s="13"/>
      <c r="AA328" s="13"/>
      <c r="AB328" s="13"/>
      <c r="AC328" s="13"/>
      <c r="AD328" s="13"/>
      <c r="AE328" s="13"/>
      <c r="AF328" s="13"/>
      <c r="AG328" s="11">
        <v>0.2</v>
      </c>
      <c r="AJ328" s="9">
        <v>2188.1</v>
      </c>
      <c r="AK328" s="13">
        <v>8.5</v>
      </c>
      <c r="AL328" s="13">
        <f t="shared" si="8"/>
        <v>2179.6</v>
      </c>
      <c r="AM328" s="23" t="s">
        <v>496</v>
      </c>
      <c r="AN328" s="13"/>
      <c r="AO328" s="13"/>
      <c r="AP328" s="13"/>
      <c r="AQ328" s="13"/>
      <c r="AR328" s="13"/>
    </row>
    <row r="329" spans="1:44" ht="15.75" customHeight="1">
      <c r="A329" s="9" t="s">
        <v>339</v>
      </c>
      <c r="B329" s="9" t="s">
        <v>101</v>
      </c>
      <c r="C329" s="18" t="s">
        <v>470</v>
      </c>
      <c r="D329" s="11">
        <v>271.10000000000002</v>
      </c>
      <c r="G329" s="11">
        <v>17.899999999999999</v>
      </c>
      <c r="H329" s="11">
        <v>7</v>
      </c>
      <c r="I329" s="11">
        <v>7.2</v>
      </c>
      <c r="J329" s="11">
        <v>73</v>
      </c>
      <c r="K329" s="11">
        <v>48.9</v>
      </c>
      <c r="L329" s="11">
        <v>15.5</v>
      </c>
      <c r="N329" s="11">
        <v>10.1</v>
      </c>
      <c r="O329" s="9"/>
      <c r="P329" s="13"/>
      <c r="Q329" s="13"/>
      <c r="R329" s="13"/>
      <c r="S329" s="11">
        <v>356.7</v>
      </c>
      <c r="T329" s="13"/>
      <c r="U329" s="13"/>
      <c r="V329" s="13"/>
      <c r="X329" s="13"/>
      <c r="Y329" s="11">
        <v>1691.6</v>
      </c>
      <c r="Z329" s="13"/>
      <c r="AA329" s="13"/>
      <c r="AB329" s="13"/>
      <c r="AC329" s="13"/>
      <c r="AD329" s="13"/>
      <c r="AE329" s="13"/>
      <c r="AF329" s="13"/>
      <c r="AG329" s="11" t="s">
        <v>41</v>
      </c>
      <c r="AJ329" s="11">
        <v>2499.1</v>
      </c>
      <c r="AK329" s="13">
        <v>2.6</v>
      </c>
      <c r="AL329" s="13">
        <f t="shared" si="8"/>
        <v>2496.5</v>
      </c>
      <c r="AM329" s="23" t="s">
        <v>497</v>
      </c>
      <c r="AN329" s="13"/>
      <c r="AO329" s="13"/>
      <c r="AP329" s="13"/>
      <c r="AQ329" s="13"/>
      <c r="AR329" s="13"/>
    </row>
    <row r="330" spans="1:44" ht="15.75" customHeight="1">
      <c r="A330" s="9" t="s">
        <v>419</v>
      </c>
      <c r="B330" s="9" t="s">
        <v>103</v>
      </c>
      <c r="C330" s="18" t="s">
        <v>470</v>
      </c>
      <c r="D330" s="11">
        <v>353.1</v>
      </c>
      <c r="G330" s="11">
        <v>13.1</v>
      </c>
      <c r="H330" s="11">
        <v>4.8</v>
      </c>
      <c r="I330" s="11">
        <v>1125</v>
      </c>
      <c r="J330" s="11">
        <v>58.7</v>
      </c>
      <c r="K330" s="11">
        <v>5.0999999999999996</v>
      </c>
      <c r="L330" s="11">
        <v>13.3</v>
      </c>
      <c r="N330" s="11">
        <v>10.199999999999999</v>
      </c>
      <c r="O330" s="9"/>
      <c r="P330" s="13"/>
      <c r="Q330" s="13"/>
      <c r="R330" s="13"/>
      <c r="S330" s="11">
        <v>96.6</v>
      </c>
      <c r="T330" s="13"/>
      <c r="U330" s="13"/>
      <c r="V330" s="13"/>
      <c r="X330" s="13"/>
      <c r="Y330" s="11">
        <v>1633.9</v>
      </c>
      <c r="Z330" s="13"/>
      <c r="AA330" s="13"/>
      <c r="AB330" s="13"/>
      <c r="AC330" s="13"/>
      <c r="AD330" s="13"/>
      <c r="AE330" s="13"/>
      <c r="AF330" s="13"/>
      <c r="AG330" s="11" t="s">
        <v>41</v>
      </c>
      <c r="AJ330" s="11">
        <v>3313.8</v>
      </c>
      <c r="AK330" s="13">
        <v>675.5</v>
      </c>
      <c r="AL330" s="13">
        <f t="shared" si="8"/>
        <v>2638.3</v>
      </c>
      <c r="AM330" s="23" t="s">
        <v>498</v>
      </c>
      <c r="AN330" s="13"/>
      <c r="AO330" s="13"/>
      <c r="AP330" s="13"/>
      <c r="AQ330" s="13"/>
      <c r="AR330" s="13"/>
    </row>
    <row r="331" spans="1:44" ht="15.75" customHeight="1">
      <c r="A331" s="9" t="s">
        <v>105</v>
      </c>
      <c r="B331" s="9" t="s">
        <v>105</v>
      </c>
      <c r="C331" s="18" t="s">
        <v>470</v>
      </c>
      <c r="D331" s="11">
        <v>187.8</v>
      </c>
      <c r="G331" s="11">
        <v>13.7</v>
      </c>
      <c r="H331" s="11">
        <v>5.3</v>
      </c>
      <c r="I331" s="11">
        <v>0.8</v>
      </c>
      <c r="J331" s="11">
        <v>62.9</v>
      </c>
      <c r="K331" s="11">
        <v>7.1</v>
      </c>
      <c r="L331" s="11">
        <v>4.8</v>
      </c>
      <c r="N331" s="11">
        <v>3.8</v>
      </c>
      <c r="O331" s="11">
        <v>2.2000000000000002</v>
      </c>
      <c r="P331" s="13"/>
      <c r="Q331" s="13"/>
      <c r="R331" s="13"/>
      <c r="S331" s="11">
        <v>932.8</v>
      </c>
      <c r="T331" s="13"/>
      <c r="U331" s="13"/>
      <c r="V331" s="13"/>
      <c r="X331" s="13"/>
      <c r="Y331" s="9"/>
      <c r="Z331" s="13"/>
      <c r="AA331" s="13"/>
      <c r="AB331" s="13"/>
      <c r="AC331" s="13"/>
      <c r="AD331" s="13"/>
      <c r="AE331" s="13"/>
      <c r="AF331" s="13"/>
      <c r="AG331" s="11" t="s">
        <v>41</v>
      </c>
      <c r="AJ331" s="11">
        <v>1221.0999999999999</v>
      </c>
      <c r="AK331" s="13">
        <v>94.6</v>
      </c>
      <c r="AL331" s="13">
        <f t="shared" si="8"/>
        <v>1126.5</v>
      </c>
      <c r="AM331" s="23" t="s">
        <v>499</v>
      </c>
      <c r="AN331" s="13"/>
      <c r="AO331" s="13"/>
      <c r="AP331" s="13"/>
      <c r="AQ331" s="13"/>
      <c r="AR331" s="13"/>
    </row>
    <row r="332" spans="1:44" ht="15.75" customHeight="1">
      <c r="A332" s="9" t="s">
        <v>249</v>
      </c>
      <c r="B332" s="9" t="s">
        <v>249</v>
      </c>
      <c r="C332" s="18" t="s">
        <v>470</v>
      </c>
      <c r="D332" s="11">
        <v>210.3</v>
      </c>
      <c r="G332" s="11">
        <v>50.3</v>
      </c>
      <c r="H332" s="11">
        <v>14.8</v>
      </c>
      <c r="I332" s="11">
        <v>11</v>
      </c>
      <c r="J332" s="11">
        <v>33</v>
      </c>
      <c r="K332" s="11">
        <v>11.8</v>
      </c>
      <c r="L332" s="11">
        <v>45.2</v>
      </c>
      <c r="N332" s="11">
        <v>5.5</v>
      </c>
      <c r="O332" s="11">
        <v>4.8</v>
      </c>
      <c r="P332" s="13"/>
      <c r="Q332" s="13"/>
      <c r="R332" s="13"/>
      <c r="S332" s="11">
        <v>76.5</v>
      </c>
      <c r="T332" s="13"/>
      <c r="U332" s="13"/>
      <c r="V332" s="13"/>
      <c r="X332" s="13"/>
      <c r="Y332" s="11">
        <v>2415.9</v>
      </c>
      <c r="Z332" s="13"/>
      <c r="AA332" s="13"/>
      <c r="AB332" s="13"/>
      <c r="AC332" s="13"/>
      <c r="AD332" s="13"/>
      <c r="AE332" s="13"/>
      <c r="AF332" s="13"/>
      <c r="AG332" s="11" t="s">
        <v>41</v>
      </c>
      <c r="AJ332" s="11">
        <v>2879</v>
      </c>
      <c r="AK332" s="13">
        <v>1.8</v>
      </c>
      <c r="AL332" s="13">
        <f t="shared" si="8"/>
        <v>2877.2</v>
      </c>
      <c r="AM332" s="23" t="s">
        <v>500</v>
      </c>
      <c r="AN332" s="13"/>
      <c r="AO332" s="13"/>
      <c r="AP332" s="13"/>
      <c r="AQ332" s="13"/>
      <c r="AR332" s="13"/>
    </row>
    <row r="333" spans="1:44" ht="15.75" customHeight="1">
      <c r="A333" s="9" t="s">
        <v>111</v>
      </c>
      <c r="B333" s="9" t="s">
        <v>111</v>
      </c>
      <c r="C333" s="18" t="s">
        <v>470</v>
      </c>
      <c r="D333" s="11">
        <v>363.5</v>
      </c>
      <c r="G333" s="11">
        <v>44.3</v>
      </c>
      <c r="H333" s="11">
        <v>6.2</v>
      </c>
      <c r="I333" s="11">
        <v>1.9</v>
      </c>
      <c r="J333" s="11">
        <v>0.3</v>
      </c>
      <c r="K333" s="11">
        <v>11.9</v>
      </c>
      <c r="L333" s="11">
        <v>48.5</v>
      </c>
      <c r="N333" s="11">
        <v>13.2</v>
      </c>
      <c r="O333" s="11">
        <v>12.3</v>
      </c>
      <c r="P333" s="13"/>
      <c r="Q333" s="13"/>
      <c r="R333" s="13"/>
      <c r="S333" s="9">
        <v>97.4</v>
      </c>
      <c r="T333" s="13"/>
      <c r="U333" s="13"/>
      <c r="V333" s="13"/>
      <c r="X333" s="13"/>
      <c r="Y333" s="11">
        <v>1675</v>
      </c>
      <c r="Z333" s="13"/>
      <c r="AA333" s="13"/>
      <c r="AB333" s="13"/>
      <c r="AC333" s="13"/>
      <c r="AD333" s="13"/>
      <c r="AE333" s="13"/>
      <c r="AF333" s="13"/>
      <c r="AG333" s="9" t="s">
        <v>41</v>
      </c>
      <c r="AJ333" s="11">
        <v>2274.4</v>
      </c>
      <c r="AK333" s="13">
        <v>224.2</v>
      </c>
      <c r="AL333" s="13">
        <f t="shared" si="8"/>
        <v>2050.2000000000003</v>
      </c>
      <c r="AM333" s="23" t="s">
        <v>501</v>
      </c>
      <c r="AN333" s="13"/>
      <c r="AO333" s="13"/>
      <c r="AP333" s="13"/>
      <c r="AQ333" s="13"/>
      <c r="AR333" s="13"/>
    </row>
    <row r="334" spans="1:44" ht="15.75" customHeight="1">
      <c r="A334" s="9" t="s">
        <v>252</v>
      </c>
      <c r="B334" s="9" t="s">
        <v>252</v>
      </c>
      <c r="C334" s="18" t="s">
        <v>470</v>
      </c>
      <c r="D334" s="11">
        <v>1380.8</v>
      </c>
      <c r="G334" s="11">
        <v>5.8</v>
      </c>
      <c r="H334" s="11">
        <v>5.5</v>
      </c>
      <c r="I334" s="11">
        <v>18.8</v>
      </c>
      <c r="J334" s="11">
        <v>51.3</v>
      </c>
      <c r="K334" s="11">
        <v>6.5</v>
      </c>
      <c r="L334" s="11">
        <v>70.099999999999994</v>
      </c>
      <c r="N334" s="11">
        <v>3.5</v>
      </c>
      <c r="O334" s="11">
        <v>2.1</v>
      </c>
      <c r="P334" s="13"/>
      <c r="Q334" s="13"/>
      <c r="R334" s="13"/>
      <c r="S334" s="11">
        <v>220.5</v>
      </c>
      <c r="T334" s="13"/>
      <c r="U334" s="13"/>
      <c r="V334" s="13"/>
      <c r="X334" s="13"/>
      <c r="Y334" s="11">
        <v>359.4</v>
      </c>
      <c r="Z334" s="13"/>
      <c r="AA334" s="13"/>
      <c r="AB334" s="13"/>
      <c r="AC334" s="13"/>
      <c r="AD334" s="13"/>
      <c r="AE334" s="13"/>
      <c r="AF334" s="13"/>
      <c r="AG334" s="11" t="s">
        <v>41</v>
      </c>
      <c r="AJ334" s="11">
        <v>2124.1</v>
      </c>
      <c r="AK334" s="13">
        <v>13.3</v>
      </c>
      <c r="AL334" s="13">
        <f t="shared" si="8"/>
        <v>2110.7999999999997</v>
      </c>
      <c r="AM334" s="23" t="s">
        <v>502</v>
      </c>
      <c r="AN334" s="13"/>
      <c r="AO334" s="13"/>
      <c r="AP334" s="13"/>
      <c r="AQ334" s="13"/>
      <c r="AR334" s="13"/>
    </row>
    <row r="335" spans="1:44" ht="15.75" customHeight="1">
      <c r="A335" s="9" t="s">
        <v>117</v>
      </c>
      <c r="B335" s="9" t="s">
        <v>117</v>
      </c>
      <c r="C335" s="18" t="s">
        <v>470</v>
      </c>
      <c r="D335" s="11">
        <v>752.3</v>
      </c>
      <c r="G335" s="11">
        <v>39.5</v>
      </c>
      <c r="H335" s="11">
        <v>2</v>
      </c>
      <c r="I335" s="11">
        <v>1.7</v>
      </c>
      <c r="J335" s="11">
        <v>97.6</v>
      </c>
      <c r="K335" s="11">
        <v>5.8</v>
      </c>
      <c r="L335" s="11">
        <v>21</v>
      </c>
      <c r="N335" s="11">
        <v>7.4</v>
      </c>
      <c r="O335" s="11">
        <v>1.4</v>
      </c>
      <c r="P335" s="13"/>
      <c r="Q335" s="13"/>
      <c r="R335" s="13"/>
      <c r="S335" s="11">
        <v>471.3</v>
      </c>
      <c r="T335" s="13"/>
      <c r="U335" s="13"/>
      <c r="V335" s="13"/>
      <c r="X335" s="13"/>
      <c r="Y335" s="11">
        <v>3092.6</v>
      </c>
      <c r="Z335" s="13"/>
      <c r="AA335" s="13"/>
      <c r="AB335" s="13"/>
      <c r="AC335" s="13"/>
      <c r="AD335" s="13"/>
      <c r="AE335" s="13"/>
      <c r="AF335" s="13"/>
      <c r="AG335" s="11" t="s">
        <v>41</v>
      </c>
      <c r="AJ335" s="11">
        <v>4492.6000000000004</v>
      </c>
      <c r="AK335" s="13">
        <v>0</v>
      </c>
      <c r="AL335" s="13">
        <f t="shared" si="8"/>
        <v>4492.6000000000004</v>
      </c>
      <c r="AM335" s="23" t="s">
        <v>503</v>
      </c>
      <c r="AN335" s="13"/>
      <c r="AO335" s="13"/>
      <c r="AP335" s="13"/>
      <c r="AQ335" s="13"/>
      <c r="AR335" s="13"/>
    </row>
    <row r="336" spans="1:44" ht="15.75" customHeight="1">
      <c r="A336" s="9" t="s">
        <v>255</v>
      </c>
      <c r="B336" s="9" t="s">
        <v>255</v>
      </c>
      <c r="C336" s="18" t="s">
        <v>470</v>
      </c>
      <c r="D336" s="11">
        <v>265.8</v>
      </c>
      <c r="G336" s="11">
        <v>16.399999999999999</v>
      </c>
      <c r="H336" s="11">
        <v>1.3</v>
      </c>
      <c r="I336" s="11">
        <v>1</v>
      </c>
      <c r="J336" s="11">
        <v>11.8</v>
      </c>
      <c r="K336" s="11">
        <v>3.1</v>
      </c>
      <c r="L336" s="11">
        <v>8.4</v>
      </c>
      <c r="N336" s="11">
        <v>6.4</v>
      </c>
      <c r="O336" s="11">
        <v>1.2</v>
      </c>
      <c r="P336" s="13"/>
      <c r="Q336" s="13"/>
      <c r="R336" s="13"/>
      <c r="S336" s="11">
        <v>63.1</v>
      </c>
      <c r="T336" s="13"/>
      <c r="U336" s="13"/>
      <c r="V336" s="13"/>
      <c r="X336" s="13"/>
      <c r="Y336" s="11">
        <v>1285.5999999999999</v>
      </c>
      <c r="Z336" s="13"/>
      <c r="AA336" s="13"/>
      <c r="AB336" s="13"/>
      <c r="AC336" s="13"/>
      <c r="AD336" s="13"/>
      <c r="AE336" s="13"/>
      <c r="AF336" s="13"/>
      <c r="AG336" s="11" t="s">
        <v>41</v>
      </c>
      <c r="AJ336" s="11">
        <v>1664.2</v>
      </c>
      <c r="AK336" s="13">
        <v>0</v>
      </c>
      <c r="AL336" s="13">
        <f t="shared" si="8"/>
        <v>1664.2</v>
      </c>
      <c r="AM336" s="23" t="s">
        <v>504</v>
      </c>
      <c r="AN336" s="13"/>
      <c r="AO336" s="13"/>
      <c r="AP336" s="13"/>
      <c r="AQ336" s="13"/>
      <c r="AR336" s="13"/>
    </row>
    <row r="337" spans="1:44" ht="15.75" customHeight="1">
      <c r="A337" s="9" t="s">
        <v>95</v>
      </c>
      <c r="B337" s="9" t="s">
        <v>95</v>
      </c>
      <c r="C337" s="18" t="s">
        <v>470</v>
      </c>
      <c r="D337" s="11">
        <v>172.4</v>
      </c>
      <c r="G337" s="11">
        <v>14.3</v>
      </c>
      <c r="H337" s="11">
        <v>2.1</v>
      </c>
      <c r="I337" s="11">
        <v>1.4</v>
      </c>
      <c r="J337" s="11">
        <v>4</v>
      </c>
      <c r="K337" s="11">
        <v>2.4</v>
      </c>
      <c r="L337" s="11">
        <v>6.5</v>
      </c>
      <c r="N337" s="11">
        <v>3.8</v>
      </c>
      <c r="O337" s="11">
        <v>4.9000000000000004</v>
      </c>
      <c r="P337" s="13"/>
      <c r="Q337" s="13"/>
      <c r="R337" s="13"/>
      <c r="S337" s="11">
        <v>30.5</v>
      </c>
      <c r="T337" s="13"/>
      <c r="U337" s="13"/>
      <c r="V337" s="13"/>
      <c r="X337" s="13"/>
      <c r="Y337" s="11">
        <v>544.29999999999995</v>
      </c>
      <c r="Z337" s="13"/>
      <c r="AA337" s="13"/>
      <c r="AB337" s="13"/>
      <c r="AC337" s="13"/>
      <c r="AD337" s="13"/>
      <c r="AE337" s="13"/>
      <c r="AF337" s="13"/>
      <c r="AG337" s="11" t="s">
        <v>41</v>
      </c>
      <c r="AJ337" s="11">
        <v>786.8</v>
      </c>
      <c r="AK337" s="13">
        <v>308</v>
      </c>
      <c r="AL337" s="13">
        <f t="shared" si="8"/>
        <v>478.79999999999995</v>
      </c>
      <c r="AM337" s="23" t="s">
        <v>505</v>
      </c>
      <c r="AN337" s="13"/>
      <c r="AO337" s="13"/>
      <c r="AP337" s="13"/>
      <c r="AQ337" s="13"/>
      <c r="AR337" s="13"/>
    </row>
    <row r="338" spans="1:44" ht="15.75" customHeight="1">
      <c r="A338" s="9" t="s">
        <v>506</v>
      </c>
      <c r="B338" s="9" t="s">
        <v>506</v>
      </c>
      <c r="C338" s="18" t="s">
        <v>470</v>
      </c>
      <c r="D338" s="11">
        <v>45.9</v>
      </c>
      <c r="G338" s="11">
        <v>18.8</v>
      </c>
      <c r="H338" s="11">
        <v>2.5</v>
      </c>
      <c r="I338" s="11">
        <v>3.8</v>
      </c>
      <c r="J338" s="9" t="s">
        <v>41</v>
      </c>
      <c r="K338" s="11">
        <v>15.2</v>
      </c>
      <c r="L338" s="11">
        <v>13.8</v>
      </c>
      <c r="N338" s="11">
        <v>1.9</v>
      </c>
      <c r="O338" s="11">
        <v>3.8</v>
      </c>
      <c r="P338" s="13"/>
      <c r="Q338" s="13"/>
      <c r="R338" s="13"/>
      <c r="S338" s="11">
        <v>34.5</v>
      </c>
      <c r="T338" s="13"/>
      <c r="U338" s="13"/>
      <c r="V338" s="13"/>
      <c r="X338" s="13"/>
      <c r="Y338" s="11">
        <v>4208</v>
      </c>
      <c r="Z338" s="13"/>
      <c r="AA338" s="13"/>
      <c r="AB338" s="13"/>
      <c r="AC338" s="13"/>
      <c r="AD338" s="13"/>
      <c r="AE338" s="13"/>
      <c r="AF338" s="13"/>
      <c r="AG338" s="11" t="s">
        <v>41</v>
      </c>
      <c r="AJ338" s="11">
        <v>4348.3</v>
      </c>
      <c r="AK338" s="13">
        <v>0</v>
      </c>
      <c r="AL338" s="13">
        <f t="shared" ref="AL338:AL369" si="9">AJ338-AK338</f>
        <v>4348.3</v>
      </c>
      <c r="AM338" s="23" t="s">
        <v>507</v>
      </c>
      <c r="AN338" s="13"/>
      <c r="AO338" s="13"/>
      <c r="AP338" s="13"/>
      <c r="AQ338" s="13"/>
      <c r="AR338" s="13"/>
    </row>
    <row r="339" spans="1:44" ht="15.75" customHeight="1">
      <c r="A339" s="9" t="s">
        <v>119</v>
      </c>
      <c r="B339" s="9" t="s">
        <v>119</v>
      </c>
      <c r="C339" s="18" t="s">
        <v>470</v>
      </c>
      <c r="D339" s="11">
        <v>195</v>
      </c>
      <c r="G339" s="11">
        <v>16.3</v>
      </c>
      <c r="H339" s="11">
        <v>4.3</v>
      </c>
      <c r="I339" s="11">
        <v>5.2</v>
      </c>
      <c r="J339" s="9"/>
      <c r="K339" s="11">
        <v>5.7</v>
      </c>
      <c r="L339" s="11">
        <v>10.3</v>
      </c>
      <c r="N339" s="11">
        <v>2.2999999999999998</v>
      </c>
      <c r="O339" s="11">
        <v>2.8</v>
      </c>
      <c r="P339" s="13"/>
      <c r="Q339" s="13"/>
      <c r="R339" s="13"/>
      <c r="S339" s="11">
        <v>43.8</v>
      </c>
      <c r="T339" s="13"/>
      <c r="U339" s="13"/>
      <c r="V339" s="13"/>
      <c r="X339" s="13"/>
      <c r="Y339" s="11">
        <v>426.6</v>
      </c>
      <c r="Z339" s="13"/>
      <c r="AA339" s="13"/>
      <c r="AB339" s="13"/>
      <c r="AC339" s="13"/>
      <c r="AD339" s="13"/>
      <c r="AE339" s="13"/>
      <c r="AF339" s="13"/>
      <c r="AG339" s="11" t="s">
        <v>41</v>
      </c>
      <c r="AJ339" s="11">
        <v>712.4</v>
      </c>
      <c r="AK339" s="13">
        <v>418.6</v>
      </c>
      <c r="AL339" s="13">
        <f t="shared" si="9"/>
        <v>293.79999999999995</v>
      </c>
      <c r="AM339" s="23" t="s">
        <v>508</v>
      </c>
      <c r="AN339" s="13"/>
      <c r="AO339" s="13"/>
      <c r="AP339" s="13"/>
      <c r="AQ339" s="13"/>
      <c r="AR339" s="13"/>
    </row>
    <row r="340" spans="1:44" ht="15.75" customHeight="1">
      <c r="A340" s="9" t="s">
        <v>121</v>
      </c>
      <c r="B340" s="9" t="s">
        <v>121</v>
      </c>
      <c r="C340" s="18" t="s">
        <v>470</v>
      </c>
      <c r="D340" s="11">
        <v>389.1</v>
      </c>
      <c r="G340" s="11">
        <v>32.299999999999997</v>
      </c>
      <c r="H340" s="11">
        <v>26.1</v>
      </c>
      <c r="I340" s="11">
        <v>7.6</v>
      </c>
      <c r="J340" s="11">
        <v>121.2</v>
      </c>
      <c r="K340" s="11">
        <v>10.199999999999999</v>
      </c>
      <c r="L340" s="11">
        <v>20.100000000000001</v>
      </c>
      <c r="N340" s="11">
        <v>4.0999999999999996</v>
      </c>
      <c r="O340" s="11">
        <v>3.2</v>
      </c>
      <c r="P340" s="13"/>
      <c r="Q340" s="13"/>
      <c r="R340" s="13"/>
      <c r="S340" s="11">
        <v>53.8</v>
      </c>
      <c r="T340" s="13"/>
      <c r="U340" s="13"/>
      <c r="V340" s="13"/>
      <c r="X340" s="13"/>
      <c r="Y340" s="11">
        <v>878.1</v>
      </c>
      <c r="Z340" s="13"/>
      <c r="AA340" s="13"/>
      <c r="AB340" s="13"/>
      <c r="AC340" s="13"/>
      <c r="AD340" s="13"/>
      <c r="AE340" s="13"/>
      <c r="AF340" s="13"/>
      <c r="AG340" s="11" t="s">
        <v>41</v>
      </c>
      <c r="AJ340" s="11">
        <v>1545.8</v>
      </c>
      <c r="AK340" s="13">
        <v>11.8</v>
      </c>
      <c r="AL340" s="13">
        <f t="shared" si="9"/>
        <v>1534</v>
      </c>
      <c r="AM340" s="23" t="s">
        <v>509</v>
      </c>
      <c r="AN340" s="13"/>
      <c r="AO340" s="13"/>
      <c r="AP340" s="13"/>
      <c r="AQ340" s="13"/>
      <c r="AR340" s="13"/>
    </row>
    <row r="341" spans="1:44" ht="15.75" customHeight="1">
      <c r="A341" s="9" t="s">
        <v>262</v>
      </c>
      <c r="B341" s="9" t="s">
        <v>262</v>
      </c>
      <c r="C341" s="18" t="s">
        <v>470</v>
      </c>
      <c r="D341" s="11">
        <v>439.6</v>
      </c>
      <c r="G341" s="11">
        <v>12</v>
      </c>
      <c r="H341" s="11">
        <v>1.2</v>
      </c>
      <c r="I341" s="11">
        <v>1.2</v>
      </c>
      <c r="J341" s="11">
        <v>120.1</v>
      </c>
      <c r="K341" s="11">
        <v>4.4000000000000004</v>
      </c>
      <c r="L341" s="11">
        <v>2.8</v>
      </c>
      <c r="N341" s="11">
        <v>2.5</v>
      </c>
      <c r="O341" s="11">
        <v>1.2</v>
      </c>
      <c r="P341" s="13"/>
      <c r="Q341" s="13"/>
      <c r="R341" s="13"/>
      <c r="S341" s="11">
        <v>32</v>
      </c>
      <c r="T341" s="13"/>
      <c r="U341" s="13"/>
      <c r="V341" s="13"/>
      <c r="X341" s="13"/>
      <c r="Y341" s="11">
        <v>1884.6</v>
      </c>
      <c r="Z341" s="13"/>
      <c r="AA341" s="13"/>
      <c r="AB341" s="13"/>
      <c r="AC341" s="13"/>
      <c r="AD341" s="13"/>
      <c r="AE341" s="13"/>
      <c r="AF341" s="13"/>
      <c r="AG341" s="11" t="s">
        <v>41</v>
      </c>
      <c r="AJ341" s="11">
        <v>2501.6</v>
      </c>
      <c r="AK341" s="13">
        <v>27</v>
      </c>
      <c r="AL341" s="13">
        <f t="shared" si="9"/>
        <v>2474.6</v>
      </c>
      <c r="AM341" s="23" t="s">
        <v>510</v>
      </c>
      <c r="AN341" s="13"/>
      <c r="AO341" s="13"/>
      <c r="AP341" s="13"/>
      <c r="AQ341" s="13"/>
      <c r="AR341" s="13"/>
    </row>
    <row r="342" spans="1:44" ht="15.75" customHeight="1">
      <c r="A342" s="9" t="s">
        <v>264</v>
      </c>
      <c r="B342" s="9" t="s">
        <v>264</v>
      </c>
      <c r="C342" s="18" t="s">
        <v>470</v>
      </c>
      <c r="D342" s="11">
        <v>638.6</v>
      </c>
      <c r="G342" s="11">
        <v>56</v>
      </c>
      <c r="H342" s="11">
        <v>16.100000000000001</v>
      </c>
      <c r="I342" s="11">
        <v>12.9</v>
      </c>
      <c r="J342" s="11">
        <v>340.5</v>
      </c>
      <c r="K342" s="11">
        <v>10.1</v>
      </c>
      <c r="L342" s="11">
        <v>42.1</v>
      </c>
      <c r="N342" s="11">
        <v>11.2</v>
      </c>
      <c r="O342" s="11">
        <v>5.2</v>
      </c>
      <c r="P342" s="13"/>
      <c r="Q342" s="13"/>
      <c r="R342" s="13"/>
      <c r="S342" s="11">
        <v>136.80000000000001</v>
      </c>
      <c r="T342" s="13"/>
      <c r="U342" s="13"/>
      <c r="V342" s="13"/>
      <c r="X342" s="13"/>
      <c r="Y342" s="11">
        <v>573.9</v>
      </c>
      <c r="Z342" s="13"/>
      <c r="AA342" s="13"/>
      <c r="AB342" s="13"/>
      <c r="AC342" s="13"/>
      <c r="AD342" s="13"/>
      <c r="AE342" s="13"/>
      <c r="AF342" s="13"/>
      <c r="AG342" s="11" t="s">
        <v>41</v>
      </c>
      <c r="AJ342" s="11">
        <v>1843.4</v>
      </c>
      <c r="AK342" s="13">
        <v>1230.9000000000001</v>
      </c>
      <c r="AL342" s="13">
        <f t="shared" si="9"/>
        <v>612.5</v>
      </c>
      <c r="AM342" s="23" t="s">
        <v>511</v>
      </c>
      <c r="AN342" s="13"/>
      <c r="AO342" s="13"/>
      <c r="AP342" s="13"/>
      <c r="AQ342" s="13"/>
      <c r="AR342" s="13"/>
    </row>
    <row r="343" spans="1:44" ht="15.75" customHeight="1">
      <c r="A343" s="9" t="s">
        <v>512</v>
      </c>
      <c r="B343" s="9" t="s">
        <v>131</v>
      </c>
      <c r="C343" s="18" t="s">
        <v>470</v>
      </c>
      <c r="D343" s="11">
        <v>1376.2</v>
      </c>
      <c r="G343" s="11">
        <v>59.3</v>
      </c>
      <c r="H343" s="11">
        <v>12</v>
      </c>
      <c r="I343" s="11">
        <v>28.4</v>
      </c>
      <c r="J343" s="11">
        <v>61.2</v>
      </c>
      <c r="K343" s="11">
        <v>24.8</v>
      </c>
      <c r="L343" s="11">
        <v>65.2</v>
      </c>
      <c r="N343" s="11">
        <v>6.7</v>
      </c>
      <c r="O343" s="9"/>
      <c r="P343" s="13"/>
      <c r="Q343" s="13"/>
      <c r="R343" s="13"/>
      <c r="S343" s="11">
        <v>20207.7</v>
      </c>
      <c r="T343" s="13"/>
      <c r="U343" s="13"/>
      <c r="V343" s="13"/>
      <c r="X343" s="13"/>
      <c r="Y343" s="11">
        <v>1203.8</v>
      </c>
      <c r="Z343" s="13"/>
      <c r="AA343" s="13"/>
      <c r="AB343" s="13"/>
      <c r="AC343" s="13"/>
      <c r="AD343" s="13"/>
      <c r="AE343" s="13"/>
      <c r="AF343" s="13"/>
      <c r="AG343" s="11" t="s">
        <v>41</v>
      </c>
      <c r="AJ343" s="11">
        <v>23045.3</v>
      </c>
      <c r="AK343" s="13">
        <v>54</v>
      </c>
      <c r="AL343" s="13">
        <f t="shared" si="9"/>
        <v>22991.3</v>
      </c>
      <c r="AM343" s="23" t="s">
        <v>513</v>
      </c>
      <c r="AN343" s="13"/>
      <c r="AO343" s="13"/>
      <c r="AP343" s="13"/>
      <c r="AQ343" s="13"/>
      <c r="AR343" s="13"/>
    </row>
    <row r="344" spans="1:44" ht="15.75" customHeight="1">
      <c r="A344" s="9" t="s">
        <v>133</v>
      </c>
      <c r="B344" s="9" t="s">
        <v>133</v>
      </c>
      <c r="C344" s="18" t="s">
        <v>470</v>
      </c>
      <c r="D344" s="11">
        <v>376.5</v>
      </c>
      <c r="G344" s="11">
        <v>7</v>
      </c>
      <c r="H344" s="11">
        <v>1.9</v>
      </c>
      <c r="I344" s="11">
        <v>0.9</v>
      </c>
      <c r="J344" s="11">
        <v>5.2</v>
      </c>
      <c r="K344" s="11">
        <v>9.1</v>
      </c>
      <c r="L344" s="11">
        <v>2.5</v>
      </c>
      <c r="N344" s="11">
        <v>5.8</v>
      </c>
      <c r="O344" s="9">
        <v>2.7</v>
      </c>
      <c r="P344" s="13"/>
      <c r="Q344" s="13"/>
      <c r="R344" s="13"/>
      <c r="S344" s="11">
        <v>90.1</v>
      </c>
      <c r="T344" s="13"/>
      <c r="U344" s="13"/>
      <c r="V344" s="13"/>
      <c r="X344" s="13"/>
      <c r="Y344" s="11">
        <v>22.5</v>
      </c>
      <c r="Z344" s="13"/>
      <c r="AA344" s="13"/>
      <c r="AB344" s="13"/>
      <c r="AC344" s="13"/>
      <c r="AD344" s="13"/>
      <c r="AE344" s="13"/>
      <c r="AF344" s="13"/>
      <c r="AG344" s="11">
        <v>6.9</v>
      </c>
      <c r="AJ344" s="11">
        <v>531</v>
      </c>
      <c r="AK344" s="13">
        <v>10.1</v>
      </c>
      <c r="AL344" s="13">
        <f t="shared" si="9"/>
        <v>520.9</v>
      </c>
      <c r="AM344" s="23" t="s">
        <v>514</v>
      </c>
      <c r="AN344" s="13"/>
      <c r="AO344" s="13"/>
      <c r="AP344" s="13"/>
      <c r="AQ344" s="13"/>
      <c r="AR344" s="13"/>
    </row>
    <row r="345" spans="1:44" ht="15.75" customHeight="1">
      <c r="A345" s="9" t="s">
        <v>135</v>
      </c>
      <c r="B345" s="9" t="s">
        <v>135</v>
      </c>
      <c r="C345" s="18" t="s">
        <v>470</v>
      </c>
      <c r="D345" s="11">
        <v>156</v>
      </c>
      <c r="G345" s="11">
        <v>12.7</v>
      </c>
      <c r="H345" s="11">
        <v>4.3</v>
      </c>
      <c r="I345" s="11">
        <v>3.3</v>
      </c>
      <c r="J345" s="9"/>
      <c r="K345" s="11">
        <v>5</v>
      </c>
      <c r="L345" s="11">
        <v>10.1</v>
      </c>
      <c r="N345" s="11">
        <v>1.7</v>
      </c>
      <c r="O345" s="11">
        <v>2.1</v>
      </c>
      <c r="P345" s="13"/>
      <c r="Q345" s="13"/>
      <c r="R345" s="13"/>
      <c r="S345" s="9">
        <v>27.4</v>
      </c>
      <c r="T345" s="13"/>
      <c r="U345" s="13"/>
      <c r="V345" s="13"/>
      <c r="X345" s="13"/>
      <c r="Y345" s="9"/>
      <c r="Z345" s="13"/>
      <c r="AA345" s="13"/>
      <c r="AB345" s="13"/>
      <c r="AC345" s="13"/>
      <c r="AD345" s="13"/>
      <c r="AE345" s="13"/>
      <c r="AF345" s="13"/>
      <c r="AG345" s="9" t="s">
        <v>41</v>
      </c>
      <c r="AJ345" s="11">
        <v>222.5</v>
      </c>
      <c r="AK345" s="13">
        <v>47</v>
      </c>
      <c r="AL345" s="13">
        <f t="shared" si="9"/>
        <v>175.5</v>
      </c>
      <c r="AM345" s="23" t="s">
        <v>515</v>
      </c>
      <c r="AN345" s="13"/>
      <c r="AO345" s="13"/>
      <c r="AP345" s="13"/>
      <c r="AQ345" s="13"/>
      <c r="AR345" s="13"/>
    </row>
    <row r="346" spans="1:44" ht="15.75" customHeight="1">
      <c r="A346" s="9" t="s">
        <v>137</v>
      </c>
      <c r="B346" s="9" t="s">
        <v>137</v>
      </c>
      <c r="C346" s="18" t="s">
        <v>470</v>
      </c>
      <c r="D346" s="11">
        <v>201.4</v>
      </c>
      <c r="G346" s="11">
        <v>53.9</v>
      </c>
      <c r="H346" s="11">
        <v>28.6</v>
      </c>
      <c r="I346" s="11">
        <v>11.7</v>
      </c>
      <c r="J346" s="11">
        <v>34.700000000000003</v>
      </c>
      <c r="K346" s="11">
        <v>8.5</v>
      </c>
      <c r="L346" s="11">
        <v>55</v>
      </c>
      <c r="N346" s="11">
        <v>7.2</v>
      </c>
      <c r="O346" s="11">
        <v>5.6</v>
      </c>
      <c r="P346" s="13"/>
      <c r="Q346" s="13"/>
      <c r="R346" s="13"/>
      <c r="S346" s="11">
        <v>111.9</v>
      </c>
      <c r="T346" s="13"/>
      <c r="U346" s="13"/>
      <c r="V346" s="13"/>
      <c r="X346" s="13"/>
      <c r="Y346" s="11">
        <v>996.4</v>
      </c>
      <c r="Z346" s="13"/>
      <c r="AA346" s="13"/>
      <c r="AB346" s="13"/>
      <c r="AC346" s="13"/>
      <c r="AD346" s="13"/>
      <c r="AE346" s="13"/>
      <c r="AF346" s="13"/>
      <c r="AG346" s="11" t="s">
        <v>41</v>
      </c>
      <c r="AJ346" s="11">
        <v>1514.8</v>
      </c>
      <c r="AK346" s="13">
        <v>633.6</v>
      </c>
      <c r="AL346" s="13">
        <f t="shared" si="9"/>
        <v>881.19999999999993</v>
      </c>
      <c r="AM346" s="23" t="s">
        <v>516</v>
      </c>
      <c r="AN346" s="13"/>
      <c r="AO346" s="13"/>
      <c r="AP346" s="13"/>
      <c r="AQ346" s="13"/>
      <c r="AR346" s="13"/>
    </row>
    <row r="347" spans="1:44" ht="15.75" customHeight="1">
      <c r="A347" s="9" t="s">
        <v>139</v>
      </c>
      <c r="B347" s="9" t="s">
        <v>139</v>
      </c>
      <c r="C347" s="18" t="s">
        <v>470</v>
      </c>
      <c r="D347" s="11">
        <v>99.3</v>
      </c>
      <c r="G347" s="11">
        <v>14</v>
      </c>
      <c r="H347" s="11">
        <v>49</v>
      </c>
      <c r="I347" s="11">
        <v>1.1000000000000001</v>
      </c>
      <c r="J347" s="11">
        <v>53.9</v>
      </c>
      <c r="K347" s="11">
        <v>4.3</v>
      </c>
      <c r="L347" s="11">
        <v>4</v>
      </c>
      <c r="N347" s="11">
        <v>2</v>
      </c>
      <c r="O347" s="9">
        <v>0.3</v>
      </c>
      <c r="P347" s="13"/>
      <c r="Q347" s="13"/>
      <c r="R347" s="13"/>
      <c r="S347" s="11">
        <v>57.9</v>
      </c>
      <c r="T347" s="13"/>
      <c r="U347" s="13"/>
      <c r="V347" s="13"/>
      <c r="X347" s="13"/>
      <c r="Y347" s="11">
        <v>2908.8</v>
      </c>
      <c r="Z347" s="13"/>
      <c r="AA347" s="13"/>
      <c r="AB347" s="13"/>
      <c r="AC347" s="13"/>
      <c r="AD347" s="13"/>
      <c r="AE347" s="13"/>
      <c r="AF347" s="13"/>
      <c r="AG347" s="11">
        <v>582.70000000000005</v>
      </c>
      <c r="AJ347" s="11">
        <v>3732.9</v>
      </c>
      <c r="AK347" s="13">
        <v>0</v>
      </c>
      <c r="AL347" s="13">
        <f t="shared" si="9"/>
        <v>3732.9</v>
      </c>
      <c r="AM347" s="23" t="s">
        <v>517</v>
      </c>
      <c r="AN347" s="13"/>
      <c r="AO347" s="13"/>
      <c r="AP347" s="13"/>
      <c r="AQ347" s="13"/>
      <c r="AR347" s="13"/>
    </row>
    <row r="348" spans="1:44" ht="15.75" customHeight="1">
      <c r="A348" s="9" t="s">
        <v>143</v>
      </c>
      <c r="B348" s="9" t="s">
        <v>143</v>
      </c>
      <c r="C348" s="18" t="s">
        <v>470</v>
      </c>
      <c r="D348" s="11">
        <v>628.4</v>
      </c>
      <c r="G348" s="11">
        <v>73</v>
      </c>
      <c r="H348" s="11">
        <v>30.2</v>
      </c>
      <c r="I348" s="11">
        <v>7.3</v>
      </c>
      <c r="J348" s="11">
        <v>264.10000000000002</v>
      </c>
      <c r="K348" s="11">
        <v>40.6</v>
      </c>
      <c r="L348" s="11">
        <v>67.900000000000006</v>
      </c>
      <c r="N348" s="11">
        <v>15.8</v>
      </c>
      <c r="O348" s="9">
        <v>13.9</v>
      </c>
      <c r="P348" s="13"/>
      <c r="Q348" s="13"/>
      <c r="R348" s="13"/>
      <c r="S348" s="11">
        <v>6007</v>
      </c>
      <c r="T348" s="13"/>
      <c r="U348" s="13"/>
      <c r="V348" s="13"/>
      <c r="X348" s="13"/>
      <c r="Y348" s="11">
        <v>1431.7</v>
      </c>
      <c r="Z348" s="13"/>
      <c r="AA348" s="13"/>
      <c r="AB348" s="13"/>
      <c r="AC348" s="13"/>
      <c r="AD348" s="13"/>
      <c r="AE348" s="13"/>
      <c r="AF348" s="13"/>
      <c r="AG348" s="11">
        <v>0.2</v>
      </c>
      <c r="AJ348" s="11">
        <v>8580.2999999999993</v>
      </c>
      <c r="AK348" s="13">
        <v>1084.0999999999999</v>
      </c>
      <c r="AL348" s="13">
        <f t="shared" si="9"/>
        <v>7496.1999999999989</v>
      </c>
      <c r="AM348" s="23" t="s">
        <v>518</v>
      </c>
      <c r="AN348" s="13"/>
      <c r="AO348" s="13"/>
      <c r="AP348" s="13"/>
      <c r="AQ348" s="13"/>
      <c r="AR348" s="13"/>
    </row>
    <row r="349" spans="1:44" ht="15.75" customHeight="1">
      <c r="A349" s="9" t="s">
        <v>273</v>
      </c>
      <c r="B349" s="9" t="s">
        <v>273</v>
      </c>
      <c r="C349" s="18" t="s">
        <v>470</v>
      </c>
      <c r="D349" s="11">
        <v>533.6</v>
      </c>
      <c r="G349" s="11">
        <v>38</v>
      </c>
      <c r="H349" s="11">
        <v>126</v>
      </c>
      <c r="I349" s="11">
        <v>18.8</v>
      </c>
      <c r="J349" s="11">
        <v>59.2</v>
      </c>
      <c r="K349" s="11">
        <v>38.700000000000003</v>
      </c>
      <c r="L349" s="11">
        <v>24.8</v>
      </c>
      <c r="N349" s="11">
        <v>6.2</v>
      </c>
      <c r="O349" s="9">
        <v>14.3</v>
      </c>
      <c r="P349" s="13"/>
      <c r="Q349" s="13"/>
      <c r="R349" s="13"/>
      <c r="S349" s="11">
        <v>145.30000000000001</v>
      </c>
      <c r="T349" s="13"/>
      <c r="U349" s="13"/>
      <c r="V349" s="13"/>
      <c r="X349" s="13"/>
      <c r="Y349" s="11">
        <v>11792.8</v>
      </c>
      <c r="Z349" s="13"/>
      <c r="AA349" s="13"/>
      <c r="AB349" s="13"/>
      <c r="AC349" s="13"/>
      <c r="AD349" s="13"/>
      <c r="AE349" s="13"/>
      <c r="AF349" s="13"/>
      <c r="AG349" s="11">
        <v>0.8</v>
      </c>
      <c r="AJ349" s="11">
        <v>12685.1</v>
      </c>
      <c r="AK349" s="13">
        <v>945.9</v>
      </c>
      <c r="AL349" s="13">
        <f t="shared" si="9"/>
        <v>11739.2</v>
      </c>
      <c r="AM349" s="23" t="s">
        <v>519</v>
      </c>
      <c r="AN349" s="13"/>
      <c r="AO349" s="13"/>
      <c r="AP349" s="13"/>
      <c r="AQ349" s="13"/>
      <c r="AR349" s="13"/>
    </row>
    <row r="350" spans="1:44" ht="15.75" customHeight="1">
      <c r="A350" s="9" t="s">
        <v>275</v>
      </c>
      <c r="B350" s="9" t="s">
        <v>275</v>
      </c>
      <c r="C350" s="18" t="s">
        <v>470</v>
      </c>
      <c r="D350" s="11">
        <v>259.2</v>
      </c>
      <c r="G350" s="11">
        <v>20.7</v>
      </c>
      <c r="H350" s="11">
        <v>3</v>
      </c>
      <c r="I350" s="11">
        <v>8</v>
      </c>
      <c r="J350" s="11">
        <v>42</v>
      </c>
      <c r="K350" s="11">
        <v>62</v>
      </c>
      <c r="L350" s="11">
        <v>29</v>
      </c>
      <c r="N350" s="11">
        <v>1</v>
      </c>
      <c r="O350" s="11">
        <v>3</v>
      </c>
      <c r="P350" s="13"/>
      <c r="Q350" s="13"/>
      <c r="R350" s="13"/>
      <c r="S350" s="11">
        <v>515.4</v>
      </c>
      <c r="T350" s="13"/>
      <c r="U350" s="13"/>
      <c r="V350" s="13"/>
      <c r="X350" s="13"/>
      <c r="Y350" s="11">
        <v>466.4</v>
      </c>
      <c r="Z350" s="13"/>
      <c r="AA350" s="13"/>
      <c r="AB350" s="13"/>
      <c r="AC350" s="13"/>
      <c r="AD350" s="13"/>
      <c r="AE350" s="13"/>
      <c r="AF350" s="13"/>
      <c r="AG350" s="11" t="s">
        <v>41</v>
      </c>
      <c r="AJ350" s="11">
        <v>1353.9</v>
      </c>
      <c r="AK350" s="13">
        <v>135.6</v>
      </c>
      <c r="AL350" s="13">
        <f t="shared" si="9"/>
        <v>1218.3000000000002</v>
      </c>
      <c r="AM350" s="23" t="s">
        <v>520</v>
      </c>
      <c r="AN350" s="13"/>
      <c r="AO350" s="13"/>
      <c r="AP350" s="13"/>
      <c r="AQ350" s="13"/>
      <c r="AR350" s="13"/>
    </row>
    <row r="351" spans="1:44" ht="15.75" customHeight="1">
      <c r="A351" s="9" t="s">
        <v>145</v>
      </c>
      <c r="B351" s="9" t="s">
        <v>145</v>
      </c>
      <c r="C351" s="18" t="s">
        <v>470</v>
      </c>
      <c r="D351" s="11">
        <v>216.6</v>
      </c>
      <c r="G351" s="11">
        <v>20.7</v>
      </c>
      <c r="H351" s="11">
        <v>3.2</v>
      </c>
      <c r="I351" s="11">
        <v>0.6</v>
      </c>
      <c r="J351" s="9"/>
      <c r="K351" s="11">
        <v>0.7</v>
      </c>
      <c r="L351" s="11">
        <v>16.3</v>
      </c>
      <c r="N351" s="11">
        <v>7.3</v>
      </c>
      <c r="O351" s="11">
        <v>0.3</v>
      </c>
      <c r="P351" s="13"/>
      <c r="Q351" s="13"/>
      <c r="R351" s="13"/>
      <c r="S351" s="11">
        <v>54.1</v>
      </c>
      <c r="T351" s="13"/>
      <c r="U351" s="13"/>
      <c r="V351" s="13"/>
      <c r="X351" s="13"/>
      <c r="Y351" s="11">
        <v>1532.7</v>
      </c>
      <c r="Z351" s="13"/>
      <c r="AA351" s="13"/>
      <c r="AB351" s="13"/>
      <c r="AC351" s="13"/>
      <c r="AD351" s="13"/>
      <c r="AE351" s="13"/>
      <c r="AF351" s="13"/>
      <c r="AG351" s="11" t="s">
        <v>41</v>
      </c>
      <c r="AJ351" s="11">
        <v>1735</v>
      </c>
      <c r="AK351" s="13">
        <v>0</v>
      </c>
      <c r="AL351" s="13">
        <f t="shared" si="9"/>
        <v>1735</v>
      </c>
      <c r="AM351" s="23" t="s">
        <v>521</v>
      </c>
      <c r="AN351" s="13"/>
      <c r="AO351" s="13"/>
      <c r="AP351" s="13"/>
      <c r="AQ351" s="13"/>
      <c r="AR351" s="13"/>
    </row>
    <row r="352" spans="1:44" ht="15.75" customHeight="1">
      <c r="A352" s="9" t="s">
        <v>278</v>
      </c>
      <c r="B352" s="9" t="s">
        <v>278</v>
      </c>
      <c r="C352" s="18" t="s">
        <v>470</v>
      </c>
      <c r="D352" s="11">
        <v>68.599999999999994</v>
      </c>
      <c r="G352" s="11">
        <v>20.7</v>
      </c>
      <c r="H352" s="11">
        <v>3.2</v>
      </c>
      <c r="I352" s="11">
        <v>6</v>
      </c>
      <c r="J352" s="9"/>
      <c r="K352" s="11">
        <v>0.7</v>
      </c>
      <c r="L352" s="11">
        <v>16.3</v>
      </c>
      <c r="N352" s="11">
        <v>7.3</v>
      </c>
      <c r="O352" s="11">
        <v>0.3</v>
      </c>
      <c r="P352" s="13"/>
      <c r="Q352" s="13"/>
      <c r="R352" s="13"/>
      <c r="S352" s="11">
        <v>84.6</v>
      </c>
      <c r="T352" s="13"/>
      <c r="U352" s="13"/>
      <c r="V352" s="13"/>
      <c r="X352" s="13"/>
      <c r="Y352" s="11">
        <v>1532.7</v>
      </c>
      <c r="Z352" s="13"/>
      <c r="AA352" s="13"/>
      <c r="AB352" s="13"/>
      <c r="AC352" s="13"/>
      <c r="AD352" s="13"/>
      <c r="AE352" s="13"/>
      <c r="AF352" s="13"/>
      <c r="AG352" s="11" t="s">
        <v>41</v>
      </c>
      <c r="AJ352" s="11">
        <v>1735</v>
      </c>
      <c r="AK352" s="13">
        <v>0</v>
      </c>
      <c r="AL352" s="13">
        <f t="shared" si="9"/>
        <v>1735</v>
      </c>
      <c r="AM352" s="23" t="s">
        <v>522</v>
      </c>
      <c r="AN352" s="13"/>
      <c r="AO352" s="13"/>
      <c r="AP352" s="13"/>
      <c r="AQ352" s="13"/>
      <c r="AR352" s="13"/>
    </row>
    <row r="353" spans="1:44" ht="15.75" customHeight="1">
      <c r="A353" s="9" t="s">
        <v>280</v>
      </c>
      <c r="B353" s="9" t="s">
        <v>280</v>
      </c>
      <c r="C353" s="18" t="s">
        <v>470</v>
      </c>
      <c r="D353" s="11">
        <v>1060.7</v>
      </c>
      <c r="G353" s="9">
        <v>80.3</v>
      </c>
      <c r="H353" s="11">
        <v>34.299999999999997</v>
      </c>
      <c r="I353" s="9">
        <v>13.8</v>
      </c>
      <c r="J353" s="11">
        <v>127.1</v>
      </c>
      <c r="K353" s="11">
        <v>19.399999999999999</v>
      </c>
      <c r="L353" s="11">
        <v>47.4</v>
      </c>
      <c r="N353" s="11">
        <v>8.5</v>
      </c>
      <c r="O353" s="11">
        <v>7.6</v>
      </c>
      <c r="P353" s="13"/>
      <c r="Q353" s="13"/>
      <c r="R353" s="13"/>
      <c r="S353" s="11">
        <v>320</v>
      </c>
      <c r="T353" s="13"/>
      <c r="U353" s="13"/>
      <c r="V353" s="13"/>
      <c r="X353" s="13"/>
      <c r="Y353" s="11">
        <v>2017.2</v>
      </c>
      <c r="Z353" s="13"/>
      <c r="AA353" s="13"/>
      <c r="AB353" s="13"/>
      <c r="AC353" s="13"/>
      <c r="AD353" s="13"/>
      <c r="AE353" s="13"/>
      <c r="AF353" s="13"/>
      <c r="AG353" s="11">
        <v>64</v>
      </c>
      <c r="AJ353" s="11">
        <v>3800.4</v>
      </c>
      <c r="AK353" s="13">
        <v>45.1</v>
      </c>
      <c r="AL353" s="13">
        <f t="shared" si="9"/>
        <v>3755.3</v>
      </c>
      <c r="AM353" s="23" t="s">
        <v>523</v>
      </c>
      <c r="AN353" s="13"/>
      <c r="AO353" s="13"/>
      <c r="AP353" s="13"/>
      <c r="AQ353" s="13"/>
      <c r="AR353" s="13"/>
    </row>
    <row r="354" spans="1:44" ht="15.75" customHeight="1">
      <c r="A354" s="9" t="s">
        <v>148</v>
      </c>
      <c r="B354" s="9" t="s">
        <v>148</v>
      </c>
      <c r="C354" s="18" t="s">
        <v>470</v>
      </c>
      <c r="D354" s="11">
        <v>8463.4</v>
      </c>
      <c r="G354" s="9">
        <v>585.5</v>
      </c>
      <c r="H354" s="11">
        <v>49.4</v>
      </c>
      <c r="I354" s="9">
        <v>39.700000000000003</v>
      </c>
      <c r="J354" s="11">
        <v>49.2</v>
      </c>
      <c r="K354" s="11">
        <v>54.3</v>
      </c>
      <c r="L354" s="11">
        <v>229.2</v>
      </c>
      <c r="N354" s="11">
        <v>180.2</v>
      </c>
      <c r="O354" s="11">
        <v>44.5</v>
      </c>
      <c r="P354" s="13"/>
      <c r="Q354" s="13"/>
      <c r="R354" s="13"/>
      <c r="S354" s="11">
        <v>3938.8</v>
      </c>
      <c r="T354" s="13"/>
      <c r="U354" s="13"/>
      <c r="V354" s="13"/>
      <c r="X354" s="13"/>
      <c r="Y354" s="9"/>
      <c r="Z354" s="13"/>
      <c r="AA354" s="13"/>
      <c r="AB354" s="13"/>
      <c r="AC354" s="13"/>
      <c r="AD354" s="13"/>
      <c r="AE354" s="13"/>
      <c r="AF354" s="13"/>
      <c r="AG354" s="9"/>
      <c r="AJ354" s="11">
        <v>13634.2</v>
      </c>
      <c r="AK354" s="13">
        <v>0</v>
      </c>
      <c r="AL354" s="13">
        <f t="shared" si="9"/>
        <v>13634.2</v>
      </c>
      <c r="AM354" s="23" t="s">
        <v>524</v>
      </c>
      <c r="AN354" s="13"/>
      <c r="AO354" s="13"/>
      <c r="AP354" s="13"/>
      <c r="AQ354" s="13"/>
      <c r="AR354" s="13"/>
    </row>
    <row r="355" spans="1:44" ht="15.75" customHeight="1">
      <c r="A355" s="9" t="s">
        <v>150</v>
      </c>
      <c r="B355" s="9" t="s">
        <v>150</v>
      </c>
      <c r="C355" s="18" t="s">
        <v>470</v>
      </c>
      <c r="G355" s="9"/>
      <c r="H355" s="9"/>
      <c r="I355" s="9"/>
      <c r="J355" s="9"/>
      <c r="K355" s="9"/>
      <c r="L355" s="9"/>
      <c r="N355" s="9"/>
      <c r="O355" s="9"/>
      <c r="P355" s="13"/>
      <c r="Q355" s="13"/>
      <c r="R355" s="13"/>
      <c r="S355" s="9"/>
      <c r="T355" s="13"/>
      <c r="U355" s="13"/>
      <c r="V355" s="13"/>
      <c r="X355" s="13"/>
      <c r="Y355" s="11">
        <v>3098.4</v>
      </c>
      <c r="Z355" s="13"/>
      <c r="AA355" s="13"/>
      <c r="AB355" s="13"/>
      <c r="AC355" s="13"/>
      <c r="AD355" s="13"/>
      <c r="AE355" s="13"/>
      <c r="AF355" s="13"/>
      <c r="AG355" s="9"/>
      <c r="AJ355" s="11">
        <v>3098.4</v>
      </c>
      <c r="AK355" s="13">
        <v>0</v>
      </c>
      <c r="AL355" s="13">
        <f t="shared" si="9"/>
        <v>3098.4</v>
      </c>
      <c r="AM355" s="23" t="s">
        <v>525</v>
      </c>
      <c r="AN355" s="13"/>
      <c r="AO355" s="13"/>
      <c r="AP355" s="13"/>
      <c r="AQ355" s="13"/>
      <c r="AR355" s="13"/>
    </row>
    <row r="356" spans="1:44" ht="15.75" customHeight="1">
      <c r="A356" s="9" t="s">
        <v>152</v>
      </c>
      <c r="B356" s="9" t="s">
        <v>152</v>
      </c>
      <c r="C356" s="18" t="s">
        <v>470</v>
      </c>
      <c r="D356" s="9"/>
      <c r="G356" s="9"/>
      <c r="H356" s="9"/>
      <c r="I356" s="9"/>
      <c r="J356" s="9"/>
      <c r="K356" s="9"/>
      <c r="L356" s="9"/>
      <c r="N356" s="9"/>
      <c r="O356" s="9"/>
      <c r="P356" s="13"/>
      <c r="Q356" s="13"/>
      <c r="R356" s="13"/>
      <c r="S356" s="9"/>
      <c r="T356" s="13"/>
      <c r="U356" s="13"/>
      <c r="V356" s="13"/>
      <c r="X356" s="13"/>
      <c r="Y356" s="11">
        <v>38110.800000000003</v>
      </c>
      <c r="Z356" s="13"/>
      <c r="AA356" s="13"/>
      <c r="AB356" s="13"/>
      <c r="AC356" s="13"/>
      <c r="AD356" s="13"/>
      <c r="AE356" s="13"/>
      <c r="AF356" s="13"/>
      <c r="AG356" s="9"/>
      <c r="AJ356" s="11">
        <v>38110.800000000003</v>
      </c>
      <c r="AK356" s="13">
        <v>16.3</v>
      </c>
      <c r="AL356" s="13">
        <f t="shared" si="9"/>
        <v>38094.5</v>
      </c>
      <c r="AM356" s="23" t="s">
        <v>526</v>
      </c>
      <c r="AN356" s="13"/>
      <c r="AO356" s="13"/>
      <c r="AP356" s="13"/>
      <c r="AQ356" s="13"/>
      <c r="AR356" s="13"/>
    </row>
    <row r="357" spans="1:44" ht="15.75" customHeight="1">
      <c r="A357" s="9" t="s">
        <v>154</v>
      </c>
      <c r="B357" s="9" t="s">
        <v>154</v>
      </c>
      <c r="C357" s="18" t="s">
        <v>470</v>
      </c>
      <c r="D357" s="11">
        <v>1694.5</v>
      </c>
      <c r="G357" s="11">
        <v>135.6</v>
      </c>
      <c r="H357" s="11">
        <v>40.700000000000003</v>
      </c>
      <c r="I357" s="11">
        <v>13.8</v>
      </c>
      <c r="J357" s="11">
        <v>199.7</v>
      </c>
      <c r="K357" s="11">
        <v>86.8</v>
      </c>
      <c r="L357" s="11">
        <v>51.4</v>
      </c>
      <c r="N357" s="11">
        <v>21.5</v>
      </c>
      <c r="O357" s="11">
        <v>14</v>
      </c>
      <c r="P357" s="13"/>
      <c r="Q357" s="13"/>
      <c r="R357" s="13"/>
      <c r="S357" s="11">
        <v>865.9</v>
      </c>
      <c r="T357" s="13"/>
      <c r="U357" s="13"/>
      <c r="V357" s="13"/>
      <c r="X357" s="13"/>
      <c r="Y357" s="9"/>
      <c r="Z357" s="13"/>
      <c r="AA357" s="13"/>
      <c r="AB357" s="13"/>
      <c r="AC357" s="13"/>
      <c r="AD357" s="13"/>
      <c r="AE357" s="13"/>
      <c r="AF357" s="13"/>
      <c r="AG357" s="9"/>
      <c r="AJ357" s="11">
        <v>3123.8</v>
      </c>
      <c r="AK357" s="13">
        <v>0</v>
      </c>
      <c r="AL357" s="13">
        <f t="shared" si="9"/>
        <v>3123.8</v>
      </c>
      <c r="AM357" s="23" t="s">
        <v>527</v>
      </c>
      <c r="AN357" s="13"/>
      <c r="AO357" s="13"/>
      <c r="AP357" s="13"/>
      <c r="AQ357" s="13"/>
      <c r="AR357" s="13"/>
    </row>
    <row r="358" spans="1:44" ht="15.75" customHeight="1">
      <c r="A358" s="9" t="s">
        <v>156</v>
      </c>
      <c r="B358" s="9" t="s">
        <v>156</v>
      </c>
      <c r="C358" s="18" t="s">
        <v>470</v>
      </c>
      <c r="D358" s="11">
        <v>143.6</v>
      </c>
      <c r="G358" s="11">
        <v>26.3</v>
      </c>
      <c r="H358" s="11">
        <v>0.7</v>
      </c>
      <c r="I358" s="11">
        <v>2.4</v>
      </c>
      <c r="J358" s="11">
        <v>30.4</v>
      </c>
      <c r="K358" s="11">
        <v>2.4</v>
      </c>
      <c r="L358" s="11">
        <v>12.4</v>
      </c>
      <c r="N358" s="11">
        <v>1.1000000000000001</v>
      </c>
      <c r="O358" s="11">
        <v>0.3</v>
      </c>
      <c r="P358" s="13"/>
      <c r="Q358" s="13"/>
      <c r="R358" s="13"/>
      <c r="S358" s="11">
        <v>89.7</v>
      </c>
      <c r="T358" s="13"/>
      <c r="U358" s="13"/>
      <c r="V358" s="13"/>
      <c r="X358" s="13"/>
      <c r="Y358" s="11">
        <v>871.2</v>
      </c>
      <c r="Z358" s="13"/>
      <c r="AA358" s="13"/>
      <c r="AB358" s="13"/>
      <c r="AC358" s="13"/>
      <c r="AD358" s="13"/>
      <c r="AE358" s="13"/>
      <c r="AF358" s="13"/>
      <c r="AG358" s="11">
        <v>0.5</v>
      </c>
      <c r="AJ358" s="11">
        <v>1181.0999999999999</v>
      </c>
      <c r="AK358" s="13">
        <v>3.1</v>
      </c>
      <c r="AL358" s="13">
        <f t="shared" si="9"/>
        <v>1178</v>
      </c>
      <c r="AM358" s="23" t="s">
        <v>528</v>
      </c>
      <c r="AN358" s="13"/>
      <c r="AO358" s="13"/>
      <c r="AP358" s="13"/>
      <c r="AQ358" s="13"/>
      <c r="AR358" s="13"/>
    </row>
    <row r="359" spans="1:44" ht="15.75" customHeight="1">
      <c r="A359" s="9" t="s">
        <v>158</v>
      </c>
      <c r="B359" s="9" t="s">
        <v>158</v>
      </c>
      <c r="C359" s="18" t="s">
        <v>470</v>
      </c>
      <c r="D359" s="11">
        <v>282</v>
      </c>
      <c r="G359" s="9"/>
      <c r="H359" s="9"/>
      <c r="I359" s="11">
        <v>1.5</v>
      </c>
      <c r="J359" s="11">
        <v>15.3</v>
      </c>
      <c r="K359" s="9"/>
      <c r="L359" s="9"/>
      <c r="N359" s="9"/>
      <c r="O359" s="9"/>
      <c r="P359" s="13"/>
      <c r="Q359" s="13"/>
      <c r="R359" s="13"/>
      <c r="S359" s="11">
        <v>178.8</v>
      </c>
      <c r="T359" s="13"/>
      <c r="U359" s="13"/>
      <c r="V359" s="13"/>
      <c r="X359" s="13"/>
      <c r="Y359" s="9"/>
      <c r="Z359" s="13"/>
      <c r="AA359" s="13"/>
      <c r="AB359" s="13"/>
      <c r="AC359" s="13"/>
      <c r="AD359" s="13"/>
      <c r="AE359" s="13"/>
      <c r="AF359" s="13"/>
      <c r="AG359" s="9"/>
      <c r="AJ359" s="11">
        <v>477.6</v>
      </c>
      <c r="AK359" s="13">
        <v>0</v>
      </c>
      <c r="AL359" s="13">
        <f t="shared" si="9"/>
        <v>477.6</v>
      </c>
      <c r="AM359" s="23" t="s">
        <v>529</v>
      </c>
      <c r="AN359" s="13"/>
      <c r="AO359" s="13"/>
      <c r="AP359" s="13"/>
      <c r="AQ359" s="13"/>
      <c r="AR359" s="13"/>
    </row>
    <row r="360" spans="1:44" ht="15.75" customHeight="1">
      <c r="A360" s="9" t="s">
        <v>164</v>
      </c>
      <c r="B360" s="9" t="s">
        <v>164</v>
      </c>
      <c r="C360" s="18" t="s">
        <v>470</v>
      </c>
      <c r="D360" s="11">
        <v>251.9</v>
      </c>
      <c r="G360" s="11">
        <v>3.7</v>
      </c>
      <c r="H360" s="11">
        <v>1.7</v>
      </c>
      <c r="I360" s="11">
        <v>0.5</v>
      </c>
      <c r="J360" s="11">
        <v>54.6</v>
      </c>
      <c r="K360" s="11">
        <v>0.5</v>
      </c>
      <c r="L360" s="11">
        <v>1</v>
      </c>
      <c r="N360" s="11">
        <v>2.8</v>
      </c>
      <c r="O360" s="11">
        <v>4</v>
      </c>
      <c r="P360" s="13"/>
      <c r="Q360" s="13"/>
      <c r="R360" s="13"/>
      <c r="S360" s="11">
        <v>61.9</v>
      </c>
      <c r="T360" s="13"/>
      <c r="U360" s="13"/>
      <c r="V360" s="13"/>
      <c r="X360" s="13"/>
      <c r="Y360" s="9"/>
      <c r="Z360" s="13"/>
      <c r="AA360" s="13"/>
      <c r="AB360" s="13"/>
      <c r="AC360" s="13"/>
      <c r="AD360" s="13"/>
      <c r="AE360" s="13"/>
      <c r="AF360" s="13"/>
      <c r="AG360" s="9"/>
      <c r="AJ360" s="11">
        <v>382.6</v>
      </c>
      <c r="AK360" s="13">
        <v>0</v>
      </c>
      <c r="AL360" s="13">
        <f t="shared" si="9"/>
        <v>382.6</v>
      </c>
      <c r="AM360" s="23" t="s">
        <v>530</v>
      </c>
      <c r="AN360" s="13"/>
      <c r="AO360" s="13"/>
      <c r="AP360" s="13"/>
      <c r="AQ360" s="13"/>
      <c r="AR360" s="13"/>
    </row>
    <row r="361" spans="1:44" ht="15.75" customHeight="1">
      <c r="A361" s="9" t="s">
        <v>166</v>
      </c>
      <c r="B361" s="9" t="s">
        <v>166</v>
      </c>
      <c r="C361" s="18" t="s">
        <v>470</v>
      </c>
      <c r="D361" s="11">
        <v>807</v>
      </c>
      <c r="G361" s="11">
        <v>22.4</v>
      </c>
      <c r="H361" s="11">
        <v>3</v>
      </c>
      <c r="I361" s="11">
        <v>7.2</v>
      </c>
      <c r="J361" s="11">
        <v>33.9</v>
      </c>
      <c r="K361" s="11">
        <v>8</v>
      </c>
      <c r="L361" s="11">
        <v>18</v>
      </c>
      <c r="N361" s="11">
        <v>4.2</v>
      </c>
      <c r="O361" s="11">
        <v>1.7</v>
      </c>
      <c r="P361" s="13"/>
      <c r="Q361" s="13"/>
      <c r="R361" s="13"/>
      <c r="S361" s="11">
        <v>702.6</v>
      </c>
      <c r="T361" s="13"/>
      <c r="U361" s="13"/>
      <c r="V361" s="13"/>
      <c r="X361" s="13"/>
      <c r="Y361" s="9"/>
      <c r="Z361" s="13"/>
      <c r="AA361" s="13"/>
      <c r="AB361" s="13"/>
      <c r="AC361" s="13"/>
      <c r="AD361" s="13"/>
      <c r="AE361" s="13"/>
      <c r="AF361" s="13"/>
      <c r="AG361" s="9"/>
      <c r="AJ361" s="11">
        <v>1607.9</v>
      </c>
      <c r="AK361" s="13">
        <v>0</v>
      </c>
      <c r="AL361" s="13">
        <f t="shared" si="9"/>
        <v>1607.9</v>
      </c>
      <c r="AM361" s="23" t="s">
        <v>531</v>
      </c>
      <c r="AN361" s="13"/>
      <c r="AO361" s="13"/>
      <c r="AP361" s="13"/>
      <c r="AQ361" s="13"/>
      <c r="AR361" s="13"/>
    </row>
    <row r="362" spans="1:44" ht="15.75" customHeight="1">
      <c r="A362" s="9" t="s">
        <v>168</v>
      </c>
      <c r="B362" s="9" t="s">
        <v>168</v>
      </c>
      <c r="C362" s="18" t="s">
        <v>470</v>
      </c>
      <c r="D362" s="11">
        <v>2411</v>
      </c>
      <c r="G362" s="11">
        <v>192.9</v>
      </c>
      <c r="H362" s="11">
        <v>6.4</v>
      </c>
      <c r="I362" s="11">
        <v>47.3</v>
      </c>
      <c r="J362" s="11">
        <v>289.89999999999998</v>
      </c>
      <c r="K362" s="11">
        <v>46.8</v>
      </c>
      <c r="L362" s="11">
        <v>74.5</v>
      </c>
      <c r="N362" s="11">
        <v>43.2</v>
      </c>
      <c r="O362" s="11">
        <v>6.4</v>
      </c>
      <c r="P362" s="13"/>
      <c r="Q362" s="13"/>
      <c r="R362" s="13"/>
      <c r="S362" s="11">
        <v>909.2</v>
      </c>
      <c r="T362" s="13"/>
      <c r="U362" s="13"/>
      <c r="V362" s="13"/>
      <c r="X362" s="13"/>
      <c r="Y362" s="9"/>
      <c r="Z362" s="13"/>
      <c r="AA362" s="13"/>
      <c r="AB362" s="13"/>
      <c r="AC362" s="13"/>
      <c r="AD362" s="13"/>
      <c r="AE362" s="13"/>
      <c r="AF362" s="13"/>
      <c r="AG362" s="11">
        <v>611</v>
      </c>
      <c r="AJ362" s="11">
        <v>4638.5</v>
      </c>
      <c r="AK362" s="13">
        <v>0.9</v>
      </c>
      <c r="AL362" s="13">
        <f t="shared" si="9"/>
        <v>4637.6000000000004</v>
      </c>
      <c r="AM362" s="23" t="s">
        <v>532</v>
      </c>
      <c r="AN362" s="13"/>
      <c r="AO362" s="13"/>
      <c r="AP362" s="13"/>
      <c r="AQ362" s="13"/>
      <c r="AR362" s="13"/>
    </row>
    <row r="363" spans="1:44" ht="15.75" customHeight="1">
      <c r="A363" s="9" t="s">
        <v>173</v>
      </c>
      <c r="B363" s="9" t="s">
        <v>173</v>
      </c>
      <c r="C363" s="18" t="s">
        <v>470</v>
      </c>
      <c r="D363" s="11">
        <v>1096.8</v>
      </c>
      <c r="G363" s="11">
        <v>36.700000000000003</v>
      </c>
      <c r="H363" s="11">
        <v>52.1</v>
      </c>
      <c r="I363" s="11">
        <v>25.2</v>
      </c>
      <c r="J363" s="11">
        <v>62.3</v>
      </c>
      <c r="K363" s="11">
        <v>40.299999999999997</v>
      </c>
      <c r="L363" s="11">
        <v>23.4</v>
      </c>
      <c r="N363" s="11">
        <v>74</v>
      </c>
      <c r="O363" s="11">
        <v>23.6</v>
      </c>
      <c r="P363" s="13"/>
      <c r="Q363" s="13"/>
      <c r="R363" s="13"/>
      <c r="S363" s="11">
        <v>796.7</v>
      </c>
      <c r="T363" s="13"/>
      <c r="U363" s="13"/>
      <c r="V363" s="13"/>
      <c r="X363" s="13"/>
      <c r="Y363" s="9"/>
      <c r="Z363" s="13"/>
      <c r="AA363" s="13"/>
      <c r="AB363" s="13"/>
      <c r="AC363" s="13"/>
      <c r="AD363" s="13"/>
      <c r="AE363" s="13"/>
      <c r="AF363" s="13"/>
      <c r="AG363" s="9"/>
      <c r="AJ363" s="11">
        <v>2164.5</v>
      </c>
      <c r="AK363" s="13">
        <v>0</v>
      </c>
      <c r="AL363" s="13">
        <f t="shared" si="9"/>
        <v>2164.5</v>
      </c>
      <c r="AM363" s="23" t="s">
        <v>533</v>
      </c>
      <c r="AN363" s="13"/>
      <c r="AO363" s="13"/>
      <c r="AP363" s="13"/>
      <c r="AQ363" s="13"/>
      <c r="AR363" s="13"/>
    </row>
    <row r="364" spans="1:44" ht="15.75" customHeight="1">
      <c r="A364" s="9" t="s">
        <v>170</v>
      </c>
      <c r="B364" s="9" t="s">
        <v>170</v>
      </c>
      <c r="C364" s="18" t="s">
        <v>470</v>
      </c>
      <c r="D364" s="11">
        <v>3644.4</v>
      </c>
      <c r="G364" s="11">
        <v>1484.3</v>
      </c>
      <c r="H364" s="11">
        <v>906.7</v>
      </c>
      <c r="I364" s="11">
        <v>26.8</v>
      </c>
      <c r="J364" s="11">
        <v>211.3</v>
      </c>
      <c r="K364" s="11">
        <v>83.5</v>
      </c>
      <c r="L364" s="11">
        <v>141.19999999999999</v>
      </c>
      <c r="N364" s="11">
        <v>19.399999999999999</v>
      </c>
      <c r="O364" s="11">
        <v>57.7</v>
      </c>
      <c r="P364" s="13"/>
      <c r="Q364" s="13"/>
      <c r="R364" s="13"/>
      <c r="S364" s="11">
        <v>1346.8</v>
      </c>
      <c r="T364" s="13"/>
      <c r="U364" s="13"/>
      <c r="V364" s="13"/>
      <c r="X364" s="13"/>
      <c r="Y364" s="11">
        <v>5</v>
      </c>
      <c r="Z364" s="13"/>
      <c r="AA364" s="13"/>
      <c r="AB364" s="13"/>
      <c r="AC364" s="13"/>
      <c r="AD364" s="13"/>
      <c r="AE364" s="13"/>
      <c r="AF364" s="13"/>
      <c r="AG364" s="9"/>
      <c r="AJ364" s="11">
        <v>7926.9</v>
      </c>
      <c r="AK364" s="13">
        <v>0</v>
      </c>
      <c r="AL364" s="13">
        <f t="shared" si="9"/>
        <v>7926.9</v>
      </c>
      <c r="AM364" s="23" t="s">
        <v>534</v>
      </c>
      <c r="AN364" s="13"/>
      <c r="AO364" s="13"/>
      <c r="AP364" s="13"/>
      <c r="AQ364" s="13"/>
      <c r="AR364" s="13"/>
    </row>
    <row r="365" spans="1:44" ht="15.75" customHeight="1">
      <c r="A365" s="9" t="s">
        <v>293</v>
      </c>
      <c r="B365" s="9" t="s">
        <v>293</v>
      </c>
      <c r="C365" s="18" t="s">
        <v>470</v>
      </c>
      <c r="D365" s="11">
        <v>9739.7000000000007</v>
      </c>
      <c r="G365" s="11">
        <v>3847.2</v>
      </c>
      <c r="H365" s="11">
        <v>112.8</v>
      </c>
      <c r="I365" s="11">
        <v>94.7</v>
      </c>
      <c r="J365" s="11">
        <v>6.6</v>
      </c>
      <c r="K365" s="11">
        <v>82.3</v>
      </c>
      <c r="L365" s="11">
        <v>145.30000000000001</v>
      </c>
      <c r="N365" s="11">
        <v>54.7</v>
      </c>
      <c r="O365" s="11">
        <v>64.2</v>
      </c>
      <c r="P365" s="13"/>
      <c r="Q365" s="13"/>
      <c r="R365" s="13"/>
      <c r="S365" s="11">
        <v>3715</v>
      </c>
      <c r="T365" s="13"/>
      <c r="U365" s="13"/>
      <c r="V365" s="13"/>
      <c r="X365" s="13"/>
      <c r="Y365" s="11">
        <v>75</v>
      </c>
      <c r="Z365" s="13"/>
      <c r="AA365" s="13"/>
      <c r="AB365" s="13"/>
      <c r="AC365" s="13"/>
      <c r="AD365" s="13"/>
      <c r="AE365" s="13"/>
      <c r="AF365" s="13"/>
      <c r="AG365" s="9"/>
      <c r="AJ365" s="11">
        <v>17937.599999999999</v>
      </c>
      <c r="AK365" s="13">
        <v>0</v>
      </c>
      <c r="AL365" s="13">
        <f t="shared" si="9"/>
        <v>17937.599999999999</v>
      </c>
      <c r="AM365" s="23" t="s">
        <v>535</v>
      </c>
      <c r="AN365" s="13"/>
      <c r="AO365" s="13"/>
      <c r="AP365" s="13"/>
      <c r="AQ365" s="13"/>
      <c r="AR365" s="13"/>
    </row>
    <row r="366" spans="1:44" ht="15.75" customHeight="1">
      <c r="A366" s="9" t="s">
        <v>176</v>
      </c>
      <c r="B366" s="9" t="s">
        <v>176</v>
      </c>
      <c r="C366" s="18" t="s">
        <v>470</v>
      </c>
      <c r="D366" s="11">
        <v>143.19999999999999</v>
      </c>
      <c r="G366" s="11">
        <v>48</v>
      </c>
      <c r="H366" s="11">
        <v>16.8</v>
      </c>
      <c r="I366" s="11">
        <v>5.4</v>
      </c>
      <c r="J366" s="11">
        <v>26.4</v>
      </c>
      <c r="K366" s="11">
        <v>17.8</v>
      </c>
      <c r="L366" s="11">
        <v>97.3</v>
      </c>
      <c r="N366" s="11">
        <v>6.5</v>
      </c>
      <c r="O366" s="11">
        <v>0.2</v>
      </c>
      <c r="P366" s="13"/>
      <c r="Q366" s="13"/>
      <c r="R366" s="13"/>
      <c r="S366" s="11">
        <v>113.1</v>
      </c>
      <c r="T366" s="13"/>
      <c r="U366" s="13"/>
      <c r="V366" s="13"/>
      <c r="X366" s="13"/>
      <c r="Y366" s="9"/>
      <c r="Z366" s="13"/>
      <c r="AA366" s="13"/>
      <c r="AB366" s="13"/>
      <c r="AC366" s="13"/>
      <c r="AD366" s="13"/>
      <c r="AE366" s="13"/>
      <c r="AF366" s="13"/>
      <c r="AG366" s="9"/>
      <c r="AJ366" s="11">
        <v>474.6</v>
      </c>
      <c r="AK366" s="13">
        <v>0</v>
      </c>
      <c r="AL366" s="13">
        <f t="shared" si="9"/>
        <v>474.6</v>
      </c>
      <c r="AM366" s="23" t="s">
        <v>536</v>
      </c>
      <c r="AN366" s="13"/>
      <c r="AO366" s="13"/>
      <c r="AP366" s="13"/>
      <c r="AQ366" s="13"/>
      <c r="AR366" s="13"/>
    </row>
    <row r="367" spans="1:44" ht="15.75" customHeight="1">
      <c r="A367" s="9" t="s">
        <v>178</v>
      </c>
      <c r="B367" s="9" t="s">
        <v>178</v>
      </c>
      <c r="C367" s="18" t="s">
        <v>470</v>
      </c>
      <c r="D367" s="11">
        <v>185.1</v>
      </c>
      <c r="G367" s="11">
        <v>7.9</v>
      </c>
      <c r="H367" s="11">
        <v>2.5</v>
      </c>
      <c r="I367" s="11">
        <v>4.2</v>
      </c>
      <c r="J367" s="11">
        <v>50.2</v>
      </c>
      <c r="K367" s="11">
        <v>3</v>
      </c>
      <c r="L367" s="11">
        <v>12.6</v>
      </c>
      <c r="N367" s="11">
        <v>4.5999999999999996</v>
      </c>
      <c r="O367" s="11">
        <v>0.7</v>
      </c>
      <c r="P367" s="13"/>
      <c r="Q367" s="13"/>
      <c r="R367" s="13"/>
      <c r="S367" s="11">
        <v>93.8</v>
      </c>
      <c r="T367" s="13"/>
      <c r="U367" s="13"/>
      <c r="V367" s="13"/>
      <c r="X367" s="13"/>
      <c r="Y367" s="9"/>
      <c r="Z367" s="13"/>
      <c r="AA367" s="13"/>
      <c r="AB367" s="13"/>
      <c r="AC367" s="13"/>
      <c r="AD367" s="13"/>
      <c r="AE367" s="13"/>
      <c r="AF367" s="13"/>
      <c r="AG367" s="9"/>
      <c r="AJ367" s="11">
        <v>364.6</v>
      </c>
      <c r="AK367" s="13">
        <v>7.1</v>
      </c>
      <c r="AL367" s="13">
        <f t="shared" si="9"/>
        <v>357.5</v>
      </c>
      <c r="AM367" s="23" t="s">
        <v>537</v>
      </c>
      <c r="AN367" s="13"/>
      <c r="AO367" s="13"/>
      <c r="AP367" s="13"/>
      <c r="AQ367" s="13"/>
      <c r="AR367" s="13"/>
    </row>
    <row r="368" spans="1:44" ht="15.75" customHeight="1">
      <c r="A368" s="9" t="s">
        <v>181</v>
      </c>
      <c r="B368" s="9" t="s">
        <v>181</v>
      </c>
      <c r="C368" s="18" t="s">
        <v>470</v>
      </c>
      <c r="D368" s="11">
        <v>1578.2</v>
      </c>
      <c r="G368" s="11">
        <v>75.2</v>
      </c>
      <c r="H368" s="11">
        <v>9.1999999999999993</v>
      </c>
      <c r="I368" s="11">
        <v>33.700000000000003</v>
      </c>
      <c r="J368" s="11">
        <v>15.1</v>
      </c>
      <c r="K368" s="11">
        <v>39.9</v>
      </c>
      <c r="L368" s="11">
        <v>119</v>
      </c>
      <c r="N368" s="11">
        <v>11.8</v>
      </c>
      <c r="O368" s="11">
        <v>5.7</v>
      </c>
      <c r="P368" s="13"/>
      <c r="Q368" s="13"/>
      <c r="R368" s="13"/>
      <c r="S368" s="11">
        <v>333.3</v>
      </c>
      <c r="T368" s="13"/>
      <c r="U368" s="13"/>
      <c r="V368" s="13"/>
      <c r="X368" s="13"/>
      <c r="Y368" s="9"/>
      <c r="Z368" s="13"/>
      <c r="AA368" s="13"/>
      <c r="AB368" s="13"/>
      <c r="AC368" s="13"/>
      <c r="AD368" s="13"/>
      <c r="AE368" s="13"/>
      <c r="AF368" s="13"/>
      <c r="AG368" s="9"/>
      <c r="AJ368" s="11">
        <v>2221.1</v>
      </c>
      <c r="AK368" s="13">
        <v>0.2</v>
      </c>
      <c r="AL368" s="13">
        <f t="shared" si="9"/>
        <v>2220.9</v>
      </c>
      <c r="AM368" s="23" t="s">
        <v>538</v>
      </c>
      <c r="AN368" s="13"/>
      <c r="AO368" s="13"/>
      <c r="AP368" s="13"/>
      <c r="AQ368" s="13"/>
      <c r="AR368" s="13"/>
    </row>
    <row r="369" spans="1:44" ht="15.75" customHeight="1">
      <c r="A369" s="9" t="s">
        <v>183</v>
      </c>
      <c r="B369" s="9" t="s">
        <v>183</v>
      </c>
      <c r="C369" s="18" t="s">
        <v>470</v>
      </c>
      <c r="D369" s="11">
        <v>223.8</v>
      </c>
      <c r="G369" s="11">
        <v>9.1</v>
      </c>
      <c r="H369" s="11">
        <v>0</v>
      </c>
      <c r="I369" s="11">
        <v>1</v>
      </c>
      <c r="J369" s="11">
        <v>46.6</v>
      </c>
      <c r="K369" s="11">
        <v>6.1</v>
      </c>
      <c r="L369" s="11">
        <v>23.9</v>
      </c>
      <c r="N369" s="11">
        <v>2</v>
      </c>
      <c r="O369" s="11">
        <v>3.7</v>
      </c>
      <c r="P369" s="13"/>
      <c r="Q369" s="13"/>
      <c r="R369" s="13"/>
      <c r="S369" s="11">
        <v>102</v>
      </c>
      <c r="T369" s="13"/>
      <c r="U369" s="13"/>
      <c r="V369" s="13"/>
      <c r="X369" s="13"/>
      <c r="Y369" s="9"/>
      <c r="Z369" s="13"/>
      <c r="AA369" s="13"/>
      <c r="AB369" s="13"/>
      <c r="AC369" s="13"/>
      <c r="AD369" s="13"/>
      <c r="AE369" s="13"/>
      <c r="AF369" s="13"/>
      <c r="AG369" s="9"/>
      <c r="AJ369" s="11">
        <v>418.2</v>
      </c>
      <c r="AK369" s="13">
        <v>0</v>
      </c>
      <c r="AL369" s="13">
        <f t="shared" si="9"/>
        <v>418.2</v>
      </c>
      <c r="AM369" s="23" t="s">
        <v>539</v>
      </c>
      <c r="AN369" s="13"/>
      <c r="AO369" s="13"/>
      <c r="AP369" s="13"/>
      <c r="AQ369" s="13"/>
      <c r="AR369" s="13"/>
    </row>
    <row r="370" spans="1:44" ht="15.75" customHeight="1">
      <c r="A370" s="9" t="s">
        <v>185</v>
      </c>
      <c r="B370" s="9" t="s">
        <v>185</v>
      </c>
      <c r="C370" s="18" t="s">
        <v>470</v>
      </c>
      <c r="D370" s="11">
        <v>254512</v>
      </c>
      <c r="G370" s="11">
        <v>46.5</v>
      </c>
      <c r="H370" s="11">
        <v>7</v>
      </c>
      <c r="I370" s="11">
        <v>6.6</v>
      </c>
      <c r="J370" s="11">
        <v>30.8</v>
      </c>
      <c r="K370" s="11">
        <v>430.2</v>
      </c>
      <c r="L370" s="11">
        <v>29.4</v>
      </c>
      <c r="N370" s="11">
        <v>34.700000000000003</v>
      </c>
      <c r="O370" s="11">
        <v>25.4</v>
      </c>
      <c r="P370" s="13"/>
      <c r="Q370" s="13"/>
      <c r="R370" s="13"/>
      <c r="S370" s="11">
        <v>626.70000000000005</v>
      </c>
      <c r="T370" s="13"/>
      <c r="U370" s="13"/>
      <c r="V370" s="13"/>
      <c r="X370" s="13"/>
      <c r="Y370" s="9"/>
      <c r="Z370" s="13"/>
      <c r="AA370" s="13"/>
      <c r="AB370" s="13"/>
      <c r="AC370" s="13"/>
      <c r="AD370" s="13"/>
      <c r="AE370" s="13"/>
      <c r="AF370" s="13"/>
      <c r="AG370" s="11">
        <v>37.799999999999997</v>
      </c>
      <c r="AJ370" s="11">
        <v>255787.1</v>
      </c>
      <c r="AK370" s="13">
        <v>610</v>
      </c>
      <c r="AL370" s="13">
        <f t="shared" ref="AL370:AL401" si="10">AJ370-AK370</f>
        <v>255177.1</v>
      </c>
      <c r="AM370" s="23" t="s">
        <v>540</v>
      </c>
      <c r="AN370" s="13"/>
      <c r="AO370" s="13"/>
      <c r="AP370" s="13"/>
      <c r="AQ370" s="13"/>
      <c r="AR370" s="13"/>
    </row>
    <row r="371" spans="1:44" ht="15.75" customHeight="1">
      <c r="A371" s="9" t="s">
        <v>187</v>
      </c>
      <c r="B371" s="9" t="s">
        <v>187</v>
      </c>
      <c r="C371" s="18" t="s">
        <v>470</v>
      </c>
      <c r="D371" s="11">
        <v>309.8</v>
      </c>
      <c r="G371" s="11">
        <v>30.8</v>
      </c>
      <c r="H371" s="11">
        <v>0.2</v>
      </c>
      <c r="I371" s="11">
        <v>2.2999999999999998</v>
      </c>
      <c r="J371" s="11">
        <v>99.5</v>
      </c>
      <c r="K371" s="11">
        <v>3.7</v>
      </c>
      <c r="L371" s="11">
        <v>20</v>
      </c>
      <c r="N371" s="11">
        <v>4.7</v>
      </c>
      <c r="O371" s="11">
        <v>0.7</v>
      </c>
      <c r="P371" s="13"/>
      <c r="Q371" s="13"/>
      <c r="R371" s="13"/>
      <c r="S371" s="9">
        <v>147.4</v>
      </c>
      <c r="T371" s="13"/>
      <c r="U371" s="13"/>
      <c r="V371" s="13"/>
      <c r="X371" s="13"/>
      <c r="Y371" s="9"/>
      <c r="Z371" s="13"/>
      <c r="AA371" s="13"/>
      <c r="AB371" s="13"/>
      <c r="AC371" s="13"/>
      <c r="AD371" s="13"/>
      <c r="AE371" s="13"/>
      <c r="AF371" s="13"/>
      <c r="AG371" s="11">
        <v>5</v>
      </c>
      <c r="AJ371" s="11">
        <v>624</v>
      </c>
      <c r="AK371" s="13">
        <v>0</v>
      </c>
      <c r="AL371" s="13">
        <f t="shared" si="10"/>
        <v>624</v>
      </c>
      <c r="AM371" s="23" t="s">
        <v>541</v>
      </c>
      <c r="AN371" s="13"/>
      <c r="AO371" s="13"/>
      <c r="AP371" s="13"/>
      <c r="AQ371" s="13"/>
      <c r="AR371" s="13"/>
    </row>
    <row r="372" spans="1:44" ht="15.75" customHeight="1">
      <c r="A372" s="9" t="s">
        <v>188</v>
      </c>
      <c r="B372" s="9" t="s">
        <v>188</v>
      </c>
      <c r="C372" s="18" t="s">
        <v>470</v>
      </c>
      <c r="D372" s="11">
        <v>3537.1</v>
      </c>
      <c r="G372" s="11">
        <v>546.1</v>
      </c>
      <c r="H372" s="11">
        <v>18</v>
      </c>
      <c r="I372" s="11">
        <v>13.1</v>
      </c>
      <c r="J372" s="11">
        <v>218.4</v>
      </c>
      <c r="K372" s="11">
        <v>28.6</v>
      </c>
      <c r="L372" s="11">
        <v>24.3</v>
      </c>
      <c r="N372" s="11">
        <v>27.1</v>
      </c>
      <c r="O372" s="11">
        <v>50.5</v>
      </c>
      <c r="P372" s="13"/>
      <c r="Q372" s="13"/>
      <c r="R372" s="13"/>
      <c r="S372" s="11">
        <v>819.7</v>
      </c>
      <c r="T372" s="13"/>
      <c r="U372" s="13"/>
      <c r="V372" s="13"/>
      <c r="X372" s="13"/>
      <c r="Y372" s="9"/>
      <c r="Z372" s="13"/>
      <c r="AA372" s="13"/>
      <c r="AB372" s="13"/>
      <c r="AC372" s="13"/>
      <c r="AD372" s="13"/>
      <c r="AE372" s="13"/>
      <c r="AF372" s="13"/>
      <c r="AG372" s="9"/>
      <c r="AJ372" s="11">
        <v>5282.9</v>
      </c>
      <c r="AK372" s="13">
        <v>150.30000000000001</v>
      </c>
      <c r="AL372" s="13">
        <f t="shared" si="10"/>
        <v>5132.5999999999995</v>
      </c>
      <c r="AM372" s="23" t="s">
        <v>542</v>
      </c>
      <c r="AN372" s="13"/>
      <c r="AO372" s="13"/>
      <c r="AP372" s="13"/>
      <c r="AQ372" s="13"/>
      <c r="AR372" s="13"/>
    </row>
    <row r="373" spans="1:44" ht="15.75" customHeight="1">
      <c r="A373" s="9" t="s">
        <v>190</v>
      </c>
      <c r="B373" s="9" t="s">
        <v>190</v>
      </c>
      <c r="C373" s="18" t="s">
        <v>470</v>
      </c>
      <c r="D373" s="11">
        <v>304.2</v>
      </c>
      <c r="G373" s="11">
        <v>9.3000000000000007</v>
      </c>
      <c r="H373" s="11">
        <v>0</v>
      </c>
      <c r="I373" s="11">
        <v>60.7</v>
      </c>
      <c r="J373" s="11">
        <v>2.1</v>
      </c>
      <c r="K373" s="11">
        <v>2.9</v>
      </c>
      <c r="L373" s="11">
        <v>8.8000000000000007</v>
      </c>
      <c r="N373" s="11">
        <v>5.5</v>
      </c>
      <c r="O373" s="11">
        <v>1.7</v>
      </c>
      <c r="P373" s="13"/>
      <c r="Q373" s="13"/>
      <c r="R373" s="13"/>
      <c r="S373" s="11">
        <v>202</v>
      </c>
      <c r="T373" s="13"/>
      <c r="U373" s="13"/>
      <c r="V373" s="13"/>
      <c r="X373" s="13"/>
      <c r="Y373" s="9"/>
      <c r="Z373" s="13"/>
      <c r="AA373" s="13"/>
      <c r="AB373" s="13"/>
      <c r="AC373" s="13"/>
      <c r="AD373" s="13"/>
      <c r="AE373" s="13"/>
      <c r="AF373" s="13"/>
      <c r="AG373" s="11">
        <v>0.7</v>
      </c>
      <c r="AJ373" s="11">
        <v>597.9</v>
      </c>
      <c r="AK373" s="13">
        <v>0</v>
      </c>
      <c r="AL373" s="13">
        <f t="shared" si="10"/>
        <v>597.9</v>
      </c>
      <c r="AM373" s="23" t="s">
        <v>543</v>
      </c>
      <c r="AN373" s="13"/>
      <c r="AO373" s="13"/>
      <c r="AP373" s="13"/>
      <c r="AQ373" s="13"/>
      <c r="AR373" s="13"/>
    </row>
    <row r="374" spans="1:44" ht="15.75" customHeight="1">
      <c r="A374" s="9" t="s">
        <v>192</v>
      </c>
      <c r="B374" s="9" t="s">
        <v>192</v>
      </c>
      <c r="C374" s="18" t="s">
        <v>470</v>
      </c>
      <c r="D374" s="11">
        <v>297.39999999999998</v>
      </c>
      <c r="G374" s="11">
        <v>15.6</v>
      </c>
      <c r="H374" s="11">
        <v>6.6</v>
      </c>
      <c r="I374" s="11">
        <v>3</v>
      </c>
      <c r="J374" s="11">
        <v>46.4</v>
      </c>
      <c r="K374" s="11">
        <v>5.6</v>
      </c>
      <c r="L374" s="11">
        <v>6.4</v>
      </c>
      <c r="N374" s="11">
        <v>4.5</v>
      </c>
      <c r="O374" s="11">
        <v>2</v>
      </c>
      <c r="P374" s="13"/>
      <c r="Q374" s="13"/>
      <c r="R374" s="13"/>
      <c r="S374" s="11">
        <v>134.19999999999999</v>
      </c>
      <c r="T374" s="13"/>
      <c r="U374" s="13"/>
      <c r="V374" s="13"/>
      <c r="X374" s="13"/>
      <c r="Y374" s="9"/>
      <c r="Z374" s="13"/>
      <c r="AA374" s="13"/>
      <c r="AB374" s="13"/>
      <c r="AC374" s="13"/>
      <c r="AD374" s="13"/>
      <c r="AE374" s="13"/>
      <c r="AF374" s="13"/>
      <c r="AG374" s="11">
        <v>1.7</v>
      </c>
      <c r="AJ374" s="11">
        <v>523.29999999999995</v>
      </c>
      <c r="AK374" s="13">
        <v>0</v>
      </c>
      <c r="AL374" s="13">
        <f t="shared" si="10"/>
        <v>523.29999999999995</v>
      </c>
      <c r="AM374" s="23" t="s">
        <v>544</v>
      </c>
      <c r="AN374" s="13"/>
      <c r="AO374" s="13"/>
      <c r="AP374" s="13"/>
      <c r="AQ374" s="13"/>
      <c r="AR374" s="13"/>
    </row>
    <row r="375" spans="1:44" ht="15.75" customHeight="1">
      <c r="A375" s="9" t="s">
        <v>305</v>
      </c>
      <c r="B375" s="9" t="s">
        <v>305</v>
      </c>
      <c r="C375" s="18" t="s">
        <v>470</v>
      </c>
      <c r="D375" s="11">
        <v>207.4</v>
      </c>
      <c r="G375" s="11">
        <v>24.2</v>
      </c>
      <c r="H375" s="11">
        <v>8.5</v>
      </c>
      <c r="I375" s="11">
        <v>6.3</v>
      </c>
      <c r="J375" s="11">
        <v>40.1</v>
      </c>
      <c r="K375" s="11">
        <v>8.1</v>
      </c>
      <c r="L375" s="11">
        <v>3.5</v>
      </c>
      <c r="N375" s="11">
        <v>2.2999999999999998</v>
      </c>
      <c r="O375" s="11">
        <v>1.1000000000000001</v>
      </c>
      <c r="P375" s="13"/>
      <c r="Q375" s="13"/>
      <c r="R375" s="13"/>
      <c r="S375" s="11">
        <v>66.900000000000006</v>
      </c>
      <c r="T375" s="13"/>
      <c r="U375" s="13"/>
      <c r="V375" s="13"/>
      <c r="X375" s="13"/>
      <c r="Y375" s="9"/>
      <c r="Z375" s="13"/>
      <c r="AA375" s="13"/>
      <c r="AB375" s="13"/>
      <c r="AC375" s="13"/>
      <c r="AD375" s="13"/>
      <c r="AE375" s="13"/>
      <c r="AF375" s="13"/>
      <c r="AG375" s="9"/>
      <c r="AJ375" s="11">
        <v>368.4</v>
      </c>
      <c r="AK375" s="13">
        <v>0</v>
      </c>
      <c r="AL375" s="13">
        <f t="shared" si="10"/>
        <v>368.4</v>
      </c>
      <c r="AM375" s="23" t="s">
        <v>545</v>
      </c>
      <c r="AN375" s="13"/>
      <c r="AO375" s="13"/>
      <c r="AP375" s="13"/>
      <c r="AQ375" s="13"/>
      <c r="AR375" s="13"/>
    </row>
    <row r="376" spans="1:44" ht="15.75" customHeight="1">
      <c r="A376" s="9" t="s">
        <v>389</v>
      </c>
      <c r="B376" s="9" t="s">
        <v>195</v>
      </c>
      <c r="C376" s="18" t="s">
        <v>470</v>
      </c>
      <c r="D376" s="11">
        <v>448.5</v>
      </c>
      <c r="G376" s="11">
        <v>31.2</v>
      </c>
      <c r="H376" s="11">
        <v>2.4</v>
      </c>
      <c r="I376" s="11">
        <v>7.3</v>
      </c>
      <c r="J376" s="11">
        <v>73.5</v>
      </c>
      <c r="K376" s="11">
        <v>3.4</v>
      </c>
      <c r="L376" s="11">
        <v>12.2</v>
      </c>
      <c r="N376" s="11">
        <v>8.1999999999999993</v>
      </c>
      <c r="O376" s="11">
        <v>3.1</v>
      </c>
      <c r="P376" s="13"/>
      <c r="Q376" s="13"/>
      <c r="R376" s="13"/>
      <c r="S376" s="11">
        <v>197</v>
      </c>
      <c r="T376" s="13"/>
      <c r="U376" s="13"/>
      <c r="V376" s="13"/>
      <c r="X376" s="13"/>
      <c r="Y376" s="9"/>
      <c r="Z376" s="13"/>
      <c r="AA376" s="13"/>
      <c r="AB376" s="13"/>
      <c r="AC376" s="13"/>
      <c r="AD376" s="13"/>
      <c r="AE376" s="13"/>
      <c r="AF376" s="13"/>
      <c r="AG376" s="9"/>
      <c r="AJ376" s="11">
        <v>786.8</v>
      </c>
      <c r="AK376" s="13">
        <v>0</v>
      </c>
      <c r="AL376" s="13">
        <f t="shared" si="10"/>
        <v>786.8</v>
      </c>
      <c r="AM376" s="23" t="s">
        <v>546</v>
      </c>
      <c r="AN376" s="13"/>
      <c r="AO376" s="13"/>
      <c r="AP376" s="13"/>
      <c r="AQ376" s="13"/>
      <c r="AR376" s="13"/>
    </row>
    <row r="377" spans="1:44" ht="15.75" customHeight="1">
      <c r="A377" s="10" t="s">
        <v>196</v>
      </c>
      <c r="B377" s="9" t="s">
        <v>196</v>
      </c>
      <c r="C377" s="17"/>
      <c r="D377" s="17">
        <f>SUM(D306:D376)</f>
        <v>445562.80000000005</v>
      </c>
      <c r="E377" s="17" t="s">
        <v>547</v>
      </c>
      <c r="F377" s="17"/>
      <c r="G377" s="17">
        <f t="shared" ref="G377:L377" si="11">SUM(G306:G376)</f>
        <v>10782.900000000001</v>
      </c>
      <c r="H377" s="17">
        <f t="shared" si="11"/>
        <v>3913.7</v>
      </c>
      <c r="I377" s="17">
        <f t="shared" si="11"/>
        <v>1936.1000000000001</v>
      </c>
      <c r="J377" s="17">
        <f t="shared" si="11"/>
        <v>7333.5</v>
      </c>
      <c r="K377" s="17">
        <f t="shared" si="11"/>
        <v>2617.6</v>
      </c>
      <c r="L377" s="17">
        <f t="shared" si="11"/>
        <v>6438.7999999999993</v>
      </c>
      <c r="M377" s="17"/>
      <c r="N377" s="17">
        <f>SUM(N306:N376)</f>
        <v>1542.6000000000001</v>
      </c>
      <c r="O377" s="17">
        <f>SUM(O306:O376)</f>
        <v>1041.2</v>
      </c>
      <c r="P377" s="17"/>
      <c r="Q377" s="17"/>
      <c r="R377" s="17"/>
      <c r="S377" s="17">
        <f>SUM(S306:S376)</f>
        <v>324574.69999999995</v>
      </c>
      <c r="T377" s="17"/>
      <c r="U377" s="17"/>
      <c r="V377" s="17"/>
      <c r="X377" s="17"/>
      <c r="Y377" s="17">
        <f>SUM(Y306:Y376)</f>
        <v>305376.19999999995</v>
      </c>
      <c r="Z377" s="17"/>
      <c r="AA377" s="17"/>
      <c r="AB377" s="17"/>
      <c r="AC377" s="17"/>
      <c r="AD377" s="17"/>
      <c r="AE377" s="17"/>
      <c r="AF377" s="17"/>
      <c r="AG377" s="17">
        <f>SUM(AG306:AG376)</f>
        <v>1312.2</v>
      </c>
      <c r="AJ377" s="17">
        <f>SUM(AJ306:AJ376)</f>
        <v>1111963.0999999999</v>
      </c>
      <c r="AK377" s="17">
        <f>SUM(AK306:AK376)</f>
        <v>86286.700000000055</v>
      </c>
      <c r="AL377" s="17">
        <f>SUM(AL306:AL376)</f>
        <v>1025676.3999999999</v>
      </c>
      <c r="AM377" s="23" t="s">
        <v>548</v>
      </c>
      <c r="AN377" s="13"/>
      <c r="AO377" s="13"/>
      <c r="AP377" s="13"/>
      <c r="AQ377" s="13"/>
      <c r="AR377" s="13"/>
    </row>
    <row r="378" spans="1:44" ht="15.75" customHeight="1">
      <c r="A378" s="9" t="s">
        <v>469</v>
      </c>
      <c r="B378" s="9" t="s">
        <v>39</v>
      </c>
      <c r="C378" s="18" t="s">
        <v>549</v>
      </c>
      <c r="D378" s="11">
        <v>1923.6</v>
      </c>
      <c r="G378" s="11">
        <v>704.4</v>
      </c>
      <c r="H378" s="11">
        <v>196.6</v>
      </c>
      <c r="I378" s="11">
        <v>51.7</v>
      </c>
      <c r="J378" s="11">
        <v>167.6</v>
      </c>
      <c r="K378" s="11">
        <v>44.5</v>
      </c>
      <c r="L378" s="11">
        <v>2051</v>
      </c>
      <c r="N378" s="11">
        <v>147</v>
      </c>
      <c r="O378" s="11">
        <v>87.7</v>
      </c>
      <c r="P378" s="9"/>
      <c r="Q378" s="9"/>
      <c r="S378" s="11">
        <v>2607.6</v>
      </c>
      <c r="T378" s="13"/>
      <c r="U378" s="13"/>
      <c r="V378" s="13"/>
      <c r="X378" s="13"/>
      <c r="Y378" s="11">
        <v>277.5</v>
      </c>
      <c r="Z378" s="13"/>
      <c r="AA378" s="13"/>
      <c r="AB378" s="13"/>
      <c r="AC378" s="13"/>
      <c r="AD378" s="13"/>
      <c r="AE378" s="13"/>
      <c r="AF378" s="13"/>
      <c r="AG378" s="11">
        <v>14.9</v>
      </c>
      <c r="AJ378" s="11">
        <v>8273.9</v>
      </c>
      <c r="AK378" s="24">
        <v>0</v>
      </c>
      <c r="AL378" s="13">
        <f t="shared" ref="AL378:AL409" si="12">AJ378-AK378</f>
        <v>8273.9</v>
      </c>
      <c r="AM378" s="23" t="s">
        <v>550</v>
      </c>
      <c r="AN378" s="13"/>
      <c r="AO378" s="13"/>
      <c r="AP378" s="13"/>
      <c r="AQ378" s="13"/>
      <c r="AR378" s="13"/>
    </row>
    <row r="379" spans="1:44" ht="15.75" customHeight="1">
      <c r="A379" s="9" t="s">
        <v>202</v>
      </c>
      <c r="B379" s="9" t="s">
        <v>202</v>
      </c>
      <c r="C379" s="18" t="s">
        <v>549</v>
      </c>
      <c r="D379" s="11">
        <v>81620.100000000006</v>
      </c>
      <c r="G379" s="11">
        <v>1336</v>
      </c>
      <c r="H379" s="11">
        <v>36.5</v>
      </c>
      <c r="I379" s="11">
        <v>385.4</v>
      </c>
      <c r="J379" s="11">
        <v>1029.9000000000001</v>
      </c>
      <c r="K379" s="11">
        <v>601.1</v>
      </c>
      <c r="L379" s="11">
        <v>3784.3</v>
      </c>
      <c r="N379" s="11">
        <v>506.6</v>
      </c>
      <c r="O379" s="11">
        <v>223.9</v>
      </c>
      <c r="P379" s="9"/>
      <c r="Q379" s="9"/>
      <c r="S379" s="11">
        <v>32752.3</v>
      </c>
      <c r="T379" s="13"/>
      <c r="U379" s="13"/>
      <c r="V379" s="13"/>
      <c r="X379" s="13"/>
      <c r="Y379" s="11">
        <v>649</v>
      </c>
      <c r="Z379" s="13"/>
      <c r="AA379" s="13"/>
      <c r="AB379" s="13"/>
      <c r="AC379" s="13"/>
      <c r="AD379" s="13"/>
      <c r="AE379" s="13"/>
      <c r="AF379" s="13"/>
      <c r="AG379" s="9"/>
      <c r="AJ379" s="11">
        <v>122925.2</v>
      </c>
      <c r="AK379" s="24">
        <v>51.1</v>
      </c>
      <c r="AL379" s="13">
        <f t="shared" si="12"/>
        <v>122874.09999999999</v>
      </c>
      <c r="AM379" s="23" t="s">
        <v>551</v>
      </c>
      <c r="AN379" s="18"/>
      <c r="AO379" s="18"/>
      <c r="AP379" s="18"/>
      <c r="AQ379" s="18"/>
      <c r="AR379" s="13"/>
    </row>
    <row r="380" spans="1:44" ht="15.75" customHeight="1">
      <c r="A380" s="9" t="s">
        <v>54</v>
      </c>
      <c r="B380" s="9" t="s">
        <v>54</v>
      </c>
      <c r="C380" s="18" t="s">
        <v>549</v>
      </c>
      <c r="D380" s="11">
        <v>16830.8</v>
      </c>
      <c r="G380" s="11">
        <v>94.1</v>
      </c>
      <c r="H380" s="11">
        <v>5.2</v>
      </c>
      <c r="I380" s="11">
        <v>1.7</v>
      </c>
      <c r="J380" s="11">
        <v>93.3</v>
      </c>
      <c r="K380" s="11">
        <v>8</v>
      </c>
      <c r="L380" s="11">
        <v>13.5</v>
      </c>
      <c r="N380" s="11">
        <v>60.3</v>
      </c>
      <c r="O380" s="11">
        <v>1</v>
      </c>
      <c r="P380" s="9"/>
      <c r="Q380" s="9"/>
      <c r="S380" s="11">
        <v>4430.5</v>
      </c>
      <c r="T380" s="13"/>
      <c r="U380" s="13"/>
      <c r="V380" s="13"/>
      <c r="X380" s="13"/>
      <c r="Y380" s="11">
        <v>333.5</v>
      </c>
      <c r="Z380" s="13"/>
      <c r="AA380" s="13"/>
      <c r="AB380" s="13"/>
      <c r="AC380" s="13"/>
      <c r="AD380" s="13"/>
      <c r="AE380" s="13"/>
      <c r="AF380" s="13"/>
      <c r="AG380" s="9"/>
      <c r="AJ380" s="11">
        <v>21871.8</v>
      </c>
      <c r="AK380" s="24">
        <v>0</v>
      </c>
      <c r="AL380" s="13">
        <f t="shared" si="12"/>
        <v>21871.8</v>
      </c>
      <c r="AM380" s="23" t="s">
        <v>552</v>
      </c>
      <c r="AN380" s="13"/>
      <c r="AO380" s="13"/>
      <c r="AP380" s="13"/>
      <c r="AQ380" s="13"/>
      <c r="AR380" s="13"/>
    </row>
    <row r="381" spans="1:44" ht="15.75" customHeight="1">
      <c r="A381" s="9" t="s">
        <v>56</v>
      </c>
      <c r="B381" s="9" t="s">
        <v>56</v>
      </c>
      <c r="C381" s="18" t="s">
        <v>549</v>
      </c>
      <c r="D381" s="11">
        <v>1141</v>
      </c>
      <c r="G381" s="11">
        <v>113.2</v>
      </c>
      <c r="H381" s="11">
        <v>33.1</v>
      </c>
      <c r="I381" s="11">
        <v>4.5999999999999996</v>
      </c>
      <c r="J381" s="11">
        <v>42.6</v>
      </c>
      <c r="K381" s="11">
        <v>69.8</v>
      </c>
      <c r="L381" s="11">
        <v>24.6</v>
      </c>
      <c r="N381" s="11">
        <v>17.5</v>
      </c>
      <c r="O381" s="11">
        <v>55</v>
      </c>
      <c r="P381" s="9"/>
      <c r="Q381" s="9"/>
      <c r="S381" s="11">
        <v>608.6</v>
      </c>
      <c r="T381" s="13"/>
      <c r="U381" s="13"/>
      <c r="V381" s="13"/>
      <c r="X381" s="13"/>
      <c r="Y381" s="9"/>
      <c r="Z381" s="13"/>
      <c r="AA381" s="13"/>
      <c r="AB381" s="13"/>
      <c r="AC381" s="13"/>
      <c r="AD381" s="13"/>
      <c r="AE381" s="13"/>
      <c r="AF381" s="13"/>
      <c r="AG381" s="9"/>
      <c r="AJ381" s="11">
        <v>2110.1999999999998</v>
      </c>
      <c r="AK381" s="24">
        <v>0</v>
      </c>
      <c r="AL381" s="13">
        <f t="shared" si="12"/>
        <v>2110.1999999999998</v>
      </c>
      <c r="AM381" s="23" t="s">
        <v>553</v>
      </c>
      <c r="AN381" s="9"/>
      <c r="AO381" s="9"/>
      <c r="AP381" s="13"/>
      <c r="AQ381" s="13"/>
      <c r="AR381" s="13"/>
    </row>
    <row r="382" spans="1:44" ht="15.75" customHeight="1">
      <c r="A382" s="9" t="s">
        <v>207</v>
      </c>
      <c r="B382" s="9" t="s">
        <v>207</v>
      </c>
      <c r="C382" s="18" t="s">
        <v>549</v>
      </c>
      <c r="D382" s="11">
        <v>246.7</v>
      </c>
      <c r="G382" s="11">
        <v>58.4</v>
      </c>
      <c r="H382" s="11">
        <v>3.4</v>
      </c>
      <c r="I382" s="11">
        <v>2.8</v>
      </c>
      <c r="J382" s="11">
        <v>71.900000000000006</v>
      </c>
      <c r="K382" s="11">
        <v>10.8</v>
      </c>
      <c r="L382" s="11">
        <v>81</v>
      </c>
      <c r="N382" s="11">
        <v>15.9</v>
      </c>
      <c r="O382" s="11">
        <v>2.8</v>
      </c>
      <c r="P382" s="9"/>
      <c r="Q382" s="9"/>
      <c r="S382" s="11">
        <v>3039.7</v>
      </c>
      <c r="T382" s="13"/>
      <c r="U382" s="13"/>
      <c r="V382" s="13"/>
      <c r="X382" s="13"/>
      <c r="Y382" s="11">
        <v>545.9</v>
      </c>
      <c r="Z382" s="13"/>
      <c r="AA382" s="13"/>
      <c r="AB382" s="13"/>
      <c r="AC382" s="13"/>
      <c r="AD382" s="13"/>
      <c r="AE382" s="13"/>
      <c r="AF382" s="13"/>
      <c r="AG382" s="9" t="s">
        <v>41</v>
      </c>
      <c r="AJ382" s="11">
        <v>4079.4</v>
      </c>
      <c r="AK382" s="24">
        <v>0</v>
      </c>
      <c r="AL382" s="13">
        <f t="shared" si="12"/>
        <v>4079.4</v>
      </c>
      <c r="AM382" s="23" t="s">
        <v>554</v>
      </c>
      <c r="AN382" s="9"/>
      <c r="AO382" s="9"/>
      <c r="AP382" s="13"/>
      <c r="AQ382" s="13"/>
      <c r="AR382" s="13"/>
    </row>
    <row r="383" spans="1:44" ht="15.75" customHeight="1">
      <c r="A383" s="9" t="s">
        <v>209</v>
      </c>
      <c r="B383" s="9" t="s">
        <v>209</v>
      </c>
      <c r="C383" s="18" t="s">
        <v>549</v>
      </c>
      <c r="D383" s="11">
        <v>154.6</v>
      </c>
      <c r="G383" s="11">
        <v>34.700000000000003</v>
      </c>
      <c r="H383" s="11">
        <v>6</v>
      </c>
      <c r="I383" s="11">
        <v>2.1</v>
      </c>
      <c r="J383" s="11">
        <v>76.900000000000006</v>
      </c>
      <c r="K383" s="11">
        <v>14.9</v>
      </c>
      <c r="L383" s="11">
        <v>30.7</v>
      </c>
      <c r="N383" s="11">
        <v>4.9000000000000004</v>
      </c>
      <c r="O383" s="11">
        <v>8.4</v>
      </c>
      <c r="P383" s="9"/>
      <c r="Q383" s="9"/>
      <c r="S383" s="11">
        <v>70.8</v>
      </c>
      <c r="T383" s="13"/>
      <c r="U383" s="13"/>
      <c r="V383" s="13"/>
      <c r="X383" s="13"/>
      <c r="Y383" s="11">
        <v>824.5</v>
      </c>
      <c r="Z383" s="13"/>
      <c r="AA383" s="13"/>
      <c r="AB383" s="13"/>
      <c r="AC383" s="13"/>
      <c r="AD383" s="13"/>
      <c r="AE383" s="13"/>
      <c r="AF383" s="13"/>
      <c r="AG383" s="9"/>
      <c r="AJ383" s="11">
        <v>1228.5999999999999</v>
      </c>
      <c r="AK383" s="24">
        <v>0</v>
      </c>
      <c r="AL383" s="13">
        <f t="shared" si="12"/>
        <v>1228.5999999999999</v>
      </c>
      <c r="AM383" s="23" t="s">
        <v>555</v>
      </c>
      <c r="AN383" s="9"/>
      <c r="AO383" s="9"/>
      <c r="AP383" s="13"/>
      <c r="AQ383" s="13"/>
      <c r="AR383" s="13"/>
    </row>
    <row r="384" spans="1:44" ht="15.75" customHeight="1">
      <c r="A384" s="9" t="s">
        <v>66</v>
      </c>
      <c r="B384" s="9" t="s">
        <v>66</v>
      </c>
      <c r="C384" s="18" t="s">
        <v>549</v>
      </c>
      <c r="D384" s="11">
        <v>920</v>
      </c>
      <c r="G384" s="11">
        <v>32.700000000000003</v>
      </c>
      <c r="H384" s="11">
        <v>9.4</v>
      </c>
      <c r="I384" s="11">
        <v>2.2999999999999998</v>
      </c>
      <c r="J384" s="9"/>
      <c r="K384" s="11">
        <v>16.3</v>
      </c>
      <c r="L384" s="11">
        <v>15.6</v>
      </c>
      <c r="N384" s="11">
        <v>11.4</v>
      </c>
      <c r="O384" s="11">
        <v>3.8</v>
      </c>
      <c r="P384" s="9"/>
      <c r="Q384" s="9"/>
      <c r="S384" s="11">
        <v>128.9</v>
      </c>
      <c r="T384" s="13"/>
      <c r="U384" s="13"/>
      <c r="V384" s="13"/>
      <c r="X384" s="13"/>
      <c r="Y384" s="11">
        <v>100105.5</v>
      </c>
      <c r="Z384" s="13"/>
      <c r="AA384" s="13"/>
      <c r="AB384" s="13"/>
      <c r="AC384" s="13"/>
      <c r="AD384" s="13"/>
      <c r="AE384" s="13"/>
      <c r="AF384" s="13"/>
      <c r="AG384" s="9"/>
      <c r="AJ384" s="11">
        <v>101245.9</v>
      </c>
      <c r="AK384" s="24">
        <v>0</v>
      </c>
      <c r="AL384" s="13">
        <f t="shared" si="12"/>
        <v>101245.9</v>
      </c>
      <c r="AM384" s="23" t="s">
        <v>556</v>
      </c>
      <c r="AN384" s="9"/>
      <c r="AO384" s="9"/>
      <c r="AP384" s="13"/>
      <c r="AQ384" s="13"/>
      <c r="AR384" s="13"/>
    </row>
    <row r="385" spans="1:44" ht="15.75" customHeight="1">
      <c r="A385" s="9" t="s">
        <v>212</v>
      </c>
      <c r="B385" s="9" t="s">
        <v>212</v>
      </c>
      <c r="C385" s="18" t="s">
        <v>549</v>
      </c>
      <c r="D385" s="11">
        <v>7624.3</v>
      </c>
      <c r="G385" s="11">
        <v>274.8</v>
      </c>
      <c r="H385" s="11">
        <v>2015.8</v>
      </c>
      <c r="I385" s="11">
        <v>59.6</v>
      </c>
      <c r="J385" s="11">
        <v>2502.6999999999998</v>
      </c>
      <c r="K385" s="11">
        <v>30.1</v>
      </c>
      <c r="L385" s="11">
        <v>786.4</v>
      </c>
      <c r="N385" s="11">
        <v>86.8</v>
      </c>
      <c r="O385" s="11">
        <v>173.3</v>
      </c>
      <c r="P385" s="9"/>
      <c r="Q385" s="9"/>
      <c r="S385" s="11">
        <v>1913.4</v>
      </c>
      <c r="T385" s="13"/>
      <c r="U385" s="13"/>
      <c r="V385" s="13"/>
      <c r="X385" s="13"/>
      <c r="Y385" s="11">
        <v>110.3</v>
      </c>
      <c r="Z385" s="13"/>
      <c r="AA385" s="13"/>
      <c r="AB385" s="13"/>
      <c r="AC385" s="13"/>
      <c r="AD385" s="13"/>
      <c r="AE385" s="13"/>
      <c r="AF385" s="13"/>
      <c r="AG385" s="9"/>
      <c r="AJ385" s="11">
        <v>15577.6</v>
      </c>
      <c r="AK385" s="24">
        <v>482.8</v>
      </c>
      <c r="AL385" s="13">
        <f t="shared" si="12"/>
        <v>15094.800000000001</v>
      </c>
      <c r="AM385" s="23" t="s">
        <v>557</v>
      </c>
      <c r="AN385" s="9"/>
      <c r="AO385" s="9"/>
      <c r="AP385" s="13"/>
      <c r="AQ385" s="13"/>
      <c r="AR385" s="13"/>
    </row>
    <row r="386" spans="1:44" ht="15.75" customHeight="1">
      <c r="A386" s="9" t="s">
        <v>72</v>
      </c>
      <c r="B386" s="9" t="s">
        <v>72</v>
      </c>
      <c r="C386" s="18" t="s">
        <v>549</v>
      </c>
      <c r="D386" s="11">
        <v>3500.2</v>
      </c>
      <c r="G386" s="11">
        <v>15.9</v>
      </c>
      <c r="H386" s="11">
        <v>5.9</v>
      </c>
      <c r="I386" s="11">
        <v>4.3</v>
      </c>
      <c r="J386" s="11">
        <v>44.7</v>
      </c>
      <c r="K386" s="11">
        <v>7.1</v>
      </c>
      <c r="L386" s="11">
        <v>9.8000000000000007</v>
      </c>
      <c r="N386" s="11">
        <v>3.4</v>
      </c>
      <c r="O386" s="11">
        <v>1.5</v>
      </c>
      <c r="P386" s="9"/>
      <c r="Q386" s="9"/>
      <c r="S386" s="11">
        <v>28.9</v>
      </c>
      <c r="T386" s="13"/>
      <c r="U386" s="13"/>
      <c r="V386" s="13"/>
      <c r="X386" s="13"/>
      <c r="Y386" s="11">
        <v>4604.1000000000004</v>
      </c>
      <c r="Z386" s="13"/>
      <c r="AA386" s="13"/>
      <c r="AB386" s="13"/>
      <c r="AC386" s="13"/>
      <c r="AD386" s="13"/>
      <c r="AE386" s="13"/>
      <c r="AF386" s="13"/>
      <c r="AG386" s="9"/>
      <c r="AJ386" s="11">
        <v>8225.9</v>
      </c>
      <c r="AK386" s="24">
        <v>20.6</v>
      </c>
      <c r="AL386" s="13">
        <f t="shared" si="12"/>
        <v>8205.2999999999993</v>
      </c>
      <c r="AM386" s="23" t="s">
        <v>558</v>
      </c>
      <c r="AN386" s="9"/>
      <c r="AO386" s="9"/>
      <c r="AP386" s="13"/>
      <c r="AQ386" s="13"/>
      <c r="AR386" s="13"/>
    </row>
    <row r="387" spans="1:44" ht="15.75" customHeight="1">
      <c r="A387" s="9" t="s">
        <v>217</v>
      </c>
      <c r="B387" s="9" t="s">
        <v>217</v>
      </c>
      <c r="C387" s="18" t="s">
        <v>549</v>
      </c>
      <c r="D387" s="11">
        <v>193.8</v>
      </c>
      <c r="G387" s="11">
        <v>27.8</v>
      </c>
      <c r="H387" s="11">
        <v>9.9</v>
      </c>
      <c r="I387" s="11">
        <v>8.4</v>
      </c>
      <c r="J387" s="11">
        <v>70.900000000000006</v>
      </c>
      <c r="K387" s="11">
        <v>18.100000000000001</v>
      </c>
      <c r="L387" s="11">
        <v>19.5</v>
      </c>
      <c r="N387" s="11">
        <v>18.7</v>
      </c>
      <c r="O387" s="11">
        <v>13.8</v>
      </c>
      <c r="P387" s="9"/>
      <c r="Q387" s="9"/>
      <c r="S387" s="11">
        <v>8441.9</v>
      </c>
      <c r="T387" s="13"/>
      <c r="U387" s="13"/>
      <c r="V387" s="13"/>
      <c r="X387" s="13"/>
      <c r="Y387" s="11">
        <v>75024.7</v>
      </c>
      <c r="Z387" s="13"/>
      <c r="AA387" s="13"/>
      <c r="AB387" s="13"/>
      <c r="AC387" s="13"/>
      <c r="AD387" s="13"/>
      <c r="AE387" s="13"/>
      <c r="AF387" s="13"/>
      <c r="AG387" s="9"/>
      <c r="AJ387" s="11">
        <v>83847.399999999994</v>
      </c>
      <c r="AK387" s="24">
        <v>0</v>
      </c>
      <c r="AL387" s="13">
        <f t="shared" si="12"/>
        <v>83847.399999999994</v>
      </c>
      <c r="AM387" s="23" t="s">
        <v>559</v>
      </c>
      <c r="AN387" s="9"/>
      <c r="AO387" s="9"/>
      <c r="AP387" s="13"/>
      <c r="AQ387" s="13"/>
      <c r="AR387" s="13"/>
    </row>
    <row r="388" spans="1:44" ht="15.75" customHeight="1">
      <c r="A388" s="9" t="s">
        <v>219</v>
      </c>
      <c r="B388" s="9" t="s">
        <v>219</v>
      </c>
      <c r="C388" s="18" t="s">
        <v>549</v>
      </c>
      <c r="D388" s="11">
        <v>3688.9</v>
      </c>
      <c r="G388" s="11">
        <v>83.2</v>
      </c>
      <c r="H388" s="11">
        <v>13.3</v>
      </c>
      <c r="I388" s="11">
        <v>12.1</v>
      </c>
      <c r="J388" s="11">
        <v>118</v>
      </c>
      <c r="K388" s="11">
        <v>19.899999999999999</v>
      </c>
      <c r="L388" s="11">
        <v>29</v>
      </c>
      <c r="N388" s="11">
        <v>28.3</v>
      </c>
      <c r="O388" s="11">
        <v>14.7</v>
      </c>
      <c r="P388" s="9"/>
      <c r="Q388" s="9"/>
      <c r="S388" s="11">
        <v>62185.2</v>
      </c>
      <c r="T388" s="13"/>
      <c r="U388" s="13"/>
      <c r="V388" s="13"/>
      <c r="X388" s="13"/>
      <c r="Y388" s="11">
        <v>17200.5</v>
      </c>
      <c r="Z388" s="13"/>
      <c r="AA388" s="13"/>
      <c r="AB388" s="13"/>
      <c r="AC388" s="13"/>
      <c r="AD388" s="13"/>
      <c r="AE388" s="13"/>
      <c r="AF388" s="13"/>
      <c r="AG388" s="11">
        <v>53.8</v>
      </c>
      <c r="AJ388" s="11">
        <v>83446.899999999994</v>
      </c>
      <c r="AK388" s="24">
        <v>0</v>
      </c>
      <c r="AL388" s="13">
        <f t="shared" si="12"/>
        <v>83446.899999999994</v>
      </c>
      <c r="AM388" s="23" t="s">
        <v>560</v>
      </c>
      <c r="AN388" s="9"/>
      <c r="AO388" s="9"/>
      <c r="AP388" s="13"/>
      <c r="AQ388" s="13"/>
      <c r="AR388" s="13"/>
    </row>
    <row r="389" spans="1:44" ht="15.75" customHeight="1">
      <c r="A389" s="9" t="s">
        <v>221</v>
      </c>
      <c r="B389" s="9" t="s">
        <v>221</v>
      </c>
      <c r="C389" s="18" t="s">
        <v>549</v>
      </c>
      <c r="D389" s="11">
        <v>16.3</v>
      </c>
      <c r="G389" s="11">
        <v>10.5</v>
      </c>
      <c r="H389" s="11">
        <v>4</v>
      </c>
      <c r="I389" s="11">
        <v>0.1</v>
      </c>
      <c r="J389" s="9"/>
      <c r="K389" s="11">
        <v>0.5</v>
      </c>
      <c r="L389" s="11">
        <v>2.2999999999999998</v>
      </c>
      <c r="N389" s="11">
        <v>0.6</v>
      </c>
      <c r="O389" s="11">
        <v>0</v>
      </c>
      <c r="P389" s="9"/>
      <c r="Q389" s="9"/>
      <c r="S389" s="11">
        <v>23.8</v>
      </c>
      <c r="T389" s="13"/>
      <c r="U389" s="13"/>
      <c r="V389" s="13"/>
      <c r="X389" s="13"/>
      <c r="Y389" s="9"/>
      <c r="Z389" s="13"/>
      <c r="AA389" s="13"/>
      <c r="AB389" s="13"/>
      <c r="AC389" s="13"/>
      <c r="AD389" s="13"/>
      <c r="AE389" s="13"/>
      <c r="AF389" s="13"/>
      <c r="AG389" s="9"/>
      <c r="AJ389" s="11">
        <v>58.1</v>
      </c>
      <c r="AK389" s="24">
        <v>0</v>
      </c>
      <c r="AL389" s="13">
        <f t="shared" si="12"/>
        <v>58.1</v>
      </c>
      <c r="AM389" s="23" t="s">
        <v>561</v>
      </c>
      <c r="AN389" s="9"/>
      <c r="AO389" s="9"/>
      <c r="AP389" s="13"/>
      <c r="AQ389" s="13"/>
      <c r="AR389" s="13"/>
    </row>
    <row r="390" spans="1:44" ht="15.75" customHeight="1">
      <c r="A390" s="9" t="s">
        <v>77</v>
      </c>
      <c r="B390" s="9" t="s">
        <v>77</v>
      </c>
      <c r="C390" s="18" t="s">
        <v>549</v>
      </c>
      <c r="D390" s="11">
        <v>4954.5</v>
      </c>
      <c r="G390" s="11">
        <v>113.3</v>
      </c>
      <c r="H390" s="11">
        <v>69.7</v>
      </c>
      <c r="I390" s="11">
        <v>10.6</v>
      </c>
      <c r="J390" s="11">
        <v>62.3</v>
      </c>
      <c r="K390" s="11">
        <v>130</v>
      </c>
      <c r="L390" s="11">
        <v>402.2</v>
      </c>
      <c r="N390" s="11">
        <v>17</v>
      </c>
      <c r="O390" s="11">
        <v>19.899999999999999</v>
      </c>
      <c r="P390" s="9"/>
      <c r="Q390" s="9"/>
      <c r="S390" s="11">
        <v>12315.7</v>
      </c>
      <c r="T390" s="13"/>
      <c r="U390" s="13"/>
      <c r="V390" s="13"/>
      <c r="X390" s="13"/>
      <c r="Y390" s="11">
        <v>22885.7</v>
      </c>
      <c r="Z390" s="13"/>
      <c r="AA390" s="13"/>
      <c r="AB390" s="13"/>
      <c r="AC390" s="13"/>
      <c r="AD390" s="13"/>
      <c r="AE390" s="13"/>
      <c r="AF390" s="13"/>
      <c r="AG390" s="9"/>
      <c r="AJ390" s="11">
        <v>40981</v>
      </c>
      <c r="AK390" s="24">
        <v>0</v>
      </c>
      <c r="AL390" s="13">
        <f t="shared" si="12"/>
        <v>40981</v>
      </c>
      <c r="AM390" s="23" t="s">
        <v>562</v>
      </c>
      <c r="AN390" s="9"/>
      <c r="AO390" s="9"/>
      <c r="AP390" s="13"/>
      <c r="AQ390" s="13"/>
      <c r="AR390" s="13"/>
    </row>
    <row r="391" spans="1:44" ht="15.75" customHeight="1">
      <c r="A391" s="9" t="s">
        <v>226</v>
      </c>
      <c r="B391" s="9" t="s">
        <v>226</v>
      </c>
      <c r="C391" s="18" t="s">
        <v>549</v>
      </c>
      <c r="D391" s="11">
        <v>329.3</v>
      </c>
      <c r="G391" s="11">
        <v>120</v>
      </c>
      <c r="H391" s="11">
        <v>25.7</v>
      </c>
      <c r="I391" s="11">
        <v>15</v>
      </c>
      <c r="J391" s="11">
        <v>34.5</v>
      </c>
      <c r="K391" s="11">
        <v>36.5</v>
      </c>
      <c r="L391" s="11">
        <v>95.4</v>
      </c>
      <c r="N391" s="11">
        <v>5.8</v>
      </c>
      <c r="O391" s="11">
        <v>5.4</v>
      </c>
      <c r="P391" s="9"/>
      <c r="Q391" s="9"/>
      <c r="S391" s="11">
        <v>230</v>
      </c>
      <c r="T391" s="13"/>
      <c r="U391" s="13"/>
      <c r="V391" s="13"/>
      <c r="X391" s="13"/>
      <c r="Y391" s="11">
        <v>9082.5</v>
      </c>
      <c r="Z391" s="13"/>
      <c r="AA391" s="13"/>
      <c r="AB391" s="13"/>
      <c r="AC391" s="13"/>
      <c r="AD391" s="13"/>
      <c r="AE391" s="13"/>
      <c r="AF391" s="13"/>
      <c r="AG391" s="11">
        <v>2.4</v>
      </c>
      <c r="AJ391" s="11">
        <v>9982.5</v>
      </c>
      <c r="AK391" s="24">
        <v>0</v>
      </c>
      <c r="AL391" s="13">
        <f t="shared" si="12"/>
        <v>9982.5</v>
      </c>
      <c r="AM391" s="23" t="s">
        <v>563</v>
      </c>
      <c r="AN391" s="9"/>
      <c r="AO391" s="9"/>
      <c r="AP391" s="13"/>
      <c r="AQ391" s="13"/>
      <c r="AR391" s="13"/>
    </row>
    <row r="392" spans="1:44" ht="15.75" customHeight="1">
      <c r="A392" s="9" t="s">
        <v>228</v>
      </c>
      <c r="B392" s="9" t="s">
        <v>228</v>
      </c>
      <c r="C392" s="18" t="s">
        <v>549</v>
      </c>
      <c r="D392" s="11">
        <v>7137.2</v>
      </c>
      <c r="G392" s="11">
        <v>36.4</v>
      </c>
      <c r="H392" s="11">
        <v>5.5</v>
      </c>
      <c r="I392" s="11">
        <v>3.1</v>
      </c>
      <c r="J392" s="11">
        <v>5.4</v>
      </c>
      <c r="K392" s="11">
        <v>535.4</v>
      </c>
      <c r="L392" s="11">
        <v>45.4</v>
      </c>
      <c r="N392" s="11">
        <v>121.7</v>
      </c>
      <c r="O392" s="11">
        <v>18.2</v>
      </c>
      <c r="P392" s="9"/>
      <c r="Q392" s="9"/>
      <c r="S392" s="11">
        <v>1579.2</v>
      </c>
      <c r="T392" s="13"/>
      <c r="U392" s="13"/>
      <c r="V392" s="13"/>
      <c r="X392" s="13"/>
      <c r="Y392" s="11">
        <v>41305.699999999997</v>
      </c>
      <c r="Z392" s="13"/>
      <c r="AA392" s="13"/>
      <c r="AB392" s="13"/>
      <c r="AC392" s="13"/>
      <c r="AD392" s="13"/>
      <c r="AE392" s="13"/>
      <c r="AF392" s="13"/>
      <c r="AG392" s="9" t="s">
        <v>41</v>
      </c>
      <c r="AJ392" s="11">
        <v>50793.2</v>
      </c>
      <c r="AK392" s="24">
        <v>9175.6</v>
      </c>
      <c r="AL392" s="13">
        <f t="shared" si="12"/>
        <v>41617.599999999999</v>
      </c>
      <c r="AM392" s="23" t="s">
        <v>564</v>
      </c>
      <c r="AN392" s="9"/>
      <c r="AO392" s="9"/>
      <c r="AP392" s="13"/>
      <c r="AQ392" s="13"/>
      <c r="AR392" s="13"/>
    </row>
    <row r="393" spans="1:44" ht="15.75" customHeight="1">
      <c r="A393" s="9" t="s">
        <v>232</v>
      </c>
      <c r="B393" s="9" t="s">
        <v>232</v>
      </c>
      <c r="C393" s="18" t="s">
        <v>549</v>
      </c>
      <c r="D393" s="11">
        <v>1206.4000000000001</v>
      </c>
      <c r="G393" s="11">
        <v>34.9</v>
      </c>
      <c r="H393" s="11">
        <v>3.5</v>
      </c>
      <c r="I393" s="11">
        <v>2.5</v>
      </c>
      <c r="J393" s="9"/>
      <c r="K393" s="11">
        <v>4.0999999999999996</v>
      </c>
      <c r="L393" s="11">
        <v>18.100000000000001</v>
      </c>
      <c r="N393" s="11">
        <v>13.8</v>
      </c>
      <c r="O393" s="11">
        <v>48.2</v>
      </c>
      <c r="P393" s="9"/>
      <c r="Q393" s="9"/>
      <c r="S393" s="11">
        <v>49165.599999999999</v>
      </c>
      <c r="T393" s="13"/>
      <c r="U393" s="13"/>
      <c r="V393" s="13"/>
      <c r="X393" s="13"/>
      <c r="Y393" s="11">
        <v>180.3</v>
      </c>
      <c r="Z393" s="13"/>
      <c r="AA393" s="13"/>
      <c r="AB393" s="13"/>
      <c r="AC393" s="13"/>
      <c r="AD393" s="13"/>
      <c r="AE393" s="13"/>
      <c r="AF393" s="13"/>
      <c r="AG393" s="11">
        <v>2.5</v>
      </c>
      <c r="AJ393" s="11">
        <v>50679.9</v>
      </c>
      <c r="AK393" s="24">
        <v>49011.1</v>
      </c>
      <c r="AL393" s="13">
        <f t="shared" si="12"/>
        <v>1668.8000000000029</v>
      </c>
      <c r="AM393" s="23" t="s">
        <v>565</v>
      </c>
      <c r="AN393" s="9"/>
      <c r="AO393" s="9"/>
      <c r="AP393" s="13"/>
      <c r="AQ393" s="13"/>
      <c r="AR393" s="13"/>
    </row>
    <row r="394" spans="1:44" ht="15.75" customHeight="1">
      <c r="A394" s="9" t="s">
        <v>87</v>
      </c>
      <c r="B394" s="9" t="s">
        <v>87</v>
      </c>
      <c r="C394" s="18" t="s">
        <v>549</v>
      </c>
      <c r="D394" s="11">
        <v>191.6</v>
      </c>
      <c r="G394" s="11">
        <v>14.8</v>
      </c>
      <c r="H394" s="11">
        <v>0.9</v>
      </c>
      <c r="I394" s="9" t="s">
        <v>566</v>
      </c>
      <c r="J394" s="11">
        <v>3.8</v>
      </c>
      <c r="K394" s="11">
        <v>1.8</v>
      </c>
      <c r="L394" s="11">
        <v>2.9</v>
      </c>
      <c r="N394" s="11">
        <v>5.6</v>
      </c>
      <c r="O394" s="11">
        <v>67.8</v>
      </c>
      <c r="P394" s="9"/>
      <c r="Q394" s="9"/>
      <c r="S394" s="11">
        <v>64.2</v>
      </c>
      <c r="T394" s="13"/>
      <c r="U394" s="13"/>
      <c r="V394" s="13"/>
      <c r="X394" s="13"/>
      <c r="Y394" s="11">
        <v>10680.9</v>
      </c>
      <c r="Z394" s="13"/>
      <c r="AA394" s="13"/>
      <c r="AB394" s="13"/>
      <c r="AC394" s="13"/>
      <c r="AD394" s="13"/>
      <c r="AE394" s="13"/>
      <c r="AF394" s="13"/>
      <c r="AG394" s="9" t="s">
        <v>41</v>
      </c>
      <c r="AJ394" s="11">
        <v>11035.4</v>
      </c>
      <c r="AK394" s="24">
        <v>9976.5</v>
      </c>
      <c r="AL394" s="13">
        <f t="shared" si="12"/>
        <v>1058.8999999999996</v>
      </c>
      <c r="AM394" s="23" t="s">
        <v>567</v>
      </c>
      <c r="AN394" s="9"/>
      <c r="AO394" s="9"/>
      <c r="AP394" s="13"/>
      <c r="AQ394" s="13"/>
      <c r="AR394" s="13"/>
    </row>
    <row r="395" spans="1:44" ht="15.75" customHeight="1">
      <c r="A395" s="9" t="s">
        <v>329</v>
      </c>
      <c r="B395" s="9" t="s">
        <v>329</v>
      </c>
      <c r="C395" s="18" t="s">
        <v>549</v>
      </c>
      <c r="D395" s="11">
        <v>72.7</v>
      </c>
      <c r="G395" s="11">
        <v>19.3</v>
      </c>
      <c r="H395" s="11">
        <v>9</v>
      </c>
      <c r="I395" s="11">
        <v>0.6</v>
      </c>
      <c r="J395" s="11">
        <v>24.3</v>
      </c>
      <c r="K395" s="11">
        <v>3.3</v>
      </c>
      <c r="L395" s="11">
        <v>10.7</v>
      </c>
      <c r="N395" s="11">
        <v>4.0999999999999996</v>
      </c>
      <c r="O395" s="11">
        <v>0.4</v>
      </c>
      <c r="P395" s="9"/>
      <c r="Q395" s="9"/>
      <c r="S395" s="11">
        <v>54.2</v>
      </c>
      <c r="T395" s="13"/>
      <c r="U395" s="13"/>
      <c r="V395" s="13"/>
      <c r="X395" s="13"/>
      <c r="Y395" s="11">
        <v>44.6</v>
      </c>
      <c r="Z395" s="13"/>
      <c r="AA395" s="13"/>
      <c r="AB395" s="13"/>
      <c r="AC395" s="13"/>
      <c r="AD395" s="13"/>
      <c r="AE395" s="13"/>
      <c r="AF395" s="13"/>
      <c r="AG395" s="9"/>
      <c r="AJ395" s="11">
        <v>243.1</v>
      </c>
      <c r="AK395" s="24">
        <v>0</v>
      </c>
      <c r="AL395" s="13">
        <f t="shared" si="12"/>
        <v>243.1</v>
      </c>
      <c r="AM395" s="23" t="s">
        <v>568</v>
      </c>
      <c r="AN395" s="9"/>
      <c r="AO395" s="9"/>
      <c r="AP395" s="13"/>
      <c r="AQ395" s="13"/>
      <c r="AR395" s="13"/>
    </row>
    <row r="396" spans="1:44" ht="15.75" customHeight="1">
      <c r="A396" s="9" t="s">
        <v>331</v>
      </c>
      <c r="B396" s="9" t="s">
        <v>91</v>
      </c>
      <c r="C396" s="18" t="s">
        <v>549</v>
      </c>
      <c r="D396" s="11">
        <v>629.1</v>
      </c>
      <c r="G396" s="11">
        <v>21.7</v>
      </c>
      <c r="H396" s="11">
        <v>4.7</v>
      </c>
      <c r="I396" s="11">
        <v>2.2000000000000002</v>
      </c>
      <c r="J396" s="11">
        <v>145.5</v>
      </c>
      <c r="K396" s="11">
        <v>5.7</v>
      </c>
      <c r="L396" s="11">
        <v>7.6</v>
      </c>
      <c r="N396" s="11">
        <v>10.4</v>
      </c>
      <c r="O396" s="11">
        <v>1.2</v>
      </c>
      <c r="P396" s="9"/>
      <c r="Q396" s="9"/>
      <c r="S396" s="11">
        <v>65.5</v>
      </c>
      <c r="T396" s="13"/>
      <c r="U396" s="13"/>
      <c r="V396" s="13"/>
      <c r="X396" s="13"/>
      <c r="Y396" s="11">
        <v>19</v>
      </c>
      <c r="Z396" s="13"/>
      <c r="AA396" s="13"/>
      <c r="AB396" s="13"/>
      <c r="AC396" s="13"/>
      <c r="AD396" s="13"/>
      <c r="AE396" s="13"/>
      <c r="AF396" s="13"/>
      <c r="AG396" s="9"/>
      <c r="AJ396" s="11">
        <v>912.6</v>
      </c>
      <c r="AK396" s="24">
        <v>0</v>
      </c>
      <c r="AL396" s="13">
        <f t="shared" si="12"/>
        <v>912.6</v>
      </c>
      <c r="AM396" s="23" t="s">
        <v>569</v>
      </c>
      <c r="AN396" s="9"/>
      <c r="AO396" s="9"/>
      <c r="AP396" s="13"/>
      <c r="AQ396" s="13"/>
      <c r="AR396" s="13"/>
    </row>
    <row r="397" spans="1:44" ht="15.75" customHeight="1">
      <c r="A397" s="9" t="s">
        <v>93</v>
      </c>
      <c r="B397" s="9" t="s">
        <v>93</v>
      </c>
      <c r="C397" s="18" t="s">
        <v>549</v>
      </c>
      <c r="D397" s="11">
        <v>475.1</v>
      </c>
      <c r="G397" s="11">
        <v>21.8</v>
      </c>
      <c r="H397" s="11">
        <v>3.1</v>
      </c>
      <c r="I397" s="11">
        <v>1.6</v>
      </c>
      <c r="J397" s="11">
        <v>94</v>
      </c>
      <c r="K397" s="11">
        <v>3.8</v>
      </c>
      <c r="L397" s="11">
        <v>9.4</v>
      </c>
      <c r="N397" s="11">
        <v>3</v>
      </c>
      <c r="O397" s="11">
        <v>5.7</v>
      </c>
      <c r="P397" s="9"/>
      <c r="Q397" s="9"/>
      <c r="S397" s="11">
        <v>54.4</v>
      </c>
      <c r="T397" s="13"/>
      <c r="U397" s="13"/>
      <c r="V397" s="13"/>
      <c r="X397" s="13"/>
      <c r="Y397" s="11">
        <v>868.4</v>
      </c>
      <c r="Z397" s="13"/>
      <c r="AA397" s="13"/>
      <c r="AB397" s="13"/>
      <c r="AC397" s="13"/>
      <c r="AD397" s="13"/>
      <c r="AE397" s="13"/>
      <c r="AF397" s="13"/>
      <c r="AG397" s="11">
        <v>0.9</v>
      </c>
      <c r="AJ397" s="11">
        <v>1541.3</v>
      </c>
      <c r="AK397" s="24">
        <v>0</v>
      </c>
      <c r="AL397" s="13">
        <f t="shared" si="12"/>
        <v>1541.3</v>
      </c>
      <c r="AM397" s="23" t="s">
        <v>570</v>
      </c>
      <c r="AN397" s="9"/>
      <c r="AO397" s="9"/>
      <c r="AP397" s="13"/>
      <c r="AQ397" s="13"/>
      <c r="AR397" s="13"/>
    </row>
    <row r="398" spans="1:44" ht="15.75" customHeight="1">
      <c r="A398" s="9" t="s">
        <v>571</v>
      </c>
      <c r="B398" s="9" t="s">
        <v>91</v>
      </c>
      <c r="C398" s="18" t="s">
        <v>549</v>
      </c>
      <c r="D398" s="11">
        <v>305.8</v>
      </c>
      <c r="G398" s="11">
        <v>7.1</v>
      </c>
      <c r="H398" s="11">
        <v>0.9</v>
      </c>
      <c r="I398" s="11">
        <v>0.1</v>
      </c>
      <c r="J398" s="11">
        <v>15.8</v>
      </c>
      <c r="K398" s="11">
        <v>0.2</v>
      </c>
      <c r="L398" s="11">
        <v>0.4</v>
      </c>
      <c r="N398" s="11">
        <v>0.3</v>
      </c>
      <c r="O398" s="11">
        <v>0.1</v>
      </c>
      <c r="P398" s="9"/>
      <c r="Q398" s="9"/>
      <c r="S398" s="9">
        <v>2.2000000000000002</v>
      </c>
      <c r="T398" s="13"/>
      <c r="U398" s="13"/>
      <c r="V398" s="13"/>
      <c r="X398" s="13"/>
      <c r="Y398" s="11">
        <v>3.8</v>
      </c>
      <c r="Z398" s="13"/>
      <c r="AA398" s="13"/>
      <c r="AB398" s="13"/>
      <c r="AC398" s="13"/>
      <c r="AD398" s="13"/>
      <c r="AE398" s="13"/>
      <c r="AF398" s="13"/>
      <c r="AG398" s="9"/>
      <c r="AJ398" s="11">
        <v>336.5</v>
      </c>
      <c r="AK398" s="24">
        <v>0</v>
      </c>
      <c r="AL398" s="13">
        <f t="shared" si="12"/>
        <v>336.5</v>
      </c>
      <c r="AM398" s="23" t="s">
        <v>572</v>
      </c>
      <c r="AN398" s="9"/>
      <c r="AO398" s="9"/>
      <c r="AP398" s="13"/>
      <c r="AQ398" s="13"/>
      <c r="AR398" s="13"/>
    </row>
    <row r="399" spans="1:44" ht="15.75" customHeight="1">
      <c r="A399" s="9" t="s">
        <v>492</v>
      </c>
      <c r="B399" s="9" t="s">
        <v>492</v>
      </c>
      <c r="C399" s="18" t="s">
        <v>549</v>
      </c>
      <c r="D399" s="11">
        <v>501.3</v>
      </c>
      <c r="G399" s="11">
        <v>31.3</v>
      </c>
      <c r="H399" s="11">
        <v>6.3</v>
      </c>
      <c r="I399" s="11">
        <v>4.4000000000000004</v>
      </c>
      <c r="J399" s="11">
        <v>0.2</v>
      </c>
      <c r="K399" s="11">
        <v>7.4</v>
      </c>
      <c r="L399" s="11">
        <v>5.4</v>
      </c>
      <c r="N399" s="11">
        <v>8.1</v>
      </c>
      <c r="O399" s="11">
        <v>4.3</v>
      </c>
      <c r="P399" s="9"/>
      <c r="Q399" s="9"/>
      <c r="S399" s="11">
        <v>94.7</v>
      </c>
      <c r="T399" s="13"/>
      <c r="U399" s="13"/>
      <c r="V399" s="13"/>
      <c r="X399" s="13"/>
      <c r="Y399" s="11">
        <v>2655.1</v>
      </c>
      <c r="Z399" s="13"/>
      <c r="AA399" s="13"/>
      <c r="AB399" s="13"/>
      <c r="AC399" s="13"/>
      <c r="AD399" s="13"/>
      <c r="AE399" s="13"/>
      <c r="AF399" s="13"/>
      <c r="AG399" s="11">
        <v>1.1000000000000001</v>
      </c>
      <c r="AJ399" s="11">
        <v>3319.7</v>
      </c>
      <c r="AK399" s="24">
        <v>1877</v>
      </c>
      <c r="AL399" s="13">
        <f t="shared" si="12"/>
        <v>1442.6999999999998</v>
      </c>
      <c r="AM399" s="23" t="s">
        <v>573</v>
      </c>
      <c r="AN399" s="9"/>
      <c r="AO399" s="9"/>
      <c r="AP399" s="13"/>
      <c r="AQ399" s="13"/>
      <c r="AR399" s="13"/>
    </row>
    <row r="400" spans="1:44" ht="15.75" customHeight="1">
      <c r="A400" s="9" t="s">
        <v>494</v>
      </c>
      <c r="B400" s="9" t="s">
        <v>160</v>
      </c>
      <c r="C400" s="18" t="s">
        <v>549</v>
      </c>
      <c r="D400" s="11">
        <v>1070</v>
      </c>
      <c r="G400" s="11">
        <v>40</v>
      </c>
      <c r="H400" s="11">
        <v>35</v>
      </c>
      <c r="I400" s="11">
        <v>2</v>
      </c>
      <c r="J400" s="11">
        <v>94</v>
      </c>
      <c r="K400" s="11">
        <v>6</v>
      </c>
      <c r="L400" s="11">
        <v>111</v>
      </c>
      <c r="N400" s="11">
        <v>1</v>
      </c>
      <c r="O400" s="11">
        <v>4</v>
      </c>
      <c r="P400" s="9"/>
      <c r="Q400" s="9"/>
      <c r="S400" s="11">
        <v>164</v>
      </c>
      <c r="T400" s="13"/>
      <c r="U400" s="13"/>
      <c r="V400" s="13"/>
      <c r="X400" s="13"/>
      <c r="Y400" s="11">
        <v>7348</v>
      </c>
      <c r="Z400" s="13"/>
      <c r="AA400" s="13"/>
      <c r="AB400" s="13"/>
      <c r="AC400" s="13"/>
      <c r="AD400" s="13"/>
      <c r="AE400" s="13"/>
      <c r="AF400" s="13"/>
      <c r="AG400" s="9"/>
      <c r="AJ400" s="11">
        <v>8875</v>
      </c>
      <c r="AK400" s="13">
        <v>0</v>
      </c>
      <c r="AL400" s="13">
        <f t="shared" si="12"/>
        <v>8875</v>
      </c>
      <c r="AM400" s="23" t="s">
        <v>574</v>
      </c>
      <c r="AN400" s="9"/>
      <c r="AO400" s="9"/>
      <c r="AP400" s="13"/>
      <c r="AQ400" s="13"/>
      <c r="AR400" s="13"/>
    </row>
    <row r="401" spans="1:44" ht="15.75" customHeight="1">
      <c r="A401" s="9" t="s">
        <v>244</v>
      </c>
      <c r="B401" s="9" t="s">
        <v>244</v>
      </c>
      <c r="C401" s="18" t="s">
        <v>549</v>
      </c>
      <c r="D401" s="11">
        <v>2079.8000000000002</v>
      </c>
      <c r="G401" s="11">
        <v>14.3</v>
      </c>
      <c r="H401" s="11">
        <v>1.7</v>
      </c>
      <c r="I401" s="11">
        <v>0.8</v>
      </c>
      <c r="J401" s="11">
        <v>40.299999999999997</v>
      </c>
      <c r="K401" s="11">
        <v>3.1</v>
      </c>
      <c r="L401" s="11">
        <v>54.8</v>
      </c>
      <c r="N401" s="11">
        <v>6</v>
      </c>
      <c r="O401" s="11">
        <v>7</v>
      </c>
      <c r="P401" s="9"/>
      <c r="Q401" s="9"/>
      <c r="S401" s="11">
        <v>153.80000000000001</v>
      </c>
      <c r="T401" s="13"/>
      <c r="U401" s="13"/>
      <c r="V401" s="13"/>
      <c r="X401" s="13"/>
      <c r="Y401" s="9"/>
      <c r="Z401" s="13"/>
      <c r="AA401" s="13"/>
      <c r="AB401" s="13"/>
      <c r="AC401" s="13"/>
      <c r="AD401" s="13"/>
      <c r="AE401" s="13"/>
      <c r="AF401" s="13"/>
      <c r="AG401" s="11">
        <v>0.3</v>
      </c>
      <c r="AJ401" s="11">
        <v>2361.9</v>
      </c>
      <c r="AK401" s="13">
        <v>0</v>
      </c>
      <c r="AL401" s="13">
        <f t="shared" si="12"/>
        <v>2361.9</v>
      </c>
      <c r="AM401" s="23" t="s">
        <v>575</v>
      </c>
      <c r="AN401" s="9"/>
      <c r="AO401" s="9"/>
      <c r="AP401" s="13"/>
      <c r="AQ401" s="13"/>
      <c r="AR401" s="13"/>
    </row>
    <row r="402" spans="1:44" ht="15.75" customHeight="1">
      <c r="A402" s="9" t="s">
        <v>339</v>
      </c>
      <c r="B402" s="9" t="s">
        <v>101</v>
      </c>
      <c r="C402" s="18" t="s">
        <v>549</v>
      </c>
      <c r="D402" s="11">
        <v>180.5</v>
      </c>
      <c r="G402" s="11">
        <v>38.9</v>
      </c>
      <c r="H402" s="11">
        <v>5.7</v>
      </c>
      <c r="I402" s="11">
        <v>8.3000000000000007</v>
      </c>
      <c r="J402" s="11">
        <v>91.7</v>
      </c>
      <c r="K402" s="11">
        <v>39.5</v>
      </c>
      <c r="L402" s="11">
        <v>39</v>
      </c>
      <c r="N402" s="11">
        <v>4.8</v>
      </c>
      <c r="O402" s="11">
        <v>4.9000000000000004</v>
      </c>
      <c r="P402" s="9"/>
      <c r="Q402" s="9"/>
      <c r="S402" s="11">
        <v>508.6</v>
      </c>
      <c r="T402" s="13"/>
      <c r="U402" s="13"/>
      <c r="V402" s="13"/>
      <c r="X402" s="13"/>
      <c r="Y402" s="11">
        <v>667.8</v>
      </c>
      <c r="Z402" s="13"/>
      <c r="AA402" s="13"/>
      <c r="AB402" s="13"/>
      <c r="AC402" s="13"/>
      <c r="AD402" s="13"/>
      <c r="AE402" s="13"/>
      <c r="AF402" s="13"/>
      <c r="AG402" s="9"/>
      <c r="AJ402" s="11">
        <v>1589.7</v>
      </c>
      <c r="AK402" s="13">
        <v>0</v>
      </c>
      <c r="AL402" s="13">
        <f t="shared" si="12"/>
        <v>1589.7</v>
      </c>
      <c r="AM402" s="23" t="s">
        <v>576</v>
      </c>
      <c r="AN402" s="9"/>
      <c r="AO402" s="9"/>
      <c r="AP402" s="13"/>
      <c r="AQ402" s="13"/>
      <c r="AR402" s="13"/>
    </row>
    <row r="403" spans="1:44" ht="15.75" customHeight="1">
      <c r="A403" s="9" t="s">
        <v>419</v>
      </c>
      <c r="B403" s="9" t="s">
        <v>103</v>
      </c>
      <c r="C403" s="18" t="s">
        <v>549</v>
      </c>
      <c r="D403" s="11">
        <v>348.9</v>
      </c>
      <c r="G403" s="11">
        <v>34.200000000000003</v>
      </c>
      <c r="H403" s="11">
        <v>9</v>
      </c>
      <c r="I403" s="11">
        <v>2979.7</v>
      </c>
      <c r="J403" s="11">
        <v>63.4</v>
      </c>
      <c r="K403" s="11">
        <v>12</v>
      </c>
      <c r="L403" s="11">
        <v>14.9</v>
      </c>
      <c r="N403" s="11">
        <v>6.7</v>
      </c>
      <c r="O403" s="11">
        <v>12.6</v>
      </c>
      <c r="P403" s="9"/>
      <c r="Q403" s="9"/>
      <c r="S403" s="11">
        <v>102.7</v>
      </c>
      <c r="T403" s="13"/>
      <c r="U403" s="13"/>
      <c r="V403" s="13"/>
      <c r="X403" s="13"/>
      <c r="Y403" s="11">
        <v>1188.2</v>
      </c>
      <c r="Z403" s="13"/>
      <c r="AA403" s="13"/>
      <c r="AB403" s="13"/>
      <c r="AC403" s="13"/>
      <c r="AD403" s="13"/>
      <c r="AE403" s="13"/>
      <c r="AF403" s="13"/>
      <c r="AG403" s="11">
        <v>1.7</v>
      </c>
      <c r="AJ403" s="11">
        <v>4773.8999999999996</v>
      </c>
      <c r="AK403" s="13">
        <v>588.1</v>
      </c>
      <c r="AL403" s="13">
        <f t="shared" si="12"/>
        <v>4185.7999999999993</v>
      </c>
      <c r="AM403" s="23" t="s">
        <v>577</v>
      </c>
      <c r="AN403" s="9"/>
      <c r="AO403" s="9"/>
      <c r="AP403" s="13"/>
      <c r="AQ403" s="13"/>
      <c r="AR403" s="13"/>
    </row>
    <row r="404" spans="1:44" ht="15.75" customHeight="1">
      <c r="A404" s="9" t="s">
        <v>105</v>
      </c>
      <c r="B404" s="9" t="s">
        <v>105</v>
      </c>
      <c r="C404" s="18" t="s">
        <v>549</v>
      </c>
      <c r="D404" s="11">
        <v>204</v>
      </c>
      <c r="G404" s="11">
        <v>146.19999999999999</v>
      </c>
      <c r="H404" s="11">
        <v>741.2</v>
      </c>
      <c r="I404" s="11">
        <v>1.7</v>
      </c>
      <c r="J404" s="11">
        <v>65.599999999999994</v>
      </c>
      <c r="K404" s="11">
        <v>9.1999999999999993</v>
      </c>
      <c r="L404" s="11">
        <v>86.6</v>
      </c>
      <c r="N404" s="11">
        <v>6.2</v>
      </c>
      <c r="O404" s="11">
        <v>1.4</v>
      </c>
      <c r="P404" s="9"/>
      <c r="Q404" s="9"/>
      <c r="S404" s="11">
        <v>144.1</v>
      </c>
      <c r="T404" s="13"/>
      <c r="U404" s="13"/>
      <c r="V404" s="13"/>
      <c r="X404" s="13"/>
      <c r="Y404" s="11">
        <v>675.9</v>
      </c>
      <c r="Z404" s="13"/>
      <c r="AA404" s="13"/>
      <c r="AB404" s="13"/>
      <c r="AC404" s="13"/>
      <c r="AD404" s="13"/>
      <c r="AE404" s="13"/>
      <c r="AF404" s="13"/>
      <c r="AG404" s="9"/>
      <c r="AJ404" s="11">
        <v>2082.1</v>
      </c>
      <c r="AK404" s="13">
        <v>0.4</v>
      </c>
      <c r="AL404" s="13">
        <f t="shared" si="12"/>
        <v>2081.6999999999998</v>
      </c>
      <c r="AM404" s="23" t="s">
        <v>578</v>
      </c>
      <c r="AN404" s="9"/>
      <c r="AO404" s="9"/>
      <c r="AP404" s="13"/>
      <c r="AQ404" s="13"/>
      <c r="AR404" s="13"/>
    </row>
    <row r="405" spans="1:44" ht="15.75" customHeight="1">
      <c r="A405" s="9" t="s">
        <v>249</v>
      </c>
      <c r="B405" s="9" t="s">
        <v>249</v>
      </c>
      <c r="C405" s="18" t="s">
        <v>549</v>
      </c>
      <c r="D405" s="11">
        <v>288.2</v>
      </c>
      <c r="G405" s="11">
        <v>83.2</v>
      </c>
      <c r="H405" s="11">
        <v>23.6</v>
      </c>
      <c r="I405" s="11">
        <v>43.7</v>
      </c>
      <c r="J405" s="11">
        <v>54.9</v>
      </c>
      <c r="K405" s="11">
        <v>47.9</v>
      </c>
      <c r="L405" s="11">
        <v>46.4</v>
      </c>
      <c r="N405" s="11">
        <v>6.2</v>
      </c>
      <c r="O405" s="11">
        <v>9.8000000000000007</v>
      </c>
      <c r="P405" s="9"/>
      <c r="Q405" s="9"/>
      <c r="S405" s="11">
        <v>138.69999999999999</v>
      </c>
      <c r="T405" s="13"/>
      <c r="U405" s="13"/>
      <c r="V405" s="13"/>
      <c r="X405" s="13"/>
      <c r="Y405" s="11">
        <v>2634.1</v>
      </c>
      <c r="Z405" s="13"/>
      <c r="AA405" s="13"/>
      <c r="AB405" s="13"/>
      <c r="AC405" s="13"/>
      <c r="AD405" s="13"/>
      <c r="AE405" s="13"/>
      <c r="AF405" s="13"/>
      <c r="AG405" s="9" t="s">
        <v>41</v>
      </c>
      <c r="AJ405" s="11">
        <v>3376.7</v>
      </c>
      <c r="AK405" s="13">
        <v>1.2</v>
      </c>
      <c r="AL405" s="13">
        <f t="shared" si="12"/>
        <v>3375.5</v>
      </c>
      <c r="AM405" s="23" t="s">
        <v>579</v>
      </c>
      <c r="AN405" s="9"/>
      <c r="AO405" s="9"/>
      <c r="AP405" s="13"/>
      <c r="AQ405" s="13"/>
      <c r="AR405" s="13"/>
    </row>
    <row r="406" spans="1:44" ht="15.75" customHeight="1">
      <c r="A406" s="9" t="s">
        <v>111</v>
      </c>
      <c r="B406" s="9" t="s">
        <v>111</v>
      </c>
      <c r="C406" s="18" t="s">
        <v>549</v>
      </c>
      <c r="D406" s="11">
        <v>405.8</v>
      </c>
      <c r="G406" s="11">
        <v>31</v>
      </c>
      <c r="H406" s="11">
        <v>5.2</v>
      </c>
      <c r="I406" s="11">
        <v>0.4</v>
      </c>
      <c r="J406" s="9"/>
      <c r="K406" s="11">
        <v>16.3</v>
      </c>
      <c r="L406" s="11">
        <v>16.3</v>
      </c>
      <c r="N406" s="11">
        <v>1.49</v>
      </c>
      <c r="O406" s="11">
        <v>8.5</v>
      </c>
      <c r="P406" s="9"/>
      <c r="Q406" s="9"/>
      <c r="S406" s="11">
        <v>64.599999999999994</v>
      </c>
      <c r="T406" s="13"/>
      <c r="U406" s="13"/>
      <c r="V406" s="13"/>
      <c r="X406" s="13"/>
      <c r="Y406" s="11">
        <v>1599.4</v>
      </c>
      <c r="Z406" s="13"/>
      <c r="AA406" s="13"/>
      <c r="AB406" s="13"/>
      <c r="AC406" s="13"/>
      <c r="AD406" s="13"/>
      <c r="AE406" s="13"/>
      <c r="AF406" s="13"/>
      <c r="AG406" s="9"/>
      <c r="AJ406" s="11">
        <v>2162.4</v>
      </c>
      <c r="AK406" s="13">
        <v>0</v>
      </c>
      <c r="AL406" s="13">
        <f t="shared" si="12"/>
        <v>2162.4</v>
      </c>
      <c r="AM406" s="23" t="s">
        <v>580</v>
      </c>
      <c r="AN406" s="9"/>
      <c r="AO406" s="9"/>
      <c r="AP406" s="13"/>
      <c r="AQ406" s="13"/>
      <c r="AR406" s="13"/>
    </row>
    <row r="407" spans="1:44" ht="15.75" customHeight="1">
      <c r="A407" s="9" t="s">
        <v>252</v>
      </c>
      <c r="B407" s="9" t="s">
        <v>252</v>
      </c>
      <c r="C407" s="18" t="s">
        <v>549</v>
      </c>
      <c r="D407" s="11">
        <v>1444.7</v>
      </c>
      <c r="G407" s="11">
        <v>23.4</v>
      </c>
      <c r="H407" s="11">
        <v>3.3</v>
      </c>
      <c r="I407" s="11">
        <v>2.1</v>
      </c>
      <c r="J407" s="11">
        <v>109</v>
      </c>
      <c r="K407" s="11">
        <v>7</v>
      </c>
      <c r="L407" s="11">
        <v>8.6999999999999993</v>
      </c>
      <c r="N407" s="11">
        <v>12.4</v>
      </c>
      <c r="O407" s="11">
        <v>5.0999999999999996</v>
      </c>
      <c r="P407" s="9"/>
      <c r="Q407" s="9"/>
      <c r="S407" s="11">
        <v>292.8</v>
      </c>
      <c r="T407" s="13"/>
      <c r="U407" s="13"/>
      <c r="V407" s="13"/>
      <c r="X407" s="13"/>
      <c r="Y407" s="11">
        <v>195.3</v>
      </c>
      <c r="Z407" s="13"/>
      <c r="AA407" s="13"/>
      <c r="AB407" s="13"/>
      <c r="AC407" s="13"/>
      <c r="AD407" s="13"/>
      <c r="AE407" s="13"/>
      <c r="AF407" s="13"/>
      <c r="AG407" s="9" t="s">
        <v>41</v>
      </c>
      <c r="AJ407" s="11">
        <v>2103.6</v>
      </c>
      <c r="AK407" s="13">
        <v>12.2</v>
      </c>
      <c r="AL407" s="13">
        <f t="shared" si="12"/>
        <v>2091.4</v>
      </c>
      <c r="AM407" s="23" t="s">
        <v>581</v>
      </c>
      <c r="AN407" s="9"/>
      <c r="AO407" s="9"/>
      <c r="AP407" s="13"/>
      <c r="AQ407" s="13"/>
      <c r="AR407" s="13"/>
    </row>
    <row r="408" spans="1:44" ht="15.75" customHeight="1">
      <c r="A408" s="9" t="s">
        <v>117</v>
      </c>
      <c r="B408" s="9" t="s">
        <v>117</v>
      </c>
      <c r="C408" s="18" t="s">
        <v>549</v>
      </c>
      <c r="D408" s="11">
        <v>784</v>
      </c>
      <c r="G408" s="11">
        <v>23.1</v>
      </c>
      <c r="H408" s="11">
        <v>4.0999999999999996</v>
      </c>
      <c r="I408" s="11">
        <v>3.4</v>
      </c>
      <c r="J408" s="11">
        <v>31.5</v>
      </c>
      <c r="K408" s="11">
        <v>5.5</v>
      </c>
      <c r="L408" s="11">
        <v>8.6</v>
      </c>
      <c r="N408" s="11">
        <v>5.9</v>
      </c>
      <c r="O408" s="11">
        <v>8.6</v>
      </c>
      <c r="P408" s="9"/>
      <c r="Q408" s="9"/>
      <c r="S408" s="11">
        <v>6469.3</v>
      </c>
      <c r="T408" s="13"/>
      <c r="U408" s="13"/>
      <c r="V408" s="13"/>
      <c r="X408" s="13"/>
      <c r="Y408" s="11">
        <v>4597.8999999999996</v>
      </c>
      <c r="Z408" s="13"/>
      <c r="AA408" s="13"/>
      <c r="AB408" s="13"/>
      <c r="AC408" s="13"/>
      <c r="AD408" s="13"/>
      <c r="AE408" s="13"/>
      <c r="AF408" s="13"/>
      <c r="AG408" s="11">
        <v>3.2</v>
      </c>
      <c r="AJ408" s="11">
        <v>11945.2</v>
      </c>
      <c r="AK408" s="13">
        <v>0</v>
      </c>
      <c r="AL408" s="13">
        <f t="shared" si="12"/>
        <v>11945.2</v>
      </c>
      <c r="AM408" s="23" t="s">
        <v>582</v>
      </c>
      <c r="AN408" s="9"/>
      <c r="AO408" s="9"/>
      <c r="AP408" s="13"/>
      <c r="AQ408" s="13"/>
      <c r="AR408" s="13"/>
    </row>
    <row r="409" spans="1:44" ht="15.75" customHeight="1">
      <c r="A409" s="9" t="s">
        <v>255</v>
      </c>
      <c r="B409" s="9" t="s">
        <v>255</v>
      </c>
      <c r="C409" s="18" t="s">
        <v>549</v>
      </c>
      <c r="D409" s="11">
        <v>243.5</v>
      </c>
      <c r="G409" s="11">
        <v>55.6</v>
      </c>
      <c r="H409" s="11">
        <v>12.8</v>
      </c>
      <c r="I409" s="11">
        <v>4.0999999999999996</v>
      </c>
      <c r="J409" s="9"/>
      <c r="K409" s="11">
        <v>10.6</v>
      </c>
      <c r="L409" s="11">
        <v>93.1</v>
      </c>
      <c r="N409" s="11">
        <v>12.5</v>
      </c>
      <c r="O409" s="11">
        <v>5.5</v>
      </c>
      <c r="P409" s="9"/>
      <c r="Q409" s="9"/>
      <c r="S409" s="11">
        <v>112.4</v>
      </c>
      <c r="T409" s="13"/>
      <c r="U409" s="13"/>
      <c r="V409" s="13"/>
      <c r="X409" s="13"/>
      <c r="Y409" s="11">
        <v>33.200000000000003</v>
      </c>
      <c r="Z409" s="13"/>
      <c r="AA409" s="13"/>
      <c r="AB409" s="13"/>
      <c r="AC409" s="13"/>
      <c r="AD409" s="13"/>
      <c r="AE409" s="13"/>
      <c r="AF409" s="13"/>
      <c r="AG409" s="9"/>
      <c r="AJ409" s="11">
        <v>583.20000000000005</v>
      </c>
      <c r="AK409" s="13">
        <v>0</v>
      </c>
      <c r="AL409" s="13">
        <f t="shared" si="12"/>
        <v>583.20000000000005</v>
      </c>
      <c r="AM409" s="23" t="s">
        <v>583</v>
      </c>
      <c r="AN409" s="9"/>
      <c r="AO409" s="9"/>
      <c r="AP409" s="13"/>
      <c r="AQ409" s="13"/>
      <c r="AR409" s="13"/>
    </row>
    <row r="410" spans="1:44" ht="15.75" customHeight="1">
      <c r="A410" s="9" t="s">
        <v>95</v>
      </c>
      <c r="B410" s="9" t="s">
        <v>95</v>
      </c>
      <c r="C410" s="18" t="s">
        <v>549</v>
      </c>
      <c r="D410" s="11">
        <v>210</v>
      </c>
      <c r="G410" s="11">
        <v>6.5</v>
      </c>
      <c r="H410" s="11">
        <v>11.7</v>
      </c>
      <c r="I410" s="11">
        <v>2.2000000000000002</v>
      </c>
      <c r="J410" s="9"/>
      <c r="K410" s="11">
        <v>0.8</v>
      </c>
      <c r="L410" s="11">
        <v>2.9</v>
      </c>
      <c r="N410" s="11">
        <v>7.6</v>
      </c>
      <c r="O410" s="11">
        <v>10.5</v>
      </c>
      <c r="P410" s="9"/>
      <c r="Q410" s="9"/>
      <c r="S410" s="11">
        <v>48.4</v>
      </c>
      <c r="T410" s="13"/>
      <c r="U410" s="13"/>
      <c r="V410" s="13"/>
      <c r="X410" s="13"/>
      <c r="Y410" s="11">
        <v>950.1</v>
      </c>
      <c r="Z410" s="13"/>
      <c r="AA410" s="13"/>
      <c r="AB410" s="13"/>
      <c r="AC410" s="13"/>
      <c r="AD410" s="13"/>
      <c r="AE410" s="13"/>
      <c r="AF410" s="13"/>
      <c r="AG410" s="9"/>
      <c r="AJ410" s="11">
        <v>1250.8</v>
      </c>
      <c r="AK410" s="13">
        <v>177.5</v>
      </c>
      <c r="AL410" s="13">
        <f t="shared" ref="AL410:AL441" si="13">AJ410-AK410</f>
        <v>1073.3</v>
      </c>
      <c r="AM410" s="23" t="s">
        <v>584</v>
      </c>
      <c r="AN410" s="9"/>
      <c r="AO410" s="9"/>
      <c r="AP410" s="13"/>
      <c r="AQ410" s="13"/>
      <c r="AR410" s="13"/>
    </row>
    <row r="411" spans="1:44" ht="15.75" customHeight="1">
      <c r="A411" s="9" t="s">
        <v>506</v>
      </c>
      <c r="B411" s="9" t="s">
        <v>506</v>
      </c>
      <c r="C411" s="18" t="s">
        <v>549</v>
      </c>
      <c r="D411" s="11">
        <v>1.5</v>
      </c>
      <c r="G411" s="11">
        <v>11.4</v>
      </c>
      <c r="H411" s="11">
        <v>6.3</v>
      </c>
      <c r="I411" s="11">
        <v>2.8</v>
      </c>
      <c r="J411" s="11">
        <v>1</v>
      </c>
      <c r="K411" s="11">
        <v>6.5</v>
      </c>
      <c r="L411" s="11">
        <v>8.4</v>
      </c>
      <c r="N411" s="11">
        <v>0.7</v>
      </c>
      <c r="O411" s="11">
        <v>0.6</v>
      </c>
      <c r="P411" s="9"/>
      <c r="Q411" s="9"/>
      <c r="S411" s="11">
        <v>48.7</v>
      </c>
      <c r="T411" s="13"/>
      <c r="U411" s="13"/>
      <c r="V411" s="13"/>
      <c r="X411" s="13"/>
      <c r="Y411" s="11">
        <v>5793.5</v>
      </c>
      <c r="Z411" s="13"/>
      <c r="AA411" s="13"/>
      <c r="AB411" s="13"/>
      <c r="AC411" s="13"/>
      <c r="AD411" s="13"/>
      <c r="AE411" s="13"/>
      <c r="AF411" s="13"/>
      <c r="AG411" s="9"/>
      <c r="AJ411" s="11">
        <v>5881.4</v>
      </c>
      <c r="AK411" s="13">
        <v>0</v>
      </c>
      <c r="AL411" s="13">
        <f t="shared" si="13"/>
        <v>5881.4</v>
      </c>
      <c r="AM411" s="23" t="s">
        <v>585</v>
      </c>
      <c r="AN411" s="9"/>
      <c r="AO411" s="9"/>
      <c r="AP411" s="13"/>
      <c r="AQ411" s="13"/>
      <c r="AR411" s="13"/>
    </row>
    <row r="412" spans="1:44" ht="15.75" customHeight="1">
      <c r="A412" s="9" t="s">
        <v>119</v>
      </c>
      <c r="B412" s="9" t="s">
        <v>119</v>
      </c>
      <c r="C412" s="18" t="s">
        <v>549</v>
      </c>
      <c r="D412" s="11">
        <v>193.9</v>
      </c>
      <c r="G412" s="11">
        <v>22.5</v>
      </c>
      <c r="H412" s="11">
        <v>11.9</v>
      </c>
      <c r="I412" s="11">
        <v>6</v>
      </c>
      <c r="J412" s="9"/>
      <c r="K412" s="11">
        <v>14.6</v>
      </c>
      <c r="L412" s="11">
        <v>15.7</v>
      </c>
      <c r="N412" s="11">
        <v>3.4</v>
      </c>
      <c r="O412" s="11">
        <v>4.3</v>
      </c>
      <c r="P412" s="9"/>
      <c r="Q412" s="9"/>
      <c r="S412" s="11">
        <v>45.9</v>
      </c>
      <c r="T412" s="13"/>
      <c r="U412" s="13"/>
      <c r="V412" s="13"/>
      <c r="X412" s="13"/>
      <c r="Y412" s="11">
        <v>264.10000000000002</v>
      </c>
      <c r="Z412" s="13"/>
      <c r="AA412" s="13"/>
      <c r="AB412" s="13"/>
      <c r="AC412" s="13"/>
      <c r="AD412" s="13"/>
      <c r="AE412" s="13"/>
      <c r="AF412" s="13"/>
      <c r="AG412" s="9"/>
      <c r="AJ412" s="11">
        <v>582.5</v>
      </c>
      <c r="AK412" s="13">
        <v>10</v>
      </c>
      <c r="AL412" s="13">
        <f t="shared" si="13"/>
        <v>572.5</v>
      </c>
      <c r="AM412" s="23" t="s">
        <v>586</v>
      </c>
      <c r="AN412" s="9"/>
      <c r="AO412" s="9"/>
      <c r="AP412" s="13"/>
      <c r="AQ412" s="13"/>
      <c r="AR412" s="13"/>
    </row>
    <row r="413" spans="1:44" ht="15.75" customHeight="1">
      <c r="A413" s="9" t="s">
        <v>121</v>
      </c>
      <c r="B413" s="9" t="s">
        <v>121</v>
      </c>
      <c r="C413" s="18" t="s">
        <v>549</v>
      </c>
      <c r="D413" s="11">
        <v>302.2</v>
      </c>
      <c r="G413" s="11">
        <v>65.099999999999994</v>
      </c>
      <c r="H413" s="11">
        <v>78.900000000000006</v>
      </c>
      <c r="I413" s="11">
        <v>12</v>
      </c>
      <c r="J413" s="11">
        <v>98.5</v>
      </c>
      <c r="K413" s="11">
        <v>11.8</v>
      </c>
      <c r="L413" s="11">
        <v>52.8</v>
      </c>
      <c r="N413" s="11">
        <v>10</v>
      </c>
      <c r="O413" s="11">
        <v>7.1</v>
      </c>
      <c r="P413" s="9"/>
      <c r="Q413" s="9"/>
      <c r="S413" s="11">
        <v>90.7</v>
      </c>
      <c r="T413" s="13"/>
      <c r="U413" s="13"/>
      <c r="V413" s="13"/>
      <c r="X413" s="13"/>
      <c r="Y413" s="11">
        <v>736.5</v>
      </c>
      <c r="Z413" s="13"/>
      <c r="AA413" s="13"/>
      <c r="AB413" s="13"/>
      <c r="AC413" s="13"/>
      <c r="AD413" s="13"/>
      <c r="AE413" s="13"/>
      <c r="AF413" s="13"/>
      <c r="AG413" s="9" t="s">
        <v>41</v>
      </c>
      <c r="AJ413" s="11">
        <v>1465.7</v>
      </c>
      <c r="AK413" s="13">
        <v>4.3</v>
      </c>
      <c r="AL413" s="13">
        <f t="shared" si="13"/>
        <v>1461.4</v>
      </c>
      <c r="AM413" s="23" t="s">
        <v>587</v>
      </c>
      <c r="AN413" s="9"/>
      <c r="AO413" s="9"/>
      <c r="AP413" s="13"/>
      <c r="AQ413" s="13"/>
      <c r="AR413" s="13"/>
    </row>
    <row r="414" spans="1:44" ht="15.75" customHeight="1">
      <c r="A414" s="9" t="s">
        <v>262</v>
      </c>
      <c r="B414" s="9" t="s">
        <v>262</v>
      </c>
      <c r="C414" s="18" t="s">
        <v>549</v>
      </c>
      <c r="D414" s="11">
        <v>449.6</v>
      </c>
      <c r="G414" s="11">
        <v>59.8</v>
      </c>
      <c r="H414" s="11">
        <v>37</v>
      </c>
      <c r="I414" s="11">
        <v>22.9</v>
      </c>
      <c r="J414" s="11">
        <v>117</v>
      </c>
      <c r="K414" s="11">
        <v>16.100000000000001</v>
      </c>
      <c r="L414" s="11">
        <v>26</v>
      </c>
      <c r="N414" s="11">
        <v>12.6</v>
      </c>
      <c r="O414" s="11">
        <v>17.100000000000001</v>
      </c>
      <c r="P414" s="9"/>
      <c r="Q414" s="9"/>
      <c r="S414" s="11">
        <v>203.7</v>
      </c>
      <c r="T414" s="13"/>
      <c r="U414" s="13"/>
      <c r="V414" s="13"/>
      <c r="X414" s="13"/>
      <c r="Y414" s="11">
        <v>1396.4</v>
      </c>
      <c r="Z414" s="13"/>
      <c r="AA414" s="13"/>
      <c r="AB414" s="13"/>
      <c r="AC414" s="13"/>
      <c r="AD414" s="13"/>
      <c r="AE414" s="13"/>
      <c r="AF414" s="13"/>
      <c r="AG414" s="9"/>
      <c r="AJ414" s="11">
        <v>2358.1999999999998</v>
      </c>
      <c r="AK414" s="13">
        <v>30</v>
      </c>
      <c r="AL414" s="13">
        <f t="shared" si="13"/>
        <v>2328.1999999999998</v>
      </c>
      <c r="AM414" s="23" t="s">
        <v>588</v>
      </c>
      <c r="AN414" s="9"/>
      <c r="AO414" s="9"/>
      <c r="AP414" s="13"/>
      <c r="AQ414" s="13"/>
      <c r="AR414" s="13"/>
    </row>
    <row r="415" spans="1:44" ht="15.75" customHeight="1">
      <c r="A415" s="9" t="s">
        <v>264</v>
      </c>
      <c r="B415" s="9" t="s">
        <v>264</v>
      </c>
      <c r="C415" s="18" t="s">
        <v>549</v>
      </c>
      <c r="D415" s="11">
        <v>572.6</v>
      </c>
      <c r="G415" s="11">
        <v>110.5</v>
      </c>
      <c r="H415" s="11">
        <v>44.8</v>
      </c>
      <c r="I415" s="11">
        <v>31.1</v>
      </c>
      <c r="J415" s="11">
        <v>246.8</v>
      </c>
      <c r="K415" s="11">
        <v>30.4</v>
      </c>
      <c r="L415" s="11">
        <v>77.5</v>
      </c>
      <c r="N415" s="11">
        <v>17.8</v>
      </c>
      <c r="O415" s="11">
        <v>17.8</v>
      </c>
      <c r="P415" s="9"/>
      <c r="Q415" s="9"/>
      <c r="S415" s="11">
        <v>212.5</v>
      </c>
      <c r="T415" s="13"/>
      <c r="U415" s="13"/>
      <c r="V415" s="13"/>
      <c r="X415" s="13"/>
      <c r="Y415" s="11">
        <v>514</v>
      </c>
      <c r="Z415" s="13"/>
      <c r="AA415" s="13"/>
      <c r="AB415" s="13"/>
      <c r="AC415" s="13"/>
      <c r="AD415" s="13"/>
      <c r="AE415" s="13"/>
      <c r="AF415" s="13"/>
      <c r="AG415" s="11">
        <v>24</v>
      </c>
      <c r="AJ415" s="11">
        <v>1899.7</v>
      </c>
      <c r="AK415" s="13">
        <v>0.5</v>
      </c>
      <c r="AL415" s="13">
        <f t="shared" si="13"/>
        <v>1899.2</v>
      </c>
      <c r="AM415" s="23" t="s">
        <v>589</v>
      </c>
      <c r="AN415" s="9"/>
      <c r="AO415" s="9"/>
      <c r="AP415" s="13"/>
      <c r="AQ415" s="13"/>
      <c r="AR415" s="13"/>
    </row>
    <row r="416" spans="1:44" ht="15.75" customHeight="1">
      <c r="A416" s="9" t="s">
        <v>512</v>
      </c>
      <c r="B416" s="9" t="s">
        <v>131</v>
      </c>
      <c r="C416" s="18" t="s">
        <v>549</v>
      </c>
      <c r="D416" s="11">
        <v>1322.5</v>
      </c>
      <c r="G416" s="11">
        <v>94.9</v>
      </c>
      <c r="H416" s="11">
        <v>22.4</v>
      </c>
      <c r="I416" s="11">
        <v>23.5</v>
      </c>
      <c r="J416" s="11">
        <v>1.1000000000000001</v>
      </c>
      <c r="K416" s="11">
        <v>22.2</v>
      </c>
      <c r="L416" s="11">
        <v>46</v>
      </c>
      <c r="N416" s="11">
        <v>13</v>
      </c>
      <c r="O416" s="11">
        <v>12</v>
      </c>
      <c r="P416" s="9"/>
      <c r="Q416" s="9"/>
      <c r="S416" s="11">
        <v>600.20000000000005</v>
      </c>
      <c r="T416" s="13"/>
      <c r="U416" s="13"/>
      <c r="V416" s="13"/>
      <c r="X416" s="13"/>
      <c r="Y416" s="11">
        <v>15850</v>
      </c>
      <c r="Z416" s="13"/>
      <c r="AA416" s="13"/>
      <c r="AB416" s="13"/>
      <c r="AC416" s="13"/>
      <c r="AD416" s="13"/>
      <c r="AE416" s="13"/>
      <c r="AF416" s="13"/>
      <c r="AG416" s="9"/>
      <c r="AJ416" s="11">
        <v>18007.7</v>
      </c>
      <c r="AK416" s="13">
        <v>0</v>
      </c>
      <c r="AL416" s="13">
        <f t="shared" si="13"/>
        <v>18007.7</v>
      </c>
      <c r="AM416" s="23" t="s">
        <v>590</v>
      </c>
      <c r="AN416" s="9"/>
      <c r="AO416" s="9"/>
      <c r="AP416" s="13"/>
      <c r="AQ416" s="13"/>
      <c r="AR416" s="13"/>
    </row>
    <row r="417" spans="1:44" ht="15.75" customHeight="1">
      <c r="A417" s="9" t="s">
        <v>133</v>
      </c>
      <c r="B417" s="9" t="s">
        <v>133</v>
      </c>
      <c r="C417" s="18" t="s">
        <v>549</v>
      </c>
      <c r="D417" s="11">
        <v>473</v>
      </c>
      <c r="G417" s="11">
        <v>13.5</v>
      </c>
      <c r="H417" s="11">
        <v>3.2</v>
      </c>
      <c r="I417" s="11">
        <v>1.1000000000000001</v>
      </c>
      <c r="J417" s="11">
        <v>4.7</v>
      </c>
      <c r="K417" s="11">
        <v>20.7</v>
      </c>
      <c r="L417" s="11">
        <v>4.0999999999999996</v>
      </c>
      <c r="N417" s="11">
        <v>7.1</v>
      </c>
      <c r="O417" s="11">
        <v>2.9</v>
      </c>
      <c r="P417" s="9"/>
      <c r="Q417" s="9"/>
      <c r="S417" s="11">
        <v>168.9</v>
      </c>
      <c r="T417" s="13"/>
      <c r="U417" s="13"/>
      <c r="V417" s="13"/>
      <c r="X417" s="13"/>
      <c r="Y417" s="9" t="s">
        <v>41</v>
      </c>
      <c r="Z417" s="13"/>
      <c r="AA417" s="13"/>
      <c r="AB417" s="13"/>
      <c r="AC417" s="13"/>
      <c r="AD417" s="13"/>
      <c r="AE417" s="13"/>
      <c r="AF417" s="13"/>
      <c r="AG417" s="11">
        <v>281.5</v>
      </c>
      <c r="AJ417" s="11">
        <v>980.6</v>
      </c>
      <c r="AK417" s="13">
        <v>99.4</v>
      </c>
      <c r="AL417" s="13">
        <f t="shared" si="13"/>
        <v>881.2</v>
      </c>
      <c r="AM417" s="23" t="s">
        <v>591</v>
      </c>
      <c r="AN417" s="9"/>
      <c r="AO417" s="9"/>
      <c r="AP417" s="13"/>
      <c r="AQ417" s="13"/>
      <c r="AR417" s="13"/>
    </row>
    <row r="418" spans="1:44" ht="15.75" customHeight="1">
      <c r="A418" s="9" t="s">
        <v>135</v>
      </c>
      <c r="B418" s="9" t="s">
        <v>135</v>
      </c>
      <c r="C418" s="18" t="s">
        <v>549</v>
      </c>
      <c r="D418" s="11">
        <v>162.9</v>
      </c>
      <c r="G418" s="11">
        <v>16.899999999999999</v>
      </c>
      <c r="H418" s="11">
        <v>2.7</v>
      </c>
      <c r="I418" s="11">
        <v>1.7</v>
      </c>
      <c r="J418" s="11">
        <v>4.9000000000000004</v>
      </c>
      <c r="K418" s="11">
        <v>6.7</v>
      </c>
      <c r="L418" s="11">
        <v>14.4</v>
      </c>
      <c r="N418" s="11">
        <v>7.7</v>
      </c>
      <c r="O418" s="11">
        <v>1.9</v>
      </c>
      <c r="P418" s="9"/>
      <c r="Q418" s="9"/>
      <c r="S418" s="11">
        <v>32.200000000000003</v>
      </c>
      <c r="T418" s="13"/>
      <c r="U418" s="13"/>
      <c r="V418" s="13"/>
      <c r="X418" s="13"/>
      <c r="Y418" s="9"/>
      <c r="Z418" s="13"/>
      <c r="AA418" s="13"/>
      <c r="AB418" s="13"/>
      <c r="AC418" s="13"/>
      <c r="AD418" s="13"/>
      <c r="AE418" s="13"/>
      <c r="AF418" s="13"/>
      <c r="AG418" s="9"/>
      <c r="AJ418" s="11">
        <v>251.4</v>
      </c>
      <c r="AK418" s="13">
        <v>47.3</v>
      </c>
      <c r="AL418" s="13">
        <f t="shared" si="13"/>
        <v>204.10000000000002</v>
      </c>
      <c r="AM418" s="23" t="s">
        <v>592</v>
      </c>
      <c r="AN418" s="9"/>
      <c r="AO418" s="9"/>
      <c r="AP418" s="13"/>
      <c r="AQ418" s="13"/>
      <c r="AR418" s="13"/>
    </row>
    <row r="419" spans="1:44" ht="15.75" customHeight="1">
      <c r="A419" s="9" t="s">
        <v>137</v>
      </c>
      <c r="B419" s="9" t="s">
        <v>137</v>
      </c>
      <c r="C419" s="18" t="s">
        <v>549</v>
      </c>
      <c r="D419" s="11">
        <v>137.5</v>
      </c>
      <c r="G419" s="11">
        <v>39.1</v>
      </c>
      <c r="H419" s="11">
        <v>36.799999999999997</v>
      </c>
      <c r="I419" s="11">
        <v>11</v>
      </c>
      <c r="J419" s="11">
        <v>45.7</v>
      </c>
      <c r="K419" s="11">
        <v>12.9</v>
      </c>
      <c r="L419" s="11">
        <v>36.299999999999997</v>
      </c>
      <c r="N419" s="11">
        <v>6.6</v>
      </c>
      <c r="O419" s="11">
        <v>10.3</v>
      </c>
      <c r="P419" s="9"/>
      <c r="Q419" s="9"/>
      <c r="S419" s="11">
        <v>90.2</v>
      </c>
      <c r="T419" s="13"/>
      <c r="U419" s="13"/>
      <c r="V419" s="13"/>
      <c r="X419" s="13"/>
      <c r="Y419" s="11">
        <v>698.1</v>
      </c>
      <c r="Z419" s="13"/>
      <c r="AA419" s="13"/>
      <c r="AB419" s="13"/>
      <c r="AC419" s="13"/>
      <c r="AD419" s="13"/>
      <c r="AE419" s="13"/>
      <c r="AF419" s="13"/>
      <c r="AG419" s="9"/>
      <c r="AJ419" s="11">
        <v>1124.5999999999999</v>
      </c>
      <c r="AK419" s="13">
        <v>919.5</v>
      </c>
      <c r="AL419" s="13">
        <f t="shared" si="13"/>
        <v>205.09999999999991</v>
      </c>
      <c r="AM419" s="23" t="s">
        <v>593</v>
      </c>
      <c r="AN419" s="9"/>
      <c r="AO419" s="9"/>
      <c r="AP419" s="13"/>
      <c r="AQ419" s="13"/>
      <c r="AR419" s="13"/>
    </row>
    <row r="420" spans="1:44" ht="15.75" customHeight="1">
      <c r="A420" s="9" t="s">
        <v>139</v>
      </c>
      <c r="B420" s="9" t="s">
        <v>139</v>
      </c>
      <c r="C420" s="18" t="s">
        <v>549</v>
      </c>
      <c r="D420" s="11">
        <v>75.2</v>
      </c>
      <c r="G420" s="11">
        <v>21.4</v>
      </c>
      <c r="H420" s="11">
        <v>7.9</v>
      </c>
      <c r="I420" s="11">
        <v>2.1</v>
      </c>
      <c r="J420" s="11">
        <v>40.1</v>
      </c>
      <c r="K420" s="11">
        <v>10.9</v>
      </c>
      <c r="L420" s="11">
        <v>9.5</v>
      </c>
      <c r="N420" s="11">
        <v>1.9</v>
      </c>
      <c r="O420" s="11">
        <v>0.5</v>
      </c>
      <c r="P420" s="9"/>
      <c r="Q420" s="9"/>
      <c r="S420" s="11">
        <v>50.7</v>
      </c>
      <c r="T420" s="13"/>
      <c r="U420" s="13"/>
      <c r="V420" s="13"/>
      <c r="X420" s="13"/>
      <c r="Y420" s="11">
        <v>1600.8</v>
      </c>
      <c r="Z420" s="13"/>
      <c r="AA420" s="13"/>
      <c r="AB420" s="13"/>
      <c r="AC420" s="13"/>
      <c r="AD420" s="13"/>
      <c r="AE420" s="13"/>
      <c r="AF420" s="13"/>
      <c r="AG420" s="11">
        <v>389</v>
      </c>
      <c r="AJ420" s="11">
        <v>2210</v>
      </c>
      <c r="AK420" s="13">
        <v>0</v>
      </c>
      <c r="AL420" s="13">
        <f t="shared" si="13"/>
        <v>2210</v>
      </c>
      <c r="AM420" s="23" t="s">
        <v>594</v>
      </c>
      <c r="AN420" s="9"/>
      <c r="AO420" s="9"/>
      <c r="AP420" s="13"/>
      <c r="AQ420" s="13"/>
      <c r="AR420" s="13"/>
    </row>
    <row r="421" spans="1:44" ht="15.75" customHeight="1">
      <c r="A421" s="9" t="s">
        <v>595</v>
      </c>
      <c r="B421" s="9" t="s">
        <v>595</v>
      </c>
      <c r="C421" s="18" t="s">
        <v>549</v>
      </c>
      <c r="D421" s="11">
        <v>62.7</v>
      </c>
      <c r="G421" s="11">
        <v>5.6</v>
      </c>
      <c r="H421" s="11">
        <v>7.8</v>
      </c>
      <c r="I421" s="11">
        <v>0</v>
      </c>
      <c r="J421" s="11">
        <v>13.6</v>
      </c>
      <c r="K421" s="11">
        <v>1.4</v>
      </c>
      <c r="L421" s="11">
        <v>35.9</v>
      </c>
      <c r="N421" s="11">
        <v>0.3</v>
      </c>
      <c r="O421" s="11">
        <v>0.1</v>
      </c>
      <c r="P421" s="9"/>
      <c r="Q421" s="9"/>
      <c r="S421" s="11">
        <v>5.2</v>
      </c>
      <c r="T421" s="13"/>
      <c r="U421" s="13"/>
      <c r="V421" s="13"/>
      <c r="X421" s="13"/>
      <c r="Y421" s="11">
        <v>790.3</v>
      </c>
      <c r="Z421" s="13"/>
      <c r="AA421" s="13"/>
      <c r="AB421" s="13"/>
      <c r="AC421" s="13"/>
      <c r="AD421" s="13"/>
      <c r="AE421" s="13"/>
      <c r="AF421" s="13"/>
      <c r="AG421" s="11">
        <v>65</v>
      </c>
      <c r="AJ421" s="11">
        <v>987.9</v>
      </c>
      <c r="AK421" s="13">
        <v>0</v>
      </c>
      <c r="AL421" s="13">
        <f t="shared" si="13"/>
        <v>987.9</v>
      </c>
      <c r="AM421" s="23" t="s">
        <v>596</v>
      </c>
      <c r="AN421" s="9"/>
      <c r="AO421" s="9"/>
      <c r="AP421" s="13"/>
      <c r="AQ421" s="13"/>
      <c r="AR421" s="13"/>
    </row>
    <row r="422" spans="1:44" ht="15.75" customHeight="1">
      <c r="A422" s="9" t="s">
        <v>597</v>
      </c>
      <c r="B422" s="9" t="s">
        <v>597</v>
      </c>
      <c r="C422" s="18" t="s">
        <v>549</v>
      </c>
      <c r="D422" s="11">
        <v>451.9</v>
      </c>
      <c r="G422" s="11">
        <v>11.2</v>
      </c>
      <c r="H422" s="11">
        <v>4.4000000000000004</v>
      </c>
      <c r="I422" s="11">
        <v>0.8</v>
      </c>
      <c r="J422" s="11">
        <v>23.2</v>
      </c>
      <c r="K422" s="11">
        <v>58.4</v>
      </c>
      <c r="L422" s="11">
        <v>11</v>
      </c>
      <c r="N422" s="11">
        <v>1</v>
      </c>
      <c r="O422" s="11">
        <v>4.5999999999999996</v>
      </c>
      <c r="P422" s="9"/>
      <c r="Q422" s="9"/>
      <c r="S422" s="11">
        <v>1116.7</v>
      </c>
      <c r="T422" s="13"/>
      <c r="U422" s="13"/>
      <c r="V422" s="13"/>
      <c r="X422" s="13"/>
      <c r="Y422" s="11">
        <v>203.2</v>
      </c>
      <c r="Z422" s="13"/>
      <c r="AA422" s="13"/>
      <c r="AB422" s="13"/>
      <c r="AC422" s="13"/>
      <c r="AD422" s="13"/>
      <c r="AE422" s="13"/>
      <c r="AF422" s="13"/>
      <c r="AG422" s="9"/>
      <c r="AJ422" s="11">
        <v>1886.4</v>
      </c>
      <c r="AK422" s="13">
        <v>3.9</v>
      </c>
      <c r="AL422" s="13">
        <f t="shared" si="13"/>
        <v>1882.5</v>
      </c>
      <c r="AM422" s="23" t="s">
        <v>598</v>
      </c>
      <c r="AN422" s="9"/>
      <c r="AO422" s="9"/>
      <c r="AP422" s="13"/>
      <c r="AQ422" s="13"/>
      <c r="AR422" s="13"/>
    </row>
    <row r="423" spans="1:44" ht="15.75" customHeight="1">
      <c r="A423" s="9" t="s">
        <v>599</v>
      </c>
      <c r="B423" s="9" t="s">
        <v>599</v>
      </c>
      <c r="C423" s="18" t="s">
        <v>549</v>
      </c>
      <c r="D423" s="11">
        <v>509.1</v>
      </c>
      <c r="G423" s="11">
        <v>40.9</v>
      </c>
      <c r="H423" s="11">
        <v>7.3</v>
      </c>
      <c r="I423" s="11">
        <v>34.6</v>
      </c>
      <c r="J423" s="11">
        <v>146.80000000000001</v>
      </c>
      <c r="K423" s="11">
        <v>45</v>
      </c>
      <c r="L423" s="11">
        <v>145.9</v>
      </c>
      <c r="N423" s="11">
        <v>6.3</v>
      </c>
      <c r="O423" s="11">
        <v>27.4</v>
      </c>
      <c r="P423" s="9"/>
      <c r="Q423" s="9"/>
      <c r="S423" s="11">
        <v>4776.1000000000004</v>
      </c>
      <c r="T423" s="13"/>
      <c r="U423" s="13"/>
      <c r="V423" s="13"/>
      <c r="X423" s="13"/>
      <c r="Y423" s="11">
        <v>276.5</v>
      </c>
      <c r="Z423" s="13"/>
      <c r="AA423" s="13"/>
      <c r="AB423" s="13"/>
      <c r="AC423" s="13"/>
      <c r="AD423" s="13"/>
      <c r="AE423" s="13"/>
      <c r="AF423" s="13"/>
      <c r="AG423" s="9"/>
      <c r="AJ423" s="11">
        <v>6015.7</v>
      </c>
      <c r="AK423" s="13">
        <v>0.3</v>
      </c>
      <c r="AL423" s="13">
        <f t="shared" si="13"/>
        <v>6015.4</v>
      </c>
      <c r="AM423" s="23" t="s">
        <v>600</v>
      </c>
      <c r="AN423" s="9"/>
      <c r="AO423" s="9"/>
      <c r="AP423" s="13"/>
      <c r="AQ423" s="13"/>
      <c r="AR423" s="13"/>
    </row>
    <row r="424" spans="1:44" ht="15.75" customHeight="1">
      <c r="A424" s="9" t="s">
        <v>273</v>
      </c>
      <c r="B424" s="9" t="s">
        <v>273</v>
      </c>
      <c r="C424" s="18" t="s">
        <v>549</v>
      </c>
      <c r="D424" s="12">
        <v>1270.9000000000001</v>
      </c>
      <c r="G424" s="12">
        <v>69</v>
      </c>
      <c r="H424" s="12">
        <v>13.6</v>
      </c>
      <c r="I424" s="12">
        <v>13.2</v>
      </c>
      <c r="J424" s="12">
        <v>51.3</v>
      </c>
      <c r="K424" s="12">
        <v>2072.4</v>
      </c>
      <c r="L424" s="12">
        <v>20.8</v>
      </c>
      <c r="N424" s="12">
        <v>374.6</v>
      </c>
      <c r="O424" s="12">
        <v>161.1</v>
      </c>
      <c r="P424" s="20"/>
      <c r="Q424" s="20"/>
      <c r="S424" s="12">
        <v>6618</v>
      </c>
      <c r="T424" s="20"/>
      <c r="U424" s="20"/>
      <c r="V424" s="20"/>
      <c r="X424" s="13"/>
      <c r="Y424" s="12">
        <v>275.3</v>
      </c>
      <c r="Z424" s="13"/>
      <c r="AA424" s="13"/>
      <c r="AB424" s="13"/>
      <c r="AC424" s="13"/>
      <c r="AD424" s="13"/>
      <c r="AE424" s="13"/>
      <c r="AF424" s="13"/>
      <c r="AG424" s="12">
        <v>99</v>
      </c>
      <c r="AJ424" s="11">
        <v>11039.3</v>
      </c>
      <c r="AK424" s="13">
        <v>44</v>
      </c>
      <c r="AL424" s="13">
        <f t="shared" si="13"/>
        <v>10995.3</v>
      </c>
      <c r="AM424" s="23" t="s">
        <v>601</v>
      </c>
      <c r="AN424" s="9"/>
      <c r="AO424" s="9"/>
      <c r="AP424" s="13"/>
      <c r="AQ424" s="13"/>
      <c r="AR424" s="13"/>
    </row>
    <row r="425" spans="1:44" ht="15.75" customHeight="1">
      <c r="A425" s="9" t="s">
        <v>275</v>
      </c>
      <c r="B425" s="9" t="s">
        <v>275</v>
      </c>
      <c r="C425" s="18" t="s">
        <v>549</v>
      </c>
      <c r="D425" s="11">
        <v>205.4</v>
      </c>
      <c r="G425" s="11">
        <v>41.6</v>
      </c>
      <c r="H425" s="11">
        <v>11.5</v>
      </c>
      <c r="I425" s="11">
        <v>9.5</v>
      </c>
      <c r="J425" s="11">
        <v>43.6</v>
      </c>
      <c r="K425" s="11">
        <v>13.8</v>
      </c>
      <c r="L425" s="11">
        <v>30.2</v>
      </c>
      <c r="N425" s="11">
        <v>7.5</v>
      </c>
      <c r="O425" s="11">
        <v>12.3</v>
      </c>
      <c r="P425" s="9"/>
      <c r="Q425" s="9"/>
      <c r="S425" s="11">
        <v>552.9</v>
      </c>
      <c r="T425" s="13"/>
      <c r="U425" s="13"/>
      <c r="V425" s="13"/>
      <c r="X425" s="13"/>
      <c r="Y425" s="11">
        <v>472.8</v>
      </c>
      <c r="Z425" s="13"/>
      <c r="AA425" s="13"/>
      <c r="AB425" s="13"/>
      <c r="AC425" s="13"/>
      <c r="AD425" s="13"/>
      <c r="AE425" s="13"/>
      <c r="AF425" s="13"/>
      <c r="AG425" s="11"/>
      <c r="AJ425" s="24">
        <v>1401.1</v>
      </c>
      <c r="AK425" s="13">
        <v>0</v>
      </c>
      <c r="AL425" s="13">
        <f t="shared" si="13"/>
        <v>1401.1</v>
      </c>
      <c r="AM425" s="23" t="s">
        <v>602</v>
      </c>
      <c r="AN425" s="9"/>
      <c r="AO425" s="9"/>
      <c r="AP425" s="13"/>
      <c r="AQ425" s="13"/>
      <c r="AR425" s="13"/>
    </row>
    <row r="426" spans="1:44" ht="15.75" customHeight="1">
      <c r="A426" s="9" t="s">
        <v>145</v>
      </c>
      <c r="B426" s="9" t="s">
        <v>145</v>
      </c>
      <c r="C426" s="18" t="s">
        <v>549</v>
      </c>
      <c r="D426" s="11">
        <v>273</v>
      </c>
      <c r="G426" s="11">
        <v>87</v>
      </c>
      <c r="H426" s="11">
        <v>120.2</v>
      </c>
      <c r="I426" s="11">
        <v>21.6</v>
      </c>
      <c r="J426" s="11">
        <v>85.6</v>
      </c>
      <c r="K426" s="11">
        <v>11.7</v>
      </c>
      <c r="L426" s="11">
        <v>35.799999999999997</v>
      </c>
      <c r="N426" s="11">
        <v>10.4</v>
      </c>
      <c r="O426" s="11">
        <v>4.5999999999999996</v>
      </c>
      <c r="P426" s="9"/>
      <c r="Q426" s="9"/>
      <c r="S426" s="11">
        <v>245.4</v>
      </c>
      <c r="T426" s="13"/>
      <c r="U426" s="13"/>
      <c r="V426" s="13"/>
      <c r="X426" s="13"/>
      <c r="Y426" s="9"/>
      <c r="Z426" s="13"/>
      <c r="AA426" s="13"/>
      <c r="AB426" s="13"/>
      <c r="AC426" s="13"/>
      <c r="AD426" s="13"/>
      <c r="AE426" s="13"/>
      <c r="AF426" s="13"/>
      <c r="AG426" s="9"/>
      <c r="AJ426" s="11">
        <v>895.3</v>
      </c>
      <c r="AK426" s="13">
        <v>0</v>
      </c>
      <c r="AL426" s="13">
        <f t="shared" si="13"/>
        <v>895.3</v>
      </c>
      <c r="AM426" s="23" t="s">
        <v>603</v>
      </c>
      <c r="AN426" s="9"/>
      <c r="AO426" s="9"/>
      <c r="AP426" s="13"/>
      <c r="AQ426" s="13"/>
      <c r="AR426" s="13"/>
    </row>
    <row r="427" spans="1:44" ht="15.75" customHeight="1">
      <c r="A427" s="9" t="s">
        <v>278</v>
      </c>
      <c r="B427" s="9" t="s">
        <v>278</v>
      </c>
      <c r="C427" s="18" t="s">
        <v>549</v>
      </c>
      <c r="D427" s="11">
        <v>7.8</v>
      </c>
      <c r="G427" s="11">
        <v>23.1</v>
      </c>
      <c r="H427" s="11">
        <v>16</v>
      </c>
      <c r="I427" s="11">
        <v>1.2</v>
      </c>
      <c r="J427" s="9"/>
      <c r="K427" s="11">
        <v>3</v>
      </c>
      <c r="L427" s="11">
        <v>30.4</v>
      </c>
      <c r="N427" s="11">
        <v>2.6</v>
      </c>
      <c r="O427" s="11">
        <v>0.7</v>
      </c>
      <c r="P427" s="9"/>
      <c r="Q427" s="9"/>
      <c r="S427" s="11">
        <v>107.5</v>
      </c>
      <c r="T427" s="13"/>
      <c r="U427" s="13"/>
      <c r="V427" s="13"/>
      <c r="X427" s="13"/>
      <c r="Y427" s="11">
        <v>1654.5</v>
      </c>
      <c r="Z427" s="13"/>
      <c r="AA427" s="13"/>
      <c r="AB427" s="13"/>
      <c r="AC427" s="13"/>
      <c r="AD427" s="13"/>
      <c r="AE427" s="13"/>
      <c r="AF427" s="13"/>
      <c r="AG427" s="9"/>
      <c r="AJ427" s="11">
        <v>1846.9</v>
      </c>
      <c r="AK427" s="13">
        <v>0</v>
      </c>
      <c r="AL427" s="13">
        <f t="shared" si="13"/>
        <v>1846.9</v>
      </c>
      <c r="AM427" s="23" t="s">
        <v>604</v>
      </c>
      <c r="AN427" s="9"/>
      <c r="AO427" s="9"/>
      <c r="AP427" s="13"/>
      <c r="AQ427" s="13"/>
      <c r="AR427" s="13"/>
    </row>
    <row r="428" spans="1:44" ht="15.75" customHeight="1">
      <c r="A428" s="9" t="s">
        <v>280</v>
      </c>
      <c r="B428" s="9" t="s">
        <v>280</v>
      </c>
      <c r="C428" s="18" t="s">
        <v>549</v>
      </c>
      <c r="D428" s="11">
        <v>1040.2</v>
      </c>
      <c r="G428" s="11">
        <v>121.6</v>
      </c>
      <c r="H428" s="11">
        <v>51.1</v>
      </c>
      <c r="I428" s="11">
        <v>14.7</v>
      </c>
      <c r="J428" s="11">
        <v>126</v>
      </c>
      <c r="K428" s="11">
        <v>30.1</v>
      </c>
      <c r="L428" s="11">
        <v>67</v>
      </c>
      <c r="N428" s="11">
        <v>16</v>
      </c>
      <c r="O428" s="11">
        <v>13.9</v>
      </c>
      <c r="P428" s="9"/>
      <c r="Q428" s="9"/>
      <c r="S428" s="11">
        <v>328.6</v>
      </c>
      <c r="T428" s="13"/>
      <c r="U428" s="13"/>
      <c r="V428" s="13"/>
      <c r="X428" s="13"/>
      <c r="Y428" s="11">
        <v>1951.9</v>
      </c>
      <c r="Z428" s="13"/>
      <c r="AA428" s="13"/>
      <c r="AB428" s="13"/>
      <c r="AC428" s="13"/>
      <c r="AD428" s="13"/>
      <c r="AE428" s="13"/>
      <c r="AF428" s="13"/>
      <c r="AG428" s="9"/>
      <c r="AJ428" s="11">
        <v>3761.1</v>
      </c>
      <c r="AK428" s="13">
        <v>435.5</v>
      </c>
      <c r="AL428" s="13">
        <f t="shared" si="13"/>
        <v>3325.6</v>
      </c>
      <c r="AM428" s="23" t="s">
        <v>605</v>
      </c>
      <c r="AN428" s="9"/>
      <c r="AO428" s="9"/>
      <c r="AP428" s="13"/>
      <c r="AQ428" s="13"/>
      <c r="AR428" s="13"/>
    </row>
    <row r="429" spans="1:44" ht="15.75" customHeight="1">
      <c r="A429" s="9" t="s">
        <v>148</v>
      </c>
      <c r="B429" s="9" t="s">
        <v>148</v>
      </c>
      <c r="C429" s="18" t="s">
        <v>549</v>
      </c>
      <c r="D429" s="11">
        <v>7600</v>
      </c>
      <c r="G429" s="11">
        <v>486.5</v>
      </c>
      <c r="H429" s="11">
        <v>69</v>
      </c>
      <c r="I429" s="11">
        <v>70.3</v>
      </c>
      <c r="J429" s="11">
        <v>19.5</v>
      </c>
      <c r="K429" s="11">
        <v>50.6</v>
      </c>
      <c r="L429" s="11">
        <v>168.2</v>
      </c>
      <c r="N429" s="9"/>
      <c r="O429" s="9"/>
      <c r="P429" s="9"/>
      <c r="Q429" s="9"/>
      <c r="S429" s="11">
        <v>4101.5</v>
      </c>
      <c r="T429" s="13"/>
      <c r="U429" s="13"/>
      <c r="V429" s="13"/>
      <c r="X429" s="13"/>
      <c r="Y429" s="11">
        <v>521.1</v>
      </c>
      <c r="Z429" s="13"/>
      <c r="AA429" s="13"/>
      <c r="AB429" s="13"/>
      <c r="AC429" s="13"/>
      <c r="AD429" s="13"/>
      <c r="AE429" s="13"/>
      <c r="AF429" s="13"/>
      <c r="AG429" s="9" t="s">
        <v>41</v>
      </c>
      <c r="AJ429" s="11">
        <v>13086.6</v>
      </c>
      <c r="AK429" s="13">
        <v>768.4</v>
      </c>
      <c r="AL429" s="13">
        <f t="shared" si="13"/>
        <v>12318.2</v>
      </c>
      <c r="AM429" s="23" t="s">
        <v>606</v>
      </c>
      <c r="AN429" s="9"/>
      <c r="AO429" s="9"/>
      <c r="AP429" s="13"/>
      <c r="AQ429" s="13"/>
      <c r="AR429" s="13"/>
    </row>
    <row r="430" spans="1:44" ht="15.75" customHeight="1">
      <c r="A430" s="9" t="s">
        <v>150</v>
      </c>
      <c r="B430" s="9" t="s">
        <v>150</v>
      </c>
      <c r="C430" s="18" t="s">
        <v>549</v>
      </c>
      <c r="D430" s="11">
        <v>1617.3</v>
      </c>
      <c r="G430" s="9"/>
      <c r="H430" s="9"/>
      <c r="I430" s="9"/>
      <c r="J430" s="9"/>
      <c r="K430" s="9"/>
      <c r="L430" s="9"/>
      <c r="N430" s="9"/>
      <c r="O430" s="9"/>
      <c r="P430" s="9"/>
      <c r="Q430" s="9"/>
      <c r="S430" s="11">
        <v>237.9</v>
      </c>
      <c r="T430" s="13"/>
      <c r="U430" s="13"/>
      <c r="V430" s="13"/>
      <c r="X430" s="13"/>
      <c r="Y430" s="11">
        <v>1294.3</v>
      </c>
      <c r="Z430" s="13"/>
      <c r="AA430" s="13"/>
      <c r="AB430" s="13"/>
      <c r="AC430" s="13"/>
      <c r="AD430" s="13"/>
      <c r="AE430" s="13"/>
      <c r="AF430" s="13"/>
      <c r="AG430" s="9"/>
      <c r="AJ430" s="11">
        <v>3149.6</v>
      </c>
      <c r="AK430" s="13">
        <v>0</v>
      </c>
      <c r="AL430" s="13">
        <f t="shared" si="13"/>
        <v>3149.6</v>
      </c>
      <c r="AM430" s="23" t="s">
        <v>607</v>
      </c>
      <c r="AN430" s="9"/>
      <c r="AO430" s="9"/>
      <c r="AP430" s="13"/>
      <c r="AQ430" s="13"/>
      <c r="AR430" s="13"/>
    </row>
    <row r="431" spans="1:44" ht="15.75" customHeight="1">
      <c r="A431" s="9" t="s">
        <v>152</v>
      </c>
      <c r="B431" s="9" t="s">
        <v>152</v>
      </c>
      <c r="C431" s="18" t="s">
        <v>549</v>
      </c>
      <c r="D431" s="9"/>
      <c r="G431" s="9"/>
      <c r="H431" s="9"/>
      <c r="I431" s="9"/>
      <c r="J431" s="9"/>
      <c r="K431" s="9"/>
      <c r="L431" s="9"/>
      <c r="N431" s="9"/>
      <c r="O431" s="9"/>
      <c r="P431" s="9"/>
      <c r="Q431" s="9"/>
      <c r="S431" s="9"/>
      <c r="T431" s="13"/>
      <c r="U431" s="13"/>
      <c r="V431" s="13"/>
      <c r="X431" s="13"/>
      <c r="Y431" s="11">
        <v>33506.400000000001</v>
      </c>
      <c r="Z431" s="13"/>
      <c r="AA431" s="13"/>
      <c r="AB431" s="13"/>
      <c r="AC431" s="13"/>
      <c r="AD431" s="13"/>
      <c r="AE431" s="13"/>
      <c r="AF431" s="13"/>
      <c r="AG431" s="9"/>
      <c r="AJ431" s="11">
        <v>33506.400000000001</v>
      </c>
      <c r="AK431" s="13">
        <v>10</v>
      </c>
      <c r="AL431" s="13">
        <f t="shared" si="13"/>
        <v>33496.400000000001</v>
      </c>
      <c r="AM431" s="23" t="s">
        <v>608</v>
      </c>
      <c r="AN431" s="9"/>
      <c r="AO431" s="9"/>
      <c r="AP431" s="13"/>
      <c r="AQ431" s="13"/>
      <c r="AR431" s="13"/>
    </row>
    <row r="432" spans="1:44" ht="15.75" customHeight="1">
      <c r="A432" s="9" t="s">
        <v>154</v>
      </c>
      <c r="B432" s="9" t="s">
        <v>154</v>
      </c>
      <c r="C432" s="18" t="s">
        <v>549</v>
      </c>
      <c r="D432" s="11">
        <v>1333.7</v>
      </c>
      <c r="G432" s="11">
        <v>127</v>
      </c>
      <c r="H432" s="11">
        <v>33.9</v>
      </c>
      <c r="I432" s="11">
        <v>9</v>
      </c>
      <c r="J432" s="11">
        <v>178.3</v>
      </c>
      <c r="K432" s="11">
        <v>31.2</v>
      </c>
      <c r="L432" s="11">
        <v>56.4</v>
      </c>
      <c r="N432" s="11">
        <v>13.6</v>
      </c>
      <c r="O432" s="11">
        <v>7.3</v>
      </c>
      <c r="P432" s="9"/>
      <c r="Q432" s="9"/>
      <c r="S432" s="11">
        <v>836.4</v>
      </c>
      <c r="T432" s="13"/>
      <c r="U432" s="13"/>
      <c r="V432" s="13"/>
      <c r="X432" s="13"/>
      <c r="Y432" s="9"/>
      <c r="Z432" s="13"/>
      <c r="AA432" s="13"/>
      <c r="AB432" s="13"/>
      <c r="AC432" s="13"/>
      <c r="AD432" s="13"/>
      <c r="AE432" s="13"/>
      <c r="AF432" s="13"/>
      <c r="AG432" s="9"/>
      <c r="AJ432" s="11">
        <v>2626.7</v>
      </c>
      <c r="AK432" s="13">
        <v>0</v>
      </c>
      <c r="AL432" s="13">
        <f t="shared" si="13"/>
        <v>2626.7</v>
      </c>
      <c r="AM432" s="23" t="s">
        <v>609</v>
      </c>
      <c r="AN432" s="9"/>
      <c r="AO432" s="9"/>
      <c r="AP432" s="13"/>
      <c r="AQ432" s="13"/>
      <c r="AR432" s="13"/>
    </row>
    <row r="433" spans="1:44" ht="15.75" customHeight="1">
      <c r="A433" s="9" t="s">
        <v>156</v>
      </c>
      <c r="B433" s="9" t="s">
        <v>156</v>
      </c>
      <c r="C433" s="18" t="s">
        <v>549</v>
      </c>
      <c r="D433" s="11">
        <v>141.30000000000001</v>
      </c>
      <c r="G433" s="11">
        <v>23.7</v>
      </c>
      <c r="H433" s="11">
        <v>0.7</v>
      </c>
      <c r="I433" s="11">
        <v>0</v>
      </c>
      <c r="J433" s="11">
        <v>20.3</v>
      </c>
      <c r="K433" s="11">
        <v>6.6</v>
      </c>
      <c r="L433" s="11">
        <v>16.7</v>
      </c>
      <c r="N433" s="11">
        <v>1.2</v>
      </c>
      <c r="O433" s="11">
        <v>0.1</v>
      </c>
      <c r="P433" s="9"/>
      <c r="Q433" s="9"/>
      <c r="S433" s="11">
        <v>133.19999999999999</v>
      </c>
      <c r="T433" s="13"/>
      <c r="U433" s="13"/>
      <c r="V433" s="13"/>
      <c r="X433" s="13"/>
      <c r="Y433" s="11">
        <v>671.2</v>
      </c>
      <c r="Z433" s="13"/>
      <c r="AA433" s="13"/>
      <c r="AB433" s="13"/>
      <c r="AC433" s="13"/>
      <c r="AD433" s="13"/>
      <c r="AE433" s="13"/>
      <c r="AF433" s="13"/>
      <c r="AG433" s="11">
        <v>1.8</v>
      </c>
      <c r="AJ433" s="11">
        <v>1016.9</v>
      </c>
      <c r="AK433" s="13">
        <v>2.5</v>
      </c>
      <c r="AL433" s="13">
        <f t="shared" si="13"/>
        <v>1014.4</v>
      </c>
      <c r="AM433" s="23" t="s">
        <v>610</v>
      </c>
      <c r="AN433" s="9"/>
      <c r="AO433" s="9"/>
      <c r="AP433" s="13"/>
      <c r="AQ433" s="13"/>
      <c r="AR433" s="13"/>
    </row>
    <row r="434" spans="1:44" ht="15.75" customHeight="1">
      <c r="A434" s="9" t="s">
        <v>158</v>
      </c>
      <c r="B434" s="9" t="s">
        <v>158</v>
      </c>
      <c r="C434" s="18" t="s">
        <v>549</v>
      </c>
      <c r="D434" s="11">
        <v>191.1</v>
      </c>
      <c r="G434" s="11">
        <v>3.9</v>
      </c>
      <c r="H434" s="11">
        <v>1</v>
      </c>
      <c r="I434" s="11">
        <v>1.4</v>
      </c>
      <c r="J434" s="11">
        <v>14.6</v>
      </c>
      <c r="K434" s="11">
        <v>5</v>
      </c>
      <c r="L434" s="11">
        <v>11.4</v>
      </c>
      <c r="N434" s="11">
        <v>6.5</v>
      </c>
      <c r="O434" s="11">
        <v>1.9</v>
      </c>
      <c r="P434" s="9"/>
      <c r="Q434" s="9"/>
      <c r="S434" s="11">
        <v>169.4</v>
      </c>
      <c r="T434" s="13"/>
      <c r="U434" s="13"/>
      <c r="V434" s="13"/>
      <c r="X434" s="13"/>
      <c r="Y434" s="9"/>
      <c r="Z434" s="13"/>
      <c r="AA434" s="13"/>
      <c r="AB434" s="13"/>
      <c r="AC434" s="13"/>
      <c r="AD434" s="13"/>
      <c r="AE434" s="13"/>
      <c r="AF434" s="13"/>
      <c r="AG434" s="9"/>
      <c r="AJ434" s="11">
        <v>406.2</v>
      </c>
      <c r="AK434" s="13">
        <v>0</v>
      </c>
      <c r="AL434" s="13">
        <f t="shared" si="13"/>
        <v>406.2</v>
      </c>
      <c r="AM434" s="23" t="s">
        <v>611</v>
      </c>
      <c r="AN434" s="9"/>
      <c r="AO434" s="9"/>
      <c r="AP434" s="13"/>
      <c r="AQ434" s="13"/>
      <c r="AR434" s="13"/>
    </row>
    <row r="435" spans="1:44" ht="15.75" customHeight="1">
      <c r="A435" s="9" t="s">
        <v>164</v>
      </c>
      <c r="B435" s="9" t="s">
        <v>164</v>
      </c>
      <c r="C435" s="18" t="s">
        <v>549</v>
      </c>
      <c r="D435" s="11">
        <v>245.4</v>
      </c>
      <c r="G435" s="11">
        <v>10</v>
      </c>
      <c r="H435" s="11">
        <v>4.5999999999999996</v>
      </c>
      <c r="I435" s="11">
        <v>2.2999999999999998</v>
      </c>
      <c r="J435" s="11">
        <v>54.1</v>
      </c>
      <c r="K435" s="11">
        <v>1.8</v>
      </c>
      <c r="L435" s="11">
        <v>2</v>
      </c>
      <c r="N435" s="11">
        <v>3.5</v>
      </c>
      <c r="O435" s="11">
        <v>3.3</v>
      </c>
      <c r="P435" s="9"/>
      <c r="Q435" s="9"/>
      <c r="S435" s="11">
        <v>53</v>
      </c>
      <c r="T435" s="13"/>
      <c r="U435" s="13"/>
      <c r="V435" s="13"/>
      <c r="X435" s="13"/>
      <c r="Y435" s="11">
        <v>16.399999999999999</v>
      </c>
      <c r="Z435" s="13"/>
      <c r="AA435" s="13"/>
      <c r="AB435" s="13"/>
      <c r="AC435" s="13"/>
      <c r="AD435" s="13"/>
      <c r="AE435" s="13"/>
      <c r="AF435" s="13"/>
      <c r="AG435" s="9"/>
      <c r="AJ435" s="11">
        <v>396.3</v>
      </c>
      <c r="AK435" s="13">
        <v>0</v>
      </c>
      <c r="AL435" s="13">
        <f t="shared" si="13"/>
        <v>396.3</v>
      </c>
      <c r="AM435" s="23" t="s">
        <v>612</v>
      </c>
      <c r="AN435" s="9"/>
      <c r="AO435" s="9"/>
      <c r="AP435" s="13"/>
      <c r="AQ435" s="13"/>
      <c r="AR435" s="13"/>
    </row>
    <row r="436" spans="1:44" ht="15.75" customHeight="1">
      <c r="A436" s="9" t="s">
        <v>166</v>
      </c>
      <c r="B436" s="9" t="s">
        <v>166</v>
      </c>
      <c r="C436" s="18" t="s">
        <v>549</v>
      </c>
      <c r="D436" s="11">
        <v>826.2</v>
      </c>
      <c r="G436" s="11">
        <v>67.5</v>
      </c>
      <c r="H436" s="11">
        <v>7.1</v>
      </c>
      <c r="I436" s="11">
        <v>20.7</v>
      </c>
      <c r="J436" s="11">
        <v>29.8</v>
      </c>
      <c r="K436" s="11">
        <v>5.0999999999999996</v>
      </c>
      <c r="L436" s="11">
        <v>37.200000000000003</v>
      </c>
      <c r="N436" s="11">
        <v>9.5</v>
      </c>
      <c r="O436" s="11">
        <v>2.1</v>
      </c>
      <c r="P436" s="9"/>
      <c r="Q436" s="9"/>
      <c r="S436" s="11">
        <v>232.6</v>
      </c>
      <c r="T436" s="13"/>
      <c r="U436" s="13"/>
      <c r="V436" s="13"/>
      <c r="X436" s="13"/>
      <c r="Y436" s="9" t="s">
        <v>41</v>
      </c>
      <c r="Z436" s="13"/>
      <c r="AA436" s="13"/>
      <c r="AB436" s="13"/>
      <c r="AC436" s="13"/>
      <c r="AD436" s="13"/>
      <c r="AE436" s="13"/>
      <c r="AF436" s="13"/>
      <c r="AG436" s="9"/>
      <c r="AJ436" s="11">
        <v>1237.7</v>
      </c>
      <c r="AK436" s="13">
        <v>0</v>
      </c>
      <c r="AL436" s="13">
        <f t="shared" si="13"/>
        <v>1237.7</v>
      </c>
      <c r="AM436" s="23" t="s">
        <v>613</v>
      </c>
      <c r="AN436" s="9"/>
      <c r="AO436" s="9"/>
      <c r="AP436" s="13"/>
      <c r="AQ436" s="13"/>
      <c r="AR436" s="13"/>
    </row>
    <row r="437" spans="1:44" ht="15.75" customHeight="1">
      <c r="A437" s="9" t="s">
        <v>168</v>
      </c>
      <c r="B437" s="9" t="s">
        <v>168</v>
      </c>
      <c r="C437" s="18" t="s">
        <v>549</v>
      </c>
      <c r="D437" s="11">
        <v>2382.8000000000002</v>
      </c>
      <c r="G437" s="11">
        <v>270.5</v>
      </c>
      <c r="H437" s="11">
        <v>29.7</v>
      </c>
      <c r="I437" s="11">
        <v>49</v>
      </c>
      <c r="J437" s="11">
        <v>303.39999999999998</v>
      </c>
      <c r="K437" s="11">
        <v>130.30000000000001</v>
      </c>
      <c r="L437" s="11">
        <v>121.2</v>
      </c>
      <c r="N437" s="11">
        <v>56.5</v>
      </c>
      <c r="O437" s="11">
        <v>3.3</v>
      </c>
      <c r="P437" s="9"/>
      <c r="Q437" s="9"/>
      <c r="S437" s="11">
        <v>711.5</v>
      </c>
      <c r="T437" s="13"/>
      <c r="U437" s="13"/>
      <c r="V437" s="13"/>
      <c r="X437" s="13"/>
      <c r="Y437" s="9"/>
      <c r="Z437" s="13"/>
      <c r="AA437" s="13"/>
      <c r="AB437" s="13"/>
      <c r="AC437" s="13"/>
      <c r="AD437" s="13"/>
      <c r="AE437" s="13"/>
      <c r="AF437" s="13"/>
      <c r="AG437" s="11">
        <v>610.6</v>
      </c>
      <c r="AJ437" s="11">
        <v>4668.8</v>
      </c>
      <c r="AK437" s="13">
        <v>1</v>
      </c>
      <c r="AL437" s="13">
        <f t="shared" si="13"/>
        <v>4667.8</v>
      </c>
      <c r="AM437" s="23" t="s">
        <v>614</v>
      </c>
      <c r="AN437" s="9"/>
      <c r="AO437" s="9"/>
      <c r="AP437" s="13"/>
      <c r="AQ437" s="13"/>
      <c r="AR437" s="13"/>
    </row>
    <row r="438" spans="1:44" ht="15.75" customHeight="1">
      <c r="A438" s="9" t="s">
        <v>170</v>
      </c>
      <c r="B438" s="9" t="s">
        <v>170</v>
      </c>
      <c r="C438" s="18" t="s">
        <v>549</v>
      </c>
      <c r="D438" s="11">
        <v>4737.3</v>
      </c>
      <c r="G438" s="11">
        <v>1237.0999999999999</v>
      </c>
      <c r="H438" s="11">
        <v>695.3</v>
      </c>
      <c r="I438" s="11">
        <v>84.1</v>
      </c>
      <c r="J438" s="11">
        <v>443.9</v>
      </c>
      <c r="K438" s="11">
        <v>102.9</v>
      </c>
      <c r="L438" s="11">
        <v>201.8</v>
      </c>
      <c r="N438" s="11">
        <v>31.1</v>
      </c>
      <c r="O438" s="11">
        <v>73.8</v>
      </c>
      <c r="P438" s="9"/>
      <c r="Q438" s="9"/>
      <c r="S438" s="11">
        <v>1992.3</v>
      </c>
      <c r="T438" s="13"/>
      <c r="U438" s="13"/>
      <c r="V438" s="13"/>
      <c r="X438" s="13"/>
      <c r="Y438" s="11">
        <v>6.7</v>
      </c>
      <c r="Z438" s="13"/>
      <c r="AA438" s="13"/>
      <c r="AB438" s="13"/>
      <c r="AC438" s="13"/>
      <c r="AD438" s="13"/>
      <c r="AE438" s="13"/>
      <c r="AF438" s="13"/>
      <c r="AG438" s="9" t="s">
        <v>41</v>
      </c>
      <c r="AJ438" s="11">
        <v>9606.2999999999993</v>
      </c>
      <c r="AK438" s="13">
        <v>0</v>
      </c>
      <c r="AL438" s="13">
        <f t="shared" si="13"/>
        <v>9606.2999999999993</v>
      </c>
      <c r="AM438" s="23" t="s">
        <v>615</v>
      </c>
      <c r="AN438" s="9"/>
      <c r="AO438" s="9"/>
      <c r="AP438" s="13"/>
      <c r="AQ438" s="13"/>
      <c r="AR438" s="13"/>
    </row>
    <row r="439" spans="1:44" ht="15.75" customHeight="1">
      <c r="A439" s="9" t="s">
        <v>293</v>
      </c>
      <c r="B439" s="9" t="s">
        <v>293</v>
      </c>
      <c r="C439" s="18" t="s">
        <v>549</v>
      </c>
      <c r="D439" s="11">
        <v>11191.7</v>
      </c>
      <c r="G439" s="11">
        <v>3156.8</v>
      </c>
      <c r="H439" s="11">
        <v>1630.6</v>
      </c>
      <c r="I439" s="11">
        <v>76</v>
      </c>
      <c r="J439" s="9"/>
      <c r="K439" s="11">
        <v>106.8</v>
      </c>
      <c r="L439" s="11">
        <v>278.10000000000002</v>
      </c>
      <c r="N439" s="11">
        <v>31.9</v>
      </c>
      <c r="O439" s="11">
        <v>45.3</v>
      </c>
      <c r="P439" s="9"/>
      <c r="Q439" s="9"/>
      <c r="S439" s="11">
        <v>2269.1999999999998</v>
      </c>
      <c r="T439" s="13"/>
      <c r="U439" s="13"/>
      <c r="V439" s="13"/>
      <c r="X439" s="13"/>
      <c r="Y439" s="11">
        <v>12.5</v>
      </c>
      <c r="Z439" s="13"/>
      <c r="AA439" s="13"/>
      <c r="AB439" s="13"/>
      <c r="AC439" s="13"/>
      <c r="AD439" s="13"/>
      <c r="AE439" s="13"/>
      <c r="AF439" s="13"/>
      <c r="AG439" s="9"/>
      <c r="AJ439" s="11">
        <v>18798.8</v>
      </c>
      <c r="AK439" s="13">
        <v>0</v>
      </c>
      <c r="AL439" s="13">
        <f t="shared" si="13"/>
        <v>18798.8</v>
      </c>
      <c r="AM439" s="23" t="s">
        <v>616</v>
      </c>
      <c r="AN439" s="9"/>
      <c r="AO439" s="9"/>
      <c r="AP439" s="13"/>
      <c r="AQ439" s="13"/>
      <c r="AR439" s="13"/>
    </row>
    <row r="440" spans="1:44" ht="15.75" customHeight="1">
      <c r="A440" s="9" t="s">
        <v>176</v>
      </c>
      <c r="B440" s="9" t="s">
        <v>176</v>
      </c>
      <c r="C440" s="18" t="s">
        <v>549</v>
      </c>
      <c r="D440" s="9"/>
      <c r="G440" s="11">
        <v>46.9</v>
      </c>
      <c r="H440" s="11">
        <v>22.6</v>
      </c>
      <c r="I440" s="11">
        <v>11.3</v>
      </c>
      <c r="J440" s="11">
        <v>14.4</v>
      </c>
      <c r="K440" s="11">
        <v>103</v>
      </c>
      <c r="L440" s="11">
        <v>88.4</v>
      </c>
      <c r="N440" s="11">
        <v>2.2999999999999998</v>
      </c>
      <c r="O440" s="11">
        <v>0.9</v>
      </c>
      <c r="P440" s="9"/>
      <c r="Q440" s="9"/>
      <c r="S440" s="11">
        <v>81.3</v>
      </c>
      <c r="T440" s="13"/>
      <c r="U440" s="13"/>
      <c r="V440" s="13"/>
      <c r="X440" s="13"/>
      <c r="Y440" s="9"/>
      <c r="Z440" s="13"/>
      <c r="AA440" s="13"/>
      <c r="AB440" s="13"/>
      <c r="AC440" s="13"/>
      <c r="AD440" s="13"/>
      <c r="AE440" s="13"/>
      <c r="AF440" s="13"/>
      <c r="AG440" s="9"/>
      <c r="AJ440" s="11">
        <v>371.1</v>
      </c>
      <c r="AK440" s="13">
        <v>0</v>
      </c>
      <c r="AL440" s="13">
        <f t="shared" si="13"/>
        <v>371.1</v>
      </c>
      <c r="AM440" s="23" t="s">
        <v>617</v>
      </c>
      <c r="AN440" s="9"/>
      <c r="AO440" s="9"/>
      <c r="AP440" s="13"/>
      <c r="AQ440" s="13"/>
      <c r="AR440" s="13"/>
    </row>
    <row r="441" spans="1:44" ht="15.75" customHeight="1">
      <c r="A441" s="9" t="s">
        <v>178</v>
      </c>
      <c r="B441" s="9" t="s">
        <v>178</v>
      </c>
      <c r="C441" s="18" t="s">
        <v>549</v>
      </c>
      <c r="D441" s="11">
        <v>182.1</v>
      </c>
      <c r="G441" s="11">
        <v>8.4</v>
      </c>
      <c r="H441" s="11">
        <v>7.9</v>
      </c>
      <c r="I441" s="11">
        <v>4.8</v>
      </c>
      <c r="J441" s="11">
        <v>51.6</v>
      </c>
      <c r="K441" s="9"/>
      <c r="L441" s="11">
        <v>18.3</v>
      </c>
      <c r="N441" s="11">
        <v>6.2</v>
      </c>
      <c r="O441" s="11">
        <v>1</v>
      </c>
      <c r="P441" s="9"/>
      <c r="Q441" s="9"/>
      <c r="S441" s="11">
        <v>117.9</v>
      </c>
      <c r="T441" s="13"/>
      <c r="U441" s="13"/>
      <c r="V441" s="13"/>
      <c r="X441" s="13"/>
      <c r="Y441" s="9"/>
      <c r="Z441" s="13"/>
      <c r="AA441" s="13"/>
      <c r="AB441" s="13"/>
      <c r="AC441" s="13"/>
      <c r="AD441" s="13"/>
      <c r="AE441" s="13"/>
      <c r="AF441" s="13"/>
      <c r="AG441" s="9" t="s">
        <v>41</v>
      </c>
      <c r="AJ441" s="11">
        <v>398</v>
      </c>
      <c r="AK441" s="13">
        <v>0</v>
      </c>
      <c r="AL441" s="13">
        <f t="shared" si="13"/>
        <v>398</v>
      </c>
      <c r="AM441" s="23" t="s">
        <v>618</v>
      </c>
      <c r="AN441" s="9"/>
      <c r="AO441" s="9"/>
      <c r="AP441" s="13"/>
      <c r="AQ441" s="13"/>
      <c r="AR441" s="13"/>
    </row>
    <row r="442" spans="1:44" ht="15.75" customHeight="1">
      <c r="A442" s="9" t="s">
        <v>181</v>
      </c>
      <c r="B442" s="9" t="s">
        <v>181</v>
      </c>
      <c r="C442" s="18" t="s">
        <v>549</v>
      </c>
      <c r="D442" s="11">
        <v>594.20000000000005</v>
      </c>
      <c r="G442" s="11">
        <v>61.3</v>
      </c>
      <c r="H442" s="11">
        <v>8.1999999999999993</v>
      </c>
      <c r="I442" s="11">
        <v>26.4</v>
      </c>
      <c r="J442" s="11">
        <v>6.5</v>
      </c>
      <c r="K442" s="11">
        <v>46.9</v>
      </c>
      <c r="L442" s="11">
        <v>60.9</v>
      </c>
      <c r="N442" s="11">
        <v>9.1</v>
      </c>
      <c r="O442" s="11">
        <v>6.5</v>
      </c>
      <c r="P442" s="9"/>
      <c r="Q442" s="9"/>
      <c r="S442" s="11">
        <v>367.7</v>
      </c>
      <c r="T442" s="13"/>
      <c r="U442" s="13"/>
      <c r="V442" s="13"/>
      <c r="X442" s="13"/>
      <c r="Y442" s="9"/>
      <c r="Z442" s="13"/>
      <c r="AA442" s="13"/>
      <c r="AB442" s="13"/>
      <c r="AC442" s="13"/>
      <c r="AD442" s="13"/>
      <c r="AE442" s="13"/>
      <c r="AF442" s="13"/>
      <c r="AG442" s="11">
        <v>0.6</v>
      </c>
      <c r="AJ442" s="11">
        <v>1188.2</v>
      </c>
      <c r="AK442" s="13">
        <v>0</v>
      </c>
      <c r="AL442" s="13">
        <f t="shared" ref="AL442:AL473" si="14">AJ442-AK442</f>
        <v>1188.2</v>
      </c>
      <c r="AM442" s="23" t="s">
        <v>619</v>
      </c>
      <c r="AN442" s="9"/>
      <c r="AO442" s="9"/>
      <c r="AP442" s="13"/>
      <c r="AQ442" s="13"/>
      <c r="AR442" s="13"/>
    </row>
    <row r="443" spans="1:44" ht="15.75" customHeight="1">
      <c r="A443" s="9" t="s">
        <v>183</v>
      </c>
      <c r="B443" s="9" t="s">
        <v>183</v>
      </c>
      <c r="C443" s="18" t="s">
        <v>549</v>
      </c>
      <c r="D443" s="11">
        <v>214.7</v>
      </c>
      <c r="G443" s="11">
        <v>19.8</v>
      </c>
      <c r="H443" s="11">
        <v>0.4</v>
      </c>
      <c r="I443" s="11">
        <v>3.2</v>
      </c>
      <c r="J443" s="11">
        <v>29.6</v>
      </c>
      <c r="K443" s="11">
        <v>27.3</v>
      </c>
      <c r="L443" s="11">
        <v>25.1</v>
      </c>
      <c r="N443" s="11">
        <v>1.8</v>
      </c>
      <c r="O443" s="11">
        <v>1.4</v>
      </c>
      <c r="P443" s="9"/>
      <c r="Q443" s="9"/>
      <c r="S443" s="11">
        <v>251.4</v>
      </c>
      <c r="T443" s="13"/>
      <c r="U443" s="13"/>
      <c r="V443" s="13"/>
      <c r="X443" s="13"/>
      <c r="Y443" s="9"/>
      <c r="Z443" s="13"/>
      <c r="AA443" s="13"/>
      <c r="AB443" s="13"/>
      <c r="AC443" s="13"/>
      <c r="AD443" s="13"/>
      <c r="AE443" s="13"/>
      <c r="AF443" s="13"/>
      <c r="AG443" s="9"/>
      <c r="AJ443" s="11">
        <v>574.6</v>
      </c>
      <c r="AK443" s="13">
        <v>0</v>
      </c>
      <c r="AL443" s="13">
        <f t="shared" si="14"/>
        <v>574.6</v>
      </c>
      <c r="AM443" s="23" t="s">
        <v>620</v>
      </c>
      <c r="AN443" s="9"/>
      <c r="AO443" s="9"/>
      <c r="AP443" s="13"/>
      <c r="AQ443" s="13"/>
      <c r="AR443" s="13"/>
    </row>
    <row r="444" spans="1:44" ht="15.75" customHeight="1">
      <c r="A444" s="9" t="s">
        <v>185</v>
      </c>
      <c r="B444" s="9" t="s">
        <v>185</v>
      </c>
      <c r="C444" s="18" t="s">
        <v>549</v>
      </c>
      <c r="D444" s="11">
        <v>239157</v>
      </c>
      <c r="G444" s="11">
        <v>124.9</v>
      </c>
      <c r="H444" s="11">
        <v>42</v>
      </c>
      <c r="I444" s="11">
        <v>16.399999999999999</v>
      </c>
      <c r="J444" s="11">
        <v>34.200000000000003</v>
      </c>
      <c r="K444" s="11">
        <v>496.9</v>
      </c>
      <c r="L444" s="11">
        <v>45.8</v>
      </c>
      <c r="N444" s="11">
        <v>62.4</v>
      </c>
      <c r="O444" s="11">
        <v>39.6</v>
      </c>
      <c r="P444" s="9"/>
      <c r="Q444" s="9"/>
      <c r="S444" s="11">
        <v>698.3</v>
      </c>
      <c r="T444" s="13"/>
      <c r="U444" s="13"/>
      <c r="V444" s="13"/>
      <c r="X444" s="13"/>
      <c r="Y444" s="9"/>
      <c r="Z444" s="13"/>
      <c r="AA444" s="13"/>
      <c r="AB444" s="13"/>
      <c r="AC444" s="13"/>
      <c r="AD444" s="13"/>
      <c r="AE444" s="13"/>
      <c r="AF444" s="13"/>
      <c r="AG444" s="11">
        <v>44.7</v>
      </c>
      <c r="AJ444" s="11">
        <v>240762.2</v>
      </c>
      <c r="AK444" s="13">
        <v>605.20000000000005</v>
      </c>
      <c r="AL444" s="13">
        <f t="shared" si="14"/>
        <v>240157</v>
      </c>
      <c r="AM444" s="23" t="s">
        <v>621</v>
      </c>
      <c r="AN444" s="9"/>
      <c r="AO444" s="9"/>
      <c r="AP444" s="13"/>
      <c r="AQ444" s="13"/>
      <c r="AR444" s="13"/>
    </row>
    <row r="445" spans="1:44" ht="15.75" customHeight="1">
      <c r="A445" s="9" t="s">
        <v>187</v>
      </c>
      <c r="B445" s="9" t="s">
        <v>187</v>
      </c>
      <c r="C445" s="18" t="s">
        <v>549</v>
      </c>
      <c r="D445" s="11">
        <v>261.3</v>
      </c>
      <c r="G445" s="11">
        <v>41.4</v>
      </c>
      <c r="H445" s="11">
        <v>2.4</v>
      </c>
      <c r="I445" s="11">
        <v>4.0999999999999996</v>
      </c>
      <c r="J445" s="11">
        <v>100.7</v>
      </c>
      <c r="K445" s="11">
        <v>12</v>
      </c>
      <c r="L445" s="11">
        <v>35.299999999999997</v>
      </c>
      <c r="N445" s="11">
        <v>18.600000000000001</v>
      </c>
      <c r="O445" s="11">
        <v>1.7</v>
      </c>
      <c r="P445" s="9"/>
      <c r="Q445" s="9"/>
      <c r="S445" s="11">
        <v>123.1</v>
      </c>
      <c r="T445" s="13"/>
      <c r="U445" s="13"/>
      <c r="V445" s="13"/>
      <c r="X445" s="13"/>
      <c r="Y445" s="9"/>
      <c r="Z445" s="13"/>
      <c r="AA445" s="13"/>
      <c r="AB445" s="13"/>
      <c r="AC445" s="13"/>
      <c r="AD445" s="13"/>
      <c r="AE445" s="13"/>
      <c r="AF445" s="13"/>
      <c r="AG445" s="11">
        <v>0.1</v>
      </c>
      <c r="AJ445" s="11">
        <v>600.70000000000005</v>
      </c>
      <c r="AK445" s="13">
        <v>0.1</v>
      </c>
      <c r="AL445" s="13">
        <f t="shared" si="14"/>
        <v>600.6</v>
      </c>
      <c r="AM445" s="23" t="s">
        <v>622</v>
      </c>
      <c r="AN445" s="9"/>
      <c r="AO445" s="9"/>
      <c r="AP445" s="13"/>
      <c r="AQ445" s="13"/>
      <c r="AR445" s="13"/>
    </row>
    <row r="446" spans="1:44" ht="15.75" customHeight="1">
      <c r="A446" s="9" t="s">
        <v>188</v>
      </c>
      <c r="B446" s="9" t="s">
        <v>188</v>
      </c>
      <c r="C446" s="18" t="s">
        <v>549</v>
      </c>
      <c r="D446" s="11">
        <v>3134.6</v>
      </c>
      <c r="G446" s="11">
        <v>471.8</v>
      </c>
      <c r="H446" s="11">
        <v>27.8</v>
      </c>
      <c r="I446" s="11">
        <v>15.4</v>
      </c>
      <c r="J446" s="11">
        <v>242.8</v>
      </c>
      <c r="K446" s="11">
        <v>77</v>
      </c>
      <c r="L446" s="11">
        <v>14.5</v>
      </c>
      <c r="N446" s="11">
        <v>24.2</v>
      </c>
      <c r="O446" s="11">
        <v>9.8000000000000007</v>
      </c>
      <c r="P446" s="9"/>
      <c r="Q446" s="9"/>
      <c r="S446" s="9">
        <v>1444.8</v>
      </c>
      <c r="T446" s="13"/>
      <c r="U446" s="13"/>
      <c r="V446" s="13"/>
      <c r="X446" s="13"/>
      <c r="Y446" s="9"/>
      <c r="Z446" s="13"/>
      <c r="AA446" s="13"/>
      <c r="AB446" s="13"/>
      <c r="AC446" s="13"/>
      <c r="AD446" s="13"/>
      <c r="AE446" s="13"/>
      <c r="AF446" s="13"/>
      <c r="AG446" s="9" t="s">
        <v>41</v>
      </c>
      <c r="AJ446" s="11">
        <v>5462.6</v>
      </c>
      <c r="AK446" s="13">
        <v>205.6</v>
      </c>
      <c r="AL446" s="13">
        <f t="shared" si="14"/>
        <v>5257</v>
      </c>
      <c r="AM446" s="23" t="s">
        <v>623</v>
      </c>
      <c r="AN446" s="9"/>
      <c r="AO446" s="9"/>
      <c r="AP446" s="13"/>
      <c r="AQ446" s="13"/>
      <c r="AR446" s="13"/>
    </row>
    <row r="447" spans="1:44" ht="15.75" customHeight="1">
      <c r="A447" s="9" t="s">
        <v>190</v>
      </c>
      <c r="B447" s="9" t="s">
        <v>190</v>
      </c>
      <c r="C447" s="18" t="s">
        <v>549</v>
      </c>
      <c r="D447" s="11">
        <v>297.3</v>
      </c>
      <c r="G447" s="11">
        <v>12.5</v>
      </c>
      <c r="H447" s="11">
        <v>3.5</v>
      </c>
      <c r="I447" s="11">
        <v>54.6</v>
      </c>
      <c r="J447" s="11">
        <v>2.1</v>
      </c>
      <c r="K447" s="11">
        <v>10.4</v>
      </c>
      <c r="L447" s="11">
        <v>10.3</v>
      </c>
      <c r="N447" s="11">
        <v>5.9</v>
      </c>
      <c r="O447" s="11">
        <v>1.8</v>
      </c>
      <c r="P447" s="9"/>
      <c r="Q447" s="9"/>
      <c r="S447" s="11">
        <v>149.5</v>
      </c>
      <c r="T447" s="13"/>
      <c r="U447" s="13"/>
      <c r="V447" s="13"/>
      <c r="X447" s="13"/>
      <c r="Y447" s="9"/>
      <c r="Z447" s="13"/>
      <c r="AA447" s="13"/>
      <c r="AB447" s="13"/>
      <c r="AC447" s="13"/>
      <c r="AD447" s="13"/>
      <c r="AE447" s="13"/>
      <c r="AF447" s="13"/>
      <c r="AG447" s="11">
        <v>1.2</v>
      </c>
      <c r="AJ447" s="11">
        <v>549.20000000000005</v>
      </c>
      <c r="AK447" s="13">
        <v>0</v>
      </c>
      <c r="AL447" s="13">
        <f t="shared" si="14"/>
        <v>549.20000000000005</v>
      </c>
      <c r="AM447" s="23" t="s">
        <v>624</v>
      </c>
      <c r="AN447" s="9"/>
      <c r="AO447" s="9"/>
      <c r="AP447" s="13"/>
      <c r="AQ447" s="13"/>
      <c r="AR447" s="13"/>
    </row>
    <row r="448" spans="1:44" ht="15.75" customHeight="1">
      <c r="A448" s="9" t="s">
        <v>192</v>
      </c>
      <c r="B448" s="9" t="s">
        <v>192</v>
      </c>
      <c r="C448" s="18" t="s">
        <v>549</v>
      </c>
      <c r="D448" s="11">
        <v>232.7</v>
      </c>
      <c r="G448" s="11">
        <v>14.6</v>
      </c>
      <c r="H448" s="11">
        <v>6.3</v>
      </c>
      <c r="I448" s="11">
        <v>3.6</v>
      </c>
      <c r="J448" s="11">
        <v>45.2</v>
      </c>
      <c r="K448" s="11">
        <v>6.6</v>
      </c>
      <c r="L448" s="11">
        <v>6.9</v>
      </c>
      <c r="N448" s="11">
        <v>4.5999999999999996</v>
      </c>
      <c r="O448" s="11">
        <v>2.2000000000000002</v>
      </c>
      <c r="P448" s="9"/>
      <c r="Q448" s="9"/>
      <c r="R448" s="9"/>
      <c r="S448" s="11">
        <v>144.30000000000001</v>
      </c>
      <c r="T448" s="13"/>
      <c r="U448" s="13"/>
      <c r="V448" s="13"/>
      <c r="X448" s="13"/>
      <c r="Y448" s="9"/>
      <c r="Z448" s="13"/>
      <c r="AA448" s="13"/>
      <c r="AB448" s="13"/>
      <c r="AC448" s="13"/>
      <c r="AD448" s="13"/>
      <c r="AE448" s="13"/>
      <c r="AF448" s="13"/>
      <c r="AG448" s="9"/>
      <c r="AJ448" s="11">
        <v>467</v>
      </c>
      <c r="AK448" s="13">
        <v>0</v>
      </c>
      <c r="AL448" s="13">
        <f t="shared" si="14"/>
        <v>467</v>
      </c>
      <c r="AM448" s="23" t="s">
        <v>625</v>
      </c>
      <c r="AN448" s="9"/>
      <c r="AO448" s="9"/>
      <c r="AP448" s="13"/>
      <c r="AQ448" s="13"/>
      <c r="AR448" s="13"/>
    </row>
    <row r="449" spans="1:44" ht="15.75" customHeight="1">
      <c r="A449" s="9" t="s">
        <v>305</v>
      </c>
      <c r="B449" s="9" t="s">
        <v>305</v>
      </c>
      <c r="C449" s="18" t="s">
        <v>549</v>
      </c>
      <c r="D449" s="11">
        <v>167.2</v>
      </c>
      <c r="G449" s="11">
        <v>19.100000000000001</v>
      </c>
      <c r="H449" s="11">
        <v>16.100000000000001</v>
      </c>
      <c r="I449" s="11">
        <v>4.5</v>
      </c>
      <c r="J449" s="11">
        <v>44.9</v>
      </c>
      <c r="K449" s="11">
        <v>11.3</v>
      </c>
      <c r="L449" s="11">
        <v>4.9000000000000004</v>
      </c>
      <c r="N449" s="11">
        <v>4.0999999999999996</v>
      </c>
      <c r="O449" s="11">
        <v>1.3</v>
      </c>
      <c r="P449" s="9"/>
      <c r="Q449" s="9"/>
      <c r="R449" s="9"/>
      <c r="S449" s="11">
        <v>81</v>
      </c>
      <c r="T449" s="13"/>
      <c r="U449" s="13"/>
      <c r="V449" s="13"/>
      <c r="X449" s="13"/>
      <c r="Y449" s="9"/>
      <c r="Z449" s="13"/>
      <c r="AA449" s="13"/>
      <c r="AB449" s="13"/>
      <c r="AC449" s="13"/>
      <c r="AD449" s="13"/>
      <c r="AE449" s="13"/>
      <c r="AF449" s="13"/>
      <c r="AG449" s="9"/>
      <c r="AJ449" s="13">
        <v>354.4</v>
      </c>
      <c r="AK449" s="13">
        <v>0</v>
      </c>
      <c r="AL449" s="13">
        <f t="shared" si="14"/>
        <v>354.4</v>
      </c>
      <c r="AM449" s="23" t="s">
        <v>626</v>
      </c>
      <c r="AN449" s="9"/>
      <c r="AO449" s="9"/>
      <c r="AP449" s="13"/>
      <c r="AQ449" s="13"/>
      <c r="AR449" s="13"/>
    </row>
    <row r="450" spans="1:44" ht="15.75" customHeight="1">
      <c r="A450" s="9" t="s">
        <v>389</v>
      </c>
      <c r="B450" s="9" t="s">
        <v>195</v>
      </c>
      <c r="C450" s="18" t="s">
        <v>549</v>
      </c>
      <c r="D450" s="11">
        <v>422.6</v>
      </c>
      <c r="G450" s="11">
        <v>38.1</v>
      </c>
      <c r="H450" s="11">
        <v>3.5</v>
      </c>
      <c r="I450" s="11">
        <v>8.3000000000000007</v>
      </c>
      <c r="J450" s="11">
        <v>69.400000000000006</v>
      </c>
      <c r="K450" s="11">
        <v>7.4</v>
      </c>
      <c r="L450" s="11">
        <v>16</v>
      </c>
      <c r="N450" s="11">
        <v>56.1</v>
      </c>
      <c r="O450" s="11">
        <v>4.2</v>
      </c>
      <c r="P450" s="9"/>
      <c r="Q450" s="9"/>
      <c r="R450" s="9"/>
      <c r="S450" s="11">
        <v>162.80000000000001</v>
      </c>
      <c r="T450" s="13"/>
      <c r="U450" s="13"/>
      <c r="V450" s="13"/>
      <c r="X450" s="13"/>
      <c r="Y450" s="9"/>
      <c r="Z450" s="13"/>
      <c r="AA450" s="13"/>
      <c r="AB450" s="13"/>
      <c r="AC450" s="13"/>
      <c r="AD450" s="13"/>
      <c r="AE450" s="13"/>
      <c r="AF450" s="13"/>
      <c r="AG450" s="9"/>
      <c r="AJ450" s="13">
        <v>788.3</v>
      </c>
      <c r="AK450" s="13">
        <v>0</v>
      </c>
      <c r="AL450" s="13">
        <f t="shared" si="14"/>
        <v>788.3</v>
      </c>
      <c r="AM450" s="23" t="s">
        <v>627</v>
      </c>
      <c r="AN450" s="9"/>
      <c r="AO450" s="9"/>
      <c r="AP450" s="13"/>
      <c r="AQ450" s="13"/>
      <c r="AR450" s="13"/>
    </row>
    <row r="451" spans="1:44" ht="15.75" customHeight="1">
      <c r="A451" s="10" t="s">
        <v>196</v>
      </c>
      <c r="B451" s="9" t="s">
        <v>196</v>
      </c>
      <c r="C451" s="17"/>
      <c r="D451" s="17">
        <f>SUM(D378:D450)</f>
        <v>423365.1</v>
      </c>
      <c r="G451" s="17">
        <f t="shared" ref="G451:L451" si="15">SUM(G378:G450)</f>
        <v>10799.599999999997</v>
      </c>
      <c r="H451" s="17">
        <f t="shared" si="15"/>
        <v>6418.0999999999995</v>
      </c>
      <c r="I451" s="17">
        <f t="shared" si="15"/>
        <v>4298.7999999999993</v>
      </c>
      <c r="J451" s="17">
        <f t="shared" si="15"/>
        <v>7909.9000000000005</v>
      </c>
      <c r="K451" s="17">
        <f t="shared" si="15"/>
        <v>5354.9000000000005</v>
      </c>
      <c r="L451" s="17">
        <f t="shared" si="15"/>
        <v>9814.5999999999949</v>
      </c>
      <c r="N451" s="17">
        <f>SUM(N378:N450)</f>
        <v>2010.5899999999995</v>
      </c>
      <c r="O451" s="17">
        <f>SUM(O378:O450)</f>
        <v>1341.6999999999998</v>
      </c>
      <c r="P451" s="17"/>
      <c r="Q451" s="17"/>
      <c r="R451" s="10"/>
      <c r="S451" s="17">
        <f>SUM(S378:S450)</f>
        <v>217709.90000000008</v>
      </c>
      <c r="T451" s="18"/>
      <c r="U451" s="18"/>
      <c r="V451" s="18"/>
      <c r="X451" s="18"/>
      <c r="Y451" s="17">
        <f>SUM(Y378:Y450)</f>
        <v>375797.9</v>
      </c>
      <c r="Z451" s="18"/>
      <c r="AA451" s="18"/>
      <c r="AB451" s="18"/>
      <c r="AC451" s="18"/>
      <c r="AD451" s="18"/>
      <c r="AE451" s="18"/>
      <c r="AF451" s="18"/>
      <c r="AG451" s="17">
        <f>SUM(AG378:AG450)</f>
        <v>1598.2999999999997</v>
      </c>
      <c r="AJ451" s="18">
        <f>SUM(AJ378:AJ450)</f>
        <v>1066432.6999999997</v>
      </c>
      <c r="AK451" s="18">
        <f>SUM(AK378:AK450)</f>
        <v>74561.599999999991</v>
      </c>
      <c r="AL451" s="18">
        <f>SUM(AL378:AL450)</f>
        <v>991871.09999999986</v>
      </c>
      <c r="AM451" s="23" t="s">
        <v>628</v>
      </c>
      <c r="AN451" s="9"/>
      <c r="AO451" s="9"/>
      <c r="AP451" s="13"/>
      <c r="AQ451" s="13"/>
      <c r="AR451" s="13"/>
    </row>
    <row r="452" spans="1:44" ht="15.75" customHeight="1">
      <c r="A452" s="9" t="s">
        <v>469</v>
      </c>
      <c r="B452" s="9" t="s">
        <v>39</v>
      </c>
      <c r="C452" s="18" t="s">
        <v>629</v>
      </c>
      <c r="D452" s="25">
        <v>1527.8</v>
      </c>
      <c r="G452" s="11">
        <v>725</v>
      </c>
      <c r="H452" s="11">
        <v>99.4</v>
      </c>
      <c r="I452" s="11">
        <v>59.3</v>
      </c>
      <c r="J452" s="11">
        <v>244.1</v>
      </c>
      <c r="K452" s="11">
        <v>26.3</v>
      </c>
      <c r="L452" s="11">
        <v>1439.5</v>
      </c>
      <c r="N452" s="11">
        <v>240.3</v>
      </c>
      <c r="O452" s="11">
        <v>63.9</v>
      </c>
      <c r="P452" s="11"/>
      <c r="S452" s="11">
        <v>3312.8</v>
      </c>
      <c r="T452" s="13"/>
      <c r="U452" s="13"/>
      <c r="V452" s="13"/>
      <c r="X452" s="13"/>
      <c r="Y452" s="11">
        <v>94.8</v>
      </c>
      <c r="Z452" s="13"/>
      <c r="AA452" s="13"/>
      <c r="AB452" s="13"/>
      <c r="AC452" s="13"/>
      <c r="AD452" s="13"/>
      <c r="AE452" s="13"/>
      <c r="AF452" s="13"/>
      <c r="AG452" s="9"/>
      <c r="AJ452" s="11">
        <v>7833.2</v>
      </c>
      <c r="AK452" s="13">
        <v>0</v>
      </c>
      <c r="AL452" s="13">
        <f t="shared" ref="AL452:AL483" si="16">AJ452-AK452</f>
        <v>7833.2</v>
      </c>
      <c r="AM452" s="23" t="s">
        <v>630</v>
      </c>
      <c r="AN452" s="9"/>
      <c r="AO452" s="9"/>
      <c r="AP452" s="13"/>
      <c r="AQ452" s="13"/>
      <c r="AR452" s="13"/>
    </row>
    <row r="453" spans="1:44" ht="15.75" customHeight="1">
      <c r="A453" s="9" t="s">
        <v>202</v>
      </c>
      <c r="B453" s="9" t="s">
        <v>202</v>
      </c>
      <c r="C453" s="18" t="s">
        <v>629</v>
      </c>
      <c r="D453" s="11">
        <v>71456.5</v>
      </c>
      <c r="G453" s="11">
        <v>1018.3</v>
      </c>
      <c r="H453" s="11">
        <v>60.5</v>
      </c>
      <c r="I453" s="11">
        <v>5.8</v>
      </c>
      <c r="J453" s="11">
        <v>992.6</v>
      </c>
      <c r="K453" s="11">
        <v>890.6</v>
      </c>
      <c r="L453" s="11">
        <v>106.4</v>
      </c>
      <c r="N453" s="11">
        <v>268.5</v>
      </c>
      <c r="O453" s="11">
        <v>110.7</v>
      </c>
      <c r="P453" s="11"/>
      <c r="S453" s="11">
        <v>20943.599999999999</v>
      </c>
      <c r="T453" s="13"/>
      <c r="U453" s="13"/>
      <c r="V453" s="13"/>
      <c r="X453" s="13"/>
      <c r="Y453" s="11">
        <v>659.4</v>
      </c>
      <c r="Z453" s="13"/>
      <c r="AA453" s="13"/>
      <c r="AB453" s="13"/>
      <c r="AC453" s="13"/>
      <c r="AD453" s="13"/>
      <c r="AE453" s="13"/>
      <c r="AF453" s="13"/>
      <c r="AG453" s="9" t="s">
        <v>41</v>
      </c>
      <c r="AJ453" s="11">
        <v>96512.9</v>
      </c>
      <c r="AK453" s="13">
        <v>0</v>
      </c>
      <c r="AL453" s="13">
        <f t="shared" si="16"/>
        <v>96512.9</v>
      </c>
      <c r="AM453" s="23" t="s">
        <v>631</v>
      </c>
      <c r="AN453" s="9"/>
      <c r="AO453" s="9"/>
      <c r="AP453" s="13"/>
      <c r="AQ453" s="13"/>
      <c r="AR453" s="13"/>
    </row>
    <row r="454" spans="1:44" ht="15.75" customHeight="1">
      <c r="A454" s="9" t="s">
        <v>54</v>
      </c>
      <c r="B454" s="9" t="s">
        <v>54</v>
      </c>
      <c r="C454" s="18" t="s">
        <v>629</v>
      </c>
      <c r="D454" s="11">
        <v>13947.8</v>
      </c>
      <c r="G454" s="11">
        <v>264.60000000000002</v>
      </c>
      <c r="H454" s="11">
        <v>25.4</v>
      </c>
      <c r="I454" s="9">
        <v>11.1</v>
      </c>
      <c r="J454" s="11">
        <v>105.5</v>
      </c>
      <c r="K454" s="11">
        <v>99.2</v>
      </c>
      <c r="L454" s="11">
        <v>70.8</v>
      </c>
      <c r="N454" s="11">
        <v>77.599999999999994</v>
      </c>
      <c r="O454" s="11">
        <v>539</v>
      </c>
      <c r="P454" s="11"/>
      <c r="S454" s="11">
        <v>3639.2</v>
      </c>
      <c r="T454" s="13"/>
      <c r="U454" s="13"/>
      <c r="V454" s="13"/>
      <c r="X454" s="13"/>
      <c r="Y454" s="9"/>
      <c r="Z454" s="13"/>
      <c r="AA454" s="13"/>
      <c r="AB454" s="13"/>
      <c r="AC454" s="13"/>
      <c r="AD454" s="13"/>
      <c r="AE454" s="13"/>
      <c r="AF454" s="13"/>
      <c r="AG454" s="9"/>
      <c r="AJ454" s="11">
        <v>18780.099999999999</v>
      </c>
      <c r="AK454" s="13">
        <v>0</v>
      </c>
      <c r="AL454" s="13">
        <f t="shared" si="16"/>
        <v>18780.099999999999</v>
      </c>
      <c r="AM454" s="23" t="s">
        <v>632</v>
      </c>
      <c r="AN454" s="9"/>
      <c r="AO454" s="9"/>
      <c r="AP454" s="18"/>
      <c r="AQ454" s="18"/>
      <c r="AR454" s="13"/>
    </row>
    <row r="455" spans="1:44" ht="15.75" customHeight="1">
      <c r="A455" s="9" t="s">
        <v>207</v>
      </c>
      <c r="B455" s="9" t="s">
        <v>207</v>
      </c>
      <c r="C455" s="18" t="s">
        <v>629</v>
      </c>
      <c r="D455" s="11">
        <v>151.9</v>
      </c>
      <c r="G455" s="11">
        <v>13.3</v>
      </c>
      <c r="H455" s="11">
        <v>0.4</v>
      </c>
      <c r="I455" s="9">
        <v>0.5</v>
      </c>
      <c r="J455" s="11">
        <v>60.4</v>
      </c>
      <c r="K455" s="9">
        <v>2.1</v>
      </c>
      <c r="L455" s="11">
        <v>29.3</v>
      </c>
      <c r="N455" s="11">
        <v>3.5</v>
      </c>
      <c r="O455" s="11">
        <v>0.5</v>
      </c>
      <c r="P455" s="11"/>
      <c r="S455" s="11">
        <v>192.1</v>
      </c>
      <c r="T455" s="13"/>
      <c r="U455" s="13"/>
      <c r="V455" s="13"/>
      <c r="X455" s="13"/>
      <c r="Y455" s="11">
        <v>460.1</v>
      </c>
      <c r="Z455" s="13"/>
      <c r="AA455" s="13"/>
      <c r="AB455" s="13"/>
      <c r="AC455" s="13"/>
      <c r="AD455" s="13"/>
      <c r="AE455" s="13"/>
      <c r="AF455" s="13"/>
      <c r="AG455" s="9"/>
      <c r="AJ455" s="11">
        <v>914.2</v>
      </c>
      <c r="AK455" s="13">
        <v>0</v>
      </c>
      <c r="AL455" s="13">
        <f t="shared" si="16"/>
        <v>914.2</v>
      </c>
      <c r="AM455" s="26" t="s">
        <v>633</v>
      </c>
      <c r="AN455" s="9"/>
      <c r="AO455" s="9"/>
      <c r="AP455" s="13"/>
      <c r="AQ455" s="13"/>
      <c r="AR455" s="13"/>
    </row>
    <row r="456" spans="1:44" ht="15.75" customHeight="1">
      <c r="A456" s="9" t="s">
        <v>634</v>
      </c>
      <c r="B456" s="9" t="s">
        <v>634</v>
      </c>
      <c r="C456" s="18" t="s">
        <v>629</v>
      </c>
      <c r="D456" s="11">
        <v>150</v>
      </c>
      <c r="G456" s="11">
        <v>33.9</v>
      </c>
      <c r="H456" s="11">
        <v>2.6</v>
      </c>
      <c r="I456" s="9">
        <v>0.7</v>
      </c>
      <c r="J456" s="11">
        <v>76.2</v>
      </c>
      <c r="K456" s="9">
        <v>4.3</v>
      </c>
      <c r="L456" s="11">
        <v>5.9</v>
      </c>
      <c r="N456" s="11">
        <v>7.5</v>
      </c>
      <c r="O456" s="11">
        <v>2.4</v>
      </c>
      <c r="P456" s="11"/>
      <c r="S456" s="11">
        <v>689.4</v>
      </c>
      <c r="T456" s="13"/>
      <c r="U456" s="13"/>
      <c r="V456" s="13"/>
      <c r="X456" s="13"/>
      <c r="Y456" s="11">
        <v>4505.3999999999996</v>
      </c>
      <c r="Z456" s="13"/>
      <c r="AA456" s="13"/>
      <c r="AB456" s="13"/>
      <c r="AC456" s="13"/>
      <c r="AD456" s="13"/>
      <c r="AE456" s="13"/>
      <c r="AF456" s="13"/>
      <c r="AG456" s="9" t="s">
        <v>41</v>
      </c>
      <c r="AJ456" s="11">
        <v>5478.2</v>
      </c>
      <c r="AK456" s="13">
        <v>0</v>
      </c>
      <c r="AL456" s="13">
        <f t="shared" si="16"/>
        <v>5478.2</v>
      </c>
      <c r="AM456" s="23" t="s">
        <v>635</v>
      </c>
      <c r="AN456" s="9"/>
      <c r="AO456" s="9"/>
      <c r="AP456" s="13"/>
      <c r="AQ456" s="13"/>
      <c r="AR456" s="13"/>
    </row>
    <row r="457" spans="1:44" ht="15.75" customHeight="1">
      <c r="A457" s="9" t="s">
        <v>636</v>
      </c>
      <c r="B457" s="9" t="s">
        <v>636</v>
      </c>
      <c r="C457" s="18" t="s">
        <v>629</v>
      </c>
      <c r="D457" s="11">
        <v>363.5</v>
      </c>
      <c r="G457" s="11">
        <v>98.1</v>
      </c>
      <c r="H457" s="11">
        <v>13</v>
      </c>
      <c r="I457" s="9">
        <v>9.1</v>
      </c>
      <c r="J457" s="11">
        <v>27.4</v>
      </c>
      <c r="K457" s="11">
        <v>16.5</v>
      </c>
      <c r="L457" s="11">
        <v>30</v>
      </c>
      <c r="N457" s="11">
        <v>12.2</v>
      </c>
      <c r="O457" s="11">
        <v>1.8</v>
      </c>
      <c r="P457" s="11"/>
      <c r="S457" s="11">
        <v>208.6</v>
      </c>
      <c r="T457" s="13"/>
      <c r="U457" s="13"/>
      <c r="V457" s="13"/>
      <c r="X457" s="13"/>
      <c r="Y457" s="11">
        <v>4512.2</v>
      </c>
      <c r="Z457" s="13"/>
      <c r="AA457" s="13"/>
      <c r="AB457" s="13"/>
      <c r="AC457" s="13"/>
      <c r="AD457" s="13"/>
      <c r="AE457" s="13"/>
      <c r="AF457" s="13"/>
      <c r="AG457" s="11">
        <v>0.1</v>
      </c>
      <c r="AJ457" s="11">
        <v>5292.2</v>
      </c>
      <c r="AK457" s="13">
        <v>0</v>
      </c>
      <c r="AL457" s="13">
        <f t="shared" si="16"/>
        <v>5292.2</v>
      </c>
      <c r="AM457" s="23" t="s">
        <v>637</v>
      </c>
      <c r="AN457" s="9"/>
      <c r="AO457" s="9"/>
      <c r="AP457" s="13"/>
      <c r="AQ457" s="13"/>
      <c r="AR457" s="13"/>
    </row>
    <row r="458" spans="1:44" ht="15.75" customHeight="1">
      <c r="A458" s="9" t="s">
        <v>66</v>
      </c>
      <c r="B458" s="9" t="s">
        <v>66</v>
      </c>
      <c r="C458" s="18" t="s">
        <v>629</v>
      </c>
      <c r="D458" s="11">
        <v>856.6</v>
      </c>
      <c r="G458" s="11">
        <v>41</v>
      </c>
      <c r="H458" s="11">
        <v>14.5</v>
      </c>
      <c r="I458" s="11">
        <v>2.1</v>
      </c>
      <c r="J458" s="9" t="s">
        <v>41</v>
      </c>
      <c r="K458" s="11">
        <v>14.6</v>
      </c>
      <c r="L458" s="11">
        <v>14.9</v>
      </c>
      <c r="N458" s="11">
        <v>11.3</v>
      </c>
      <c r="O458" s="11">
        <v>1</v>
      </c>
      <c r="P458" s="11"/>
      <c r="S458" s="11">
        <v>67.099999999999994</v>
      </c>
      <c r="T458" s="13"/>
      <c r="U458" s="13"/>
      <c r="V458" s="13"/>
      <c r="X458" s="13"/>
      <c r="Y458" s="11">
        <v>105688</v>
      </c>
      <c r="Z458" s="13"/>
      <c r="AA458" s="13"/>
      <c r="AB458" s="13"/>
      <c r="AC458" s="13"/>
      <c r="AD458" s="13"/>
      <c r="AE458" s="13"/>
      <c r="AF458" s="13"/>
      <c r="AG458" s="9"/>
      <c r="AJ458" s="11">
        <v>106711</v>
      </c>
      <c r="AK458" s="13">
        <v>0</v>
      </c>
      <c r="AL458" s="13">
        <f t="shared" si="16"/>
        <v>106711</v>
      </c>
      <c r="AM458" s="23" t="s">
        <v>638</v>
      </c>
      <c r="AN458" s="9"/>
      <c r="AO458" s="9"/>
      <c r="AP458" s="13"/>
      <c r="AQ458" s="13"/>
      <c r="AR458" s="13"/>
    </row>
    <row r="459" spans="1:44" ht="15.75" customHeight="1">
      <c r="A459" s="9" t="s">
        <v>639</v>
      </c>
      <c r="B459" s="9" t="s">
        <v>212</v>
      </c>
      <c r="C459" s="18" t="s">
        <v>629</v>
      </c>
      <c r="D459" s="11">
        <v>4329.8999999999996</v>
      </c>
      <c r="G459" s="11">
        <v>137.80000000000001</v>
      </c>
      <c r="H459" s="11">
        <v>800</v>
      </c>
      <c r="I459" s="11">
        <v>8.6999999999999993</v>
      </c>
      <c r="J459" s="11">
        <v>1322.4</v>
      </c>
      <c r="K459" s="11">
        <v>42.8</v>
      </c>
      <c r="L459" s="11">
        <v>320.2</v>
      </c>
      <c r="N459" s="11">
        <v>68.5</v>
      </c>
      <c r="O459" s="11">
        <v>33.6</v>
      </c>
      <c r="P459" s="11"/>
      <c r="S459" s="11">
        <v>1468.4</v>
      </c>
      <c r="T459" s="13"/>
      <c r="U459" s="13"/>
      <c r="V459" s="13"/>
      <c r="X459" s="13"/>
      <c r="Y459" s="11">
        <v>112</v>
      </c>
      <c r="Z459" s="13"/>
      <c r="AA459" s="13"/>
      <c r="AB459" s="13"/>
      <c r="AC459" s="13"/>
      <c r="AD459" s="13"/>
      <c r="AE459" s="13"/>
      <c r="AF459" s="13"/>
      <c r="AG459" s="9"/>
      <c r="AJ459" s="11">
        <v>8644.2999999999993</v>
      </c>
      <c r="AK459" s="13">
        <v>0</v>
      </c>
      <c r="AL459" s="13">
        <f t="shared" si="16"/>
        <v>8644.2999999999993</v>
      </c>
      <c r="AM459" s="23" t="s">
        <v>640</v>
      </c>
      <c r="AN459" s="9"/>
      <c r="AO459" s="9"/>
      <c r="AP459" s="13"/>
      <c r="AQ459" s="13"/>
      <c r="AR459" s="13"/>
    </row>
    <row r="460" spans="1:44" ht="15.75" customHeight="1">
      <c r="A460" s="9" t="s">
        <v>75</v>
      </c>
      <c r="B460" s="9" t="s">
        <v>75</v>
      </c>
      <c r="C460" s="18" t="s">
        <v>629</v>
      </c>
      <c r="D460" s="11">
        <v>3695.3</v>
      </c>
      <c r="G460" s="11">
        <v>139</v>
      </c>
      <c r="H460" s="11">
        <v>8.6</v>
      </c>
      <c r="I460" s="11">
        <v>3.9</v>
      </c>
      <c r="J460" s="11">
        <v>147</v>
      </c>
      <c r="K460" s="11">
        <v>13.8</v>
      </c>
      <c r="L460" s="11">
        <v>17.600000000000001</v>
      </c>
      <c r="N460" s="11">
        <v>31.2</v>
      </c>
      <c r="O460" s="11">
        <v>6.3</v>
      </c>
      <c r="P460" s="11"/>
      <c r="S460" s="11">
        <v>56866.8</v>
      </c>
      <c r="T460" s="13"/>
      <c r="U460" s="13"/>
      <c r="V460" s="13"/>
      <c r="X460" s="13"/>
      <c r="Y460" s="11">
        <v>17765.099999999999</v>
      </c>
      <c r="Z460" s="13"/>
      <c r="AA460" s="13"/>
      <c r="AB460" s="13"/>
      <c r="AC460" s="13"/>
      <c r="AD460" s="13"/>
      <c r="AE460" s="13"/>
      <c r="AF460" s="13"/>
      <c r="AG460" s="11">
        <v>1512.3</v>
      </c>
      <c r="AJ460" s="11">
        <v>80206.899999999994</v>
      </c>
      <c r="AK460" s="13">
        <v>0.4</v>
      </c>
      <c r="AL460" s="13">
        <f t="shared" si="16"/>
        <v>80206.5</v>
      </c>
      <c r="AM460" s="23" t="s">
        <v>641</v>
      </c>
      <c r="AN460" s="9"/>
      <c r="AO460" s="9"/>
      <c r="AP460" s="13"/>
      <c r="AQ460" s="13"/>
      <c r="AR460" s="13"/>
    </row>
    <row r="461" spans="1:44" ht="15.75" customHeight="1">
      <c r="A461" s="9" t="s">
        <v>72</v>
      </c>
      <c r="B461" s="9" t="s">
        <v>72</v>
      </c>
      <c r="C461" s="18" t="s">
        <v>629</v>
      </c>
      <c r="D461" s="11">
        <v>209.5</v>
      </c>
      <c r="G461" s="11">
        <v>32.200000000000003</v>
      </c>
      <c r="H461" s="11">
        <v>6</v>
      </c>
      <c r="I461" s="11">
        <v>1.3</v>
      </c>
      <c r="J461" s="11">
        <v>50.8</v>
      </c>
      <c r="K461" s="11">
        <v>3.8</v>
      </c>
      <c r="L461" s="11">
        <v>4.7</v>
      </c>
      <c r="N461" s="11">
        <v>5.2</v>
      </c>
      <c r="O461" s="11">
        <v>0.2</v>
      </c>
      <c r="P461" s="11"/>
      <c r="S461" s="11">
        <v>24.8</v>
      </c>
      <c r="T461" s="13"/>
      <c r="U461" s="13"/>
      <c r="V461" s="13"/>
      <c r="X461" s="13"/>
      <c r="Y461" s="11">
        <v>2105.1</v>
      </c>
      <c r="Z461" s="13"/>
      <c r="AA461" s="13"/>
      <c r="AB461" s="13"/>
      <c r="AC461" s="13"/>
      <c r="AD461" s="13"/>
      <c r="AE461" s="13"/>
      <c r="AF461" s="13"/>
      <c r="AG461" s="9"/>
      <c r="AJ461" s="11">
        <v>2443.6999999999998</v>
      </c>
      <c r="AK461" s="13">
        <v>0</v>
      </c>
      <c r="AL461" s="13">
        <f t="shared" si="16"/>
        <v>2443.6999999999998</v>
      </c>
      <c r="AM461" s="23" t="s">
        <v>642</v>
      </c>
      <c r="AN461" s="9"/>
      <c r="AO461" s="9"/>
      <c r="AP461" s="13"/>
      <c r="AQ461" s="13"/>
      <c r="AR461" s="13"/>
    </row>
    <row r="462" spans="1:44" ht="15.75" customHeight="1">
      <c r="A462" s="9" t="s">
        <v>217</v>
      </c>
      <c r="B462" s="9" t="s">
        <v>217</v>
      </c>
      <c r="C462" s="18" t="s">
        <v>629</v>
      </c>
      <c r="D462" s="11">
        <v>393.1</v>
      </c>
      <c r="G462" s="11">
        <v>28.1</v>
      </c>
      <c r="H462" s="11">
        <v>4.8</v>
      </c>
      <c r="I462" s="11">
        <v>1.5</v>
      </c>
      <c r="J462" s="11">
        <v>25.3</v>
      </c>
      <c r="K462" s="11">
        <v>4.3</v>
      </c>
      <c r="L462" s="11">
        <v>6</v>
      </c>
      <c r="N462" s="11">
        <v>12.6</v>
      </c>
      <c r="O462" s="11">
        <v>2</v>
      </c>
      <c r="P462" s="11"/>
      <c r="S462" s="11">
        <v>10692.9</v>
      </c>
      <c r="T462" s="13"/>
      <c r="U462" s="13"/>
      <c r="V462" s="13"/>
      <c r="X462" s="13"/>
      <c r="Y462" s="11">
        <v>61788.7</v>
      </c>
      <c r="Z462" s="13"/>
      <c r="AA462" s="13"/>
      <c r="AB462" s="13"/>
      <c r="AC462" s="13"/>
      <c r="AD462" s="13"/>
      <c r="AE462" s="13"/>
      <c r="AF462" s="13"/>
      <c r="AG462" s="9"/>
      <c r="AJ462" s="11">
        <v>72959.100000000006</v>
      </c>
      <c r="AK462" s="13">
        <v>0</v>
      </c>
      <c r="AL462" s="13">
        <f t="shared" si="16"/>
        <v>72959.100000000006</v>
      </c>
      <c r="AM462" s="23" t="s">
        <v>643</v>
      </c>
      <c r="AN462" s="9"/>
      <c r="AO462" s="9"/>
      <c r="AP462" s="13"/>
      <c r="AQ462" s="13"/>
      <c r="AR462" s="13"/>
    </row>
    <row r="463" spans="1:44" ht="15.75" customHeight="1">
      <c r="A463" s="9" t="s">
        <v>77</v>
      </c>
      <c r="B463" s="9" t="s">
        <v>77</v>
      </c>
      <c r="C463" s="18" t="s">
        <v>629</v>
      </c>
      <c r="D463" s="11">
        <v>363.5</v>
      </c>
      <c r="G463" s="11">
        <v>98.1</v>
      </c>
      <c r="H463" s="11">
        <v>13</v>
      </c>
      <c r="I463" s="11">
        <v>9.1</v>
      </c>
      <c r="J463" s="11">
        <v>27.4</v>
      </c>
      <c r="K463" s="11">
        <v>16.5</v>
      </c>
      <c r="L463" s="11">
        <v>30</v>
      </c>
      <c r="N463" s="11">
        <v>12.2</v>
      </c>
      <c r="O463" s="11">
        <v>1.8</v>
      </c>
      <c r="P463" s="11"/>
      <c r="S463" s="11">
        <v>35552.5</v>
      </c>
      <c r="T463" s="13"/>
      <c r="U463" s="13"/>
      <c r="V463" s="13"/>
      <c r="X463" s="13"/>
      <c r="Y463" s="11">
        <v>4512.2</v>
      </c>
      <c r="Z463" s="13"/>
      <c r="AA463" s="13"/>
      <c r="AB463" s="13"/>
      <c r="AC463" s="13"/>
      <c r="AD463" s="13"/>
      <c r="AE463" s="13"/>
      <c r="AF463" s="13"/>
      <c r="AG463" s="11">
        <v>0.1</v>
      </c>
      <c r="AJ463" s="11">
        <v>40636.199999999997</v>
      </c>
      <c r="AK463" s="13">
        <v>0</v>
      </c>
      <c r="AL463" s="13">
        <f t="shared" si="16"/>
        <v>40636.199999999997</v>
      </c>
      <c r="AM463" s="23" t="s">
        <v>644</v>
      </c>
      <c r="AN463" s="9"/>
      <c r="AO463" s="9"/>
      <c r="AP463" s="13"/>
      <c r="AQ463" s="13"/>
      <c r="AR463" s="13"/>
    </row>
    <row r="464" spans="1:44" ht="15.75" customHeight="1">
      <c r="A464" s="9" t="s">
        <v>228</v>
      </c>
      <c r="B464" s="9" t="s">
        <v>228</v>
      </c>
      <c r="C464" s="18" t="s">
        <v>629</v>
      </c>
      <c r="D464" s="11">
        <v>5774.3</v>
      </c>
      <c r="G464" s="11">
        <v>47.9</v>
      </c>
      <c r="H464" s="9"/>
      <c r="I464" s="11">
        <v>2.9</v>
      </c>
      <c r="J464" s="11">
        <v>2.1</v>
      </c>
      <c r="K464" s="11">
        <v>172</v>
      </c>
      <c r="L464" s="11">
        <v>7.3</v>
      </c>
      <c r="N464" s="11">
        <v>18.100000000000001</v>
      </c>
      <c r="O464" s="11">
        <v>39.200000000000003</v>
      </c>
      <c r="P464" s="11"/>
      <c r="S464" s="11">
        <v>1409.6</v>
      </c>
      <c r="T464" s="13"/>
      <c r="U464" s="13"/>
      <c r="V464" s="13"/>
      <c r="X464" s="13"/>
      <c r="Y464" s="11">
        <v>20366.8</v>
      </c>
      <c r="Z464" s="13"/>
      <c r="AA464" s="13"/>
      <c r="AB464" s="13"/>
      <c r="AC464" s="13"/>
      <c r="AD464" s="13"/>
      <c r="AE464" s="13"/>
      <c r="AF464" s="13"/>
      <c r="AG464" s="9"/>
      <c r="AJ464" s="11">
        <v>27840.1</v>
      </c>
      <c r="AK464" s="13">
        <v>0</v>
      </c>
      <c r="AL464" s="13">
        <f t="shared" si="16"/>
        <v>27840.1</v>
      </c>
      <c r="AM464" s="23" t="s">
        <v>645</v>
      </c>
      <c r="AN464" s="9"/>
      <c r="AO464" s="9"/>
      <c r="AP464" s="13"/>
      <c r="AQ464" s="13"/>
      <c r="AR464" s="13"/>
    </row>
    <row r="465" spans="1:44" ht="15.75" customHeight="1">
      <c r="A465" s="9" t="s">
        <v>325</v>
      </c>
      <c r="B465" s="9" t="s">
        <v>325</v>
      </c>
      <c r="C465" s="18" t="s">
        <v>629</v>
      </c>
      <c r="D465" s="11">
        <v>873.8</v>
      </c>
      <c r="G465" s="11">
        <v>32.799999999999997</v>
      </c>
      <c r="H465" s="11">
        <v>1.5</v>
      </c>
      <c r="I465" s="11">
        <v>1</v>
      </c>
      <c r="J465" s="9"/>
      <c r="K465" s="11">
        <v>1.8</v>
      </c>
      <c r="L465" s="11">
        <v>6.8</v>
      </c>
      <c r="N465" s="11">
        <v>14.5</v>
      </c>
      <c r="O465" s="11">
        <v>14.1</v>
      </c>
      <c r="P465" s="11"/>
      <c r="S465" s="11">
        <v>10395.700000000001</v>
      </c>
      <c r="T465" s="13"/>
      <c r="U465" s="13"/>
      <c r="V465" s="13"/>
      <c r="X465" s="13"/>
      <c r="Y465" s="11">
        <v>38925</v>
      </c>
      <c r="Z465" s="13"/>
      <c r="AA465" s="13"/>
      <c r="AB465" s="13"/>
      <c r="AC465" s="13"/>
      <c r="AD465" s="13"/>
      <c r="AE465" s="13"/>
      <c r="AF465" s="13"/>
      <c r="AG465" s="9"/>
      <c r="AJ465" s="11">
        <v>50266.9</v>
      </c>
      <c r="AK465" s="13">
        <v>38974.300000000003</v>
      </c>
      <c r="AL465" s="13">
        <f t="shared" si="16"/>
        <v>11292.599999999999</v>
      </c>
      <c r="AM465" s="23" t="s">
        <v>646</v>
      </c>
      <c r="AN465" s="9"/>
      <c r="AO465" s="9"/>
      <c r="AP465" s="13"/>
      <c r="AQ465" s="13"/>
      <c r="AR465" s="13"/>
    </row>
    <row r="466" spans="1:44" ht="15.75" customHeight="1">
      <c r="A466" s="9" t="s">
        <v>327</v>
      </c>
      <c r="B466" s="9" t="s">
        <v>327</v>
      </c>
      <c r="C466" s="18" t="s">
        <v>629</v>
      </c>
      <c r="D466" s="11">
        <v>188.1</v>
      </c>
      <c r="G466" s="11">
        <v>10.7</v>
      </c>
      <c r="H466" s="11">
        <v>14</v>
      </c>
      <c r="I466" s="11">
        <v>0.3</v>
      </c>
      <c r="J466" s="11">
        <v>5.0999999999999996</v>
      </c>
      <c r="K466" s="11">
        <v>1.5</v>
      </c>
      <c r="L466" s="11">
        <v>1.6</v>
      </c>
      <c r="N466" s="11">
        <v>4</v>
      </c>
      <c r="O466" s="11">
        <v>1.2</v>
      </c>
      <c r="P466" s="11"/>
      <c r="S466" s="11">
        <v>151.4</v>
      </c>
      <c r="T466" s="13"/>
      <c r="U466" s="13"/>
      <c r="V466" s="13"/>
      <c r="X466" s="13"/>
      <c r="Y466" s="11">
        <v>8005.3</v>
      </c>
      <c r="Z466" s="13"/>
      <c r="AA466" s="13"/>
      <c r="AB466" s="13"/>
      <c r="AC466" s="13"/>
      <c r="AD466" s="13"/>
      <c r="AE466" s="13"/>
      <c r="AF466" s="13"/>
      <c r="AG466" s="9"/>
      <c r="AJ466" s="11">
        <v>8370.7999999999993</v>
      </c>
      <c r="AK466" s="13">
        <v>6965</v>
      </c>
      <c r="AL466" s="13">
        <f t="shared" si="16"/>
        <v>1405.7999999999993</v>
      </c>
      <c r="AM466" s="23" t="s">
        <v>647</v>
      </c>
      <c r="AN466" s="9"/>
      <c r="AO466" s="9"/>
      <c r="AP466" s="13"/>
      <c r="AQ466" s="13"/>
      <c r="AR466" s="13"/>
    </row>
    <row r="467" spans="1:44" ht="15.75" customHeight="1">
      <c r="A467" s="9" t="s">
        <v>648</v>
      </c>
      <c r="B467" s="9" t="s">
        <v>648</v>
      </c>
      <c r="C467" s="18" t="s">
        <v>629</v>
      </c>
      <c r="D467" s="11">
        <v>59.4</v>
      </c>
      <c r="G467" s="11">
        <v>19.7</v>
      </c>
      <c r="H467" s="11">
        <v>8.6</v>
      </c>
      <c r="I467" s="11">
        <v>0.3</v>
      </c>
      <c r="J467" s="11">
        <v>12</v>
      </c>
      <c r="K467" s="11">
        <v>1.5</v>
      </c>
      <c r="L467" s="11">
        <v>4.5999999999999996</v>
      </c>
      <c r="N467" s="11">
        <v>0.8</v>
      </c>
      <c r="O467" s="11">
        <v>0.2</v>
      </c>
      <c r="P467" s="11"/>
      <c r="S467" s="11">
        <v>59.1</v>
      </c>
      <c r="T467" s="13"/>
      <c r="U467" s="13"/>
      <c r="V467" s="13"/>
      <c r="X467" s="13"/>
      <c r="Y467" s="11">
        <v>45.5</v>
      </c>
      <c r="Z467" s="13"/>
      <c r="AA467" s="13"/>
      <c r="AB467" s="13"/>
      <c r="AC467" s="13"/>
      <c r="AD467" s="13"/>
      <c r="AE467" s="13"/>
      <c r="AF467" s="13"/>
      <c r="AG467" s="9"/>
      <c r="AJ467" s="11">
        <v>211.6</v>
      </c>
      <c r="AK467" s="13">
        <v>0</v>
      </c>
      <c r="AL467" s="13">
        <f t="shared" si="16"/>
        <v>211.6</v>
      </c>
      <c r="AM467" s="23" t="s">
        <v>649</v>
      </c>
      <c r="AN467" s="9"/>
      <c r="AO467" s="9"/>
      <c r="AP467" s="13"/>
      <c r="AQ467" s="13"/>
      <c r="AR467" s="13"/>
    </row>
    <row r="468" spans="1:44" ht="15.75" customHeight="1">
      <c r="A468" s="9" t="s">
        <v>411</v>
      </c>
      <c r="B468" s="9" t="s">
        <v>91</v>
      </c>
      <c r="C468" s="18" t="s">
        <v>629</v>
      </c>
      <c r="D468" s="11">
        <v>631.9</v>
      </c>
      <c r="G468" s="11">
        <v>31.2</v>
      </c>
      <c r="H468" s="11">
        <v>1.9</v>
      </c>
      <c r="I468" s="11">
        <v>1.3</v>
      </c>
      <c r="J468" s="11">
        <v>125.3</v>
      </c>
      <c r="K468" s="11">
        <v>4</v>
      </c>
      <c r="L468" s="11">
        <v>5.4</v>
      </c>
      <c r="N468" s="11">
        <v>13</v>
      </c>
      <c r="O468" s="11">
        <v>152.1</v>
      </c>
      <c r="P468" s="11"/>
      <c r="S468" s="11">
        <v>72.2</v>
      </c>
      <c r="T468" s="13"/>
      <c r="U468" s="13"/>
      <c r="V468" s="13"/>
      <c r="X468" s="13"/>
      <c r="Y468" s="11">
        <v>686.1</v>
      </c>
      <c r="Z468" s="13"/>
      <c r="AA468" s="13"/>
      <c r="AB468" s="13"/>
      <c r="AC468" s="13"/>
      <c r="AD468" s="13"/>
      <c r="AE468" s="13"/>
      <c r="AF468" s="13"/>
      <c r="AG468" s="9"/>
      <c r="AJ468" s="11">
        <v>1724.6</v>
      </c>
      <c r="AK468" s="13">
        <v>149.6</v>
      </c>
      <c r="AL468" s="13">
        <f t="shared" si="16"/>
        <v>1575</v>
      </c>
      <c r="AM468" s="23" t="s">
        <v>650</v>
      </c>
      <c r="AN468" s="9"/>
      <c r="AO468" s="9"/>
      <c r="AP468" s="13"/>
      <c r="AQ468" s="13"/>
      <c r="AR468" s="13"/>
    </row>
    <row r="469" spans="1:44" ht="15.75" customHeight="1">
      <c r="A469" s="9" t="s">
        <v>93</v>
      </c>
      <c r="B469" s="9" t="s">
        <v>93</v>
      </c>
      <c r="C469" s="18" t="s">
        <v>629</v>
      </c>
      <c r="D469" s="11">
        <v>501.1</v>
      </c>
      <c r="G469" s="11">
        <v>26.3</v>
      </c>
      <c r="H469" s="11">
        <v>21</v>
      </c>
      <c r="I469" s="11">
        <v>0.4</v>
      </c>
      <c r="J469" s="11">
        <v>112.1</v>
      </c>
      <c r="K469" s="11">
        <v>2.5</v>
      </c>
      <c r="L469" s="11">
        <v>3.2</v>
      </c>
      <c r="N469" s="11">
        <v>4</v>
      </c>
      <c r="O469" s="11">
        <v>2.6</v>
      </c>
      <c r="P469" s="11"/>
      <c r="S469" s="11">
        <v>81.400000000000006</v>
      </c>
      <c r="T469" s="13"/>
      <c r="U469" s="13"/>
      <c r="V469" s="13"/>
      <c r="X469" s="13"/>
      <c r="Y469" s="11">
        <v>15</v>
      </c>
      <c r="Z469" s="13"/>
      <c r="AA469" s="13"/>
      <c r="AB469" s="13"/>
      <c r="AC469" s="13"/>
      <c r="AD469" s="13"/>
      <c r="AE469" s="13"/>
      <c r="AF469" s="13"/>
      <c r="AG469" s="9"/>
      <c r="AJ469" s="11">
        <v>769.5</v>
      </c>
      <c r="AK469" s="13">
        <v>0</v>
      </c>
      <c r="AL469" s="13">
        <f t="shared" si="16"/>
        <v>769.5</v>
      </c>
      <c r="AM469" s="23" t="s">
        <v>651</v>
      </c>
      <c r="AN469" s="9"/>
      <c r="AO469" s="9"/>
      <c r="AP469" s="13"/>
      <c r="AQ469" s="13"/>
      <c r="AR469" s="13"/>
    </row>
    <row r="470" spans="1:44" ht="15.75" customHeight="1">
      <c r="A470" s="9" t="s">
        <v>652</v>
      </c>
      <c r="B470" s="9" t="s">
        <v>652</v>
      </c>
      <c r="C470" s="18" t="s">
        <v>629</v>
      </c>
      <c r="D470" s="11">
        <v>958.3</v>
      </c>
      <c r="G470" s="11">
        <v>26.2</v>
      </c>
      <c r="H470" s="11">
        <v>2.9</v>
      </c>
      <c r="I470" s="11">
        <v>0.5</v>
      </c>
      <c r="J470" s="11">
        <v>0.1</v>
      </c>
      <c r="K470" s="11">
        <v>3.1</v>
      </c>
      <c r="L470" s="11">
        <v>0.6</v>
      </c>
      <c r="N470" s="11">
        <v>7.9</v>
      </c>
      <c r="O470" s="11">
        <v>1.7</v>
      </c>
      <c r="P470" s="11"/>
      <c r="S470" s="11">
        <v>604.79999999999995</v>
      </c>
      <c r="T470" s="13"/>
      <c r="U470" s="13"/>
      <c r="V470" s="13"/>
      <c r="X470" s="13"/>
      <c r="Y470" s="11">
        <v>1708.2</v>
      </c>
      <c r="Z470" s="13"/>
      <c r="AA470" s="13"/>
      <c r="AB470" s="13"/>
      <c r="AC470" s="13"/>
      <c r="AD470" s="13"/>
      <c r="AE470" s="13"/>
      <c r="AF470" s="13"/>
      <c r="AG470" s="9"/>
      <c r="AJ470" s="11">
        <v>3314.2</v>
      </c>
      <c r="AK470" s="13">
        <v>0</v>
      </c>
      <c r="AL470" s="13">
        <f t="shared" si="16"/>
        <v>3314.2</v>
      </c>
      <c r="AM470" s="23" t="s">
        <v>653</v>
      </c>
      <c r="AN470" s="9"/>
      <c r="AO470" s="9"/>
      <c r="AP470" s="13"/>
      <c r="AQ470" s="13"/>
      <c r="AR470" s="13"/>
    </row>
    <row r="471" spans="1:44" ht="15.75" customHeight="1">
      <c r="A471" s="9" t="s">
        <v>95</v>
      </c>
      <c r="B471" s="9" t="s">
        <v>95</v>
      </c>
      <c r="C471" s="18" t="s">
        <v>629</v>
      </c>
      <c r="D471" s="11">
        <v>181.4</v>
      </c>
      <c r="G471" s="11">
        <v>13.6</v>
      </c>
      <c r="H471" s="11">
        <v>3.2</v>
      </c>
      <c r="I471" s="11">
        <v>1.3</v>
      </c>
      <c r="J471" s="9"/>
      <c r="K471" s="11">
        <v>1.1000000000000001</v>
      </c>
      <c r="L471" s="11">
        <v>1.7</v>
      </c>
      <c r="N471" s="11">
        <v>4.5999999999999996</v>
      </c>
      <c r="O471" s="11">
        <v>0.6</v>
      </c>
      <c r="P471" s="11"/>
      <c r="S471" s="11">
        <v>14</v>
      </c>
      <c r="T471" s="13"/>
      <c r="U471" s="13"/>
      <c r="V471" s="13"/>
      <c r="X471" s="13"/>
      <c r="Y471" s="11">
        <v>308</v>
      </c>
      <c r="Z471" s="13"/>
      <c r="AA471" s="13"/>
      <c r="AB471" s="13"/>
      <c r="AC471" s="13"/>
      <c r="AD471" s="13"/>
      <c r="AE471" s="13"/>
      <c r="AF471" s="13"/>
      <c r="AG471" s="9"/>
      <c r="AJ471" s="11">
        <v>529.4</v>
      </c>
      <c r="AK471" s="13">
        <v>0</v>
      </c>
      <c r="AL471" s="13">
        <f t="shared" si="16"/>
        <v>529.4</v>
      </c>
      <c r="AM471" s="23" t="s">
        <v>654</v>
      </c>
      <c r="AN471" s="9"/>
      <c r="AO471" s="9"/>
      <c r="AP471" s="13"/>
      <c r="AQ471" s="13"/>
      <c r="AR471" s="13"/>
    </row>
    <row r="472" spans="1:44" ht="15.75" customHeight="1">
      <c r="A472" s="9" t="s">
        <v>655</v>
      </c>
      <c r="B472" s="9" t="s">
        <v>160</v>
      </c>
      <c r="C472" s="18" t="s">
        <v>629</v>
      </c>
      <c r="D472" s="11">
        <v>1188.2</v>
      </c>
      <c r="G472" s="11">
        <v>7.6</v>
      </c>
      <c r="H472" s="11">
        <v>1.6</v>
      </c>
      <c r="I472" s="11">
        <v>0.1</v>
      </c>
      <c r="J472" s="11">
        <v>56.5</v>
      </c>
      <c r="K472" s="11">
        <v>4</v>
      </c>
      <c r="L472" s="9"/>
      <c r="N472" s="11">
        <v>3.9</v>
      </c>
      <c r="O472" s="11">
        <v>1.2</v>
      </c>
      <c r="P472" s="11"/>
      <c r="S472" s="11">
        <v>190.6</v>
      </c>
      <c r="T472" s="13"/>
      <c r="U472" s="13"/>
      <c r="V472" s="13"/>
      <c r="X472" s="13"/>
      <c r="Y472" s="11">
        <v>1020.6</v>
      </c>
      <c r="Z472" s="13"/>
      <c r="AA472" s="13"/>
      <c r="AB472" s="13"/>
      <c r="AC472" s="13"/>
      <c r="AD472" s="13"/>
      <c r="AE472" s="13"/>
      <c r="AF472" s="13"/>
      <c r="AG472" s="9"/>
      <c r="AJ472" s="11">
        <v>2474.1999999999998</v>
      </c>
      <c r="AK472" s="13">
        <v>0</v>
      </c>
      <c r="AL472" s="13">
        <f t="shared" si="16"/>
        <v>2474.1999999999998</v>
      </c>
      <c r="AM472" s="23" t="s">
        <v>656</v>
      </c>
      <c r="AN472" s="9"/>
      <c r="AO472" s="9"/>
      <c r="AP472" s="13"/>
      <c r="AQ472" s="13"/>
      <c r="AR472" s="13"/>
    </row>
    <row r="473" spans="1:44" ht="15.75" customHeight="1">
      <c r="A473" s="9" t="s">
        <v>657</v>
      </c>
      <c r="B473" s="9" t="s">
        <v>657</v>
      </c>
      <c r="C473" s="18" t="s">
        <v>629</v>
      </c>
      <c r="D473" s="11">
        <v>197.7</v>
      </c>
      <c r="G473" s="9" t="s">
        <v>41</v>
      </c>
      <c r="H473" s="9"/>
      <c r="I473" s="9" t="s">
        <v>41</v>
      </c>
      <c r="J473" s="9" t="s">
        <v>41</v>
      </c>
      <c r="K473" s="9" t="s">
        <v>41</v>
      </c>
      <c r="L473" s="9" t="s">
        <v>41</v>
      </c>
      <c r="N473" s="9"/>
      <c r="O473" s="9" t="s">
        <v>41</v>
      </c>
      <c r="P473" s="11"/>
      <c r="S473" s="11">
        <v>6573.8</v>
      </c>
      <c r="T473" s="13"/>
      <c r="U473" s="13"/>
      <c r="V473" s="13"/>
      <c r="X473" s="13"/>
      <c r="Y473" s="9"/>
      <c r="Z473" s="13"/>
      <c r="AA473" s="13"/>
      <c r="AB473" s="13"/>
      <c r="AC473" s="13"/>
      <c r="AD473" s="13"/>
      <c r="AE473" s="13"/>
      <c r="AF473" s="13"/>
      <c r="AG473" s="9" t="s">
        <v>41</v>
      </c>
      <c r="AJ473" s="11">
        <v>6771.5</v>
      </c>
      <c r="AK473" s="13">
        <v>0</v>
      </c>
      <c r="AL473" s="13">
        <f t="shared" si="16"/>
        <v>6771.5</v>
      </c>
      <c r="AM473" s="23" t="s">
        <v>658</v>
      </c>
      <c r="AN473" s="9"/>
      <c r="AO473" s="9"/>
      <c r="AP473" s="13"/>
      <c r="AQ473" s="13"/>
      <c r="AR473" s="13"/>
    </row>
    <row r="474" spans="1:44" ht="15.75" customHeight="1">
      <c r="A474" s="9" t="s">
        <v>244</v>
      </c>
      <c r="B474" s="9" t="s">
        <v>244</v>
      </c>
      <c r="C474" s="18" t="s">
        <v>629</v>
      </c>
      <c r="D474" s="11">
        <v>2033.1</v>
      </c>
      <c r="G474" s="11">
        <v>18.7</v>
      </c>
      <c r="H474" s="11">
        <v>2.1</v>
      </c>
      <c r="I474" s="11">
        <v>0.6</v>
      </c>
      <c r="J474" s="11">
        <v>2</v>
      </c>
      <c r="K474" s="11">
        <v>5.4</v>
      </c>
      <c r="L474" s="11">
        <v>2.5</v>
      </c>
      <c r="N474" s="11">
        <v>3.8</v>
      </c>
      <c r="O474" s="11">
        <v>3</v>
      </c>
      <c r="P474" s="11"/>
      <c r="S474" s="11">
        <v>130.5</v>
      </c>
      <c r="T474" s="13"/>
      <c r="U474" s="13"/>
      <c r="V474" s="13"/>
      <c r="X474" s="13"/>
      <c r="Y474" s="11">
        <v>10</v>
      </c>
      <c r="Z474" s="13"/>
      <c r="AA474" s="13"/>
      <c r="AB474" s="13"/>
      <c r="AC474" s="13"/>
      <c r="AD474" s="13"/>
      <c r="AE474" s="13"/>
      <c r="AF474" s="13"/>
      <c r="AG474" s="11">
        <v>0.4</v>
      </c>
      <c r="AJ474" s="11">
        <v>2212.1999999999998</v>
      </c>
      <c r="AK474" s="13">
        <v>9.5</v>
      </c>
      <c r="AL474" s="13">
        <f t="shared" si="16"/>
        <v>2202.6999999999998</v>
      </c>
      <c r="AM474" s="23" t="s">
        <v>659</v>
      </c>
      <c r="AN474" s="9"/>
      <c r="AO474" s="9"/>
      <c r="AP474" s="13"/>
      <c r="AQ474" s="13"/>
      <c r="AR474" s="13"/>
    </row>
    <row r="475" spans="1:44" ht="15.75" customHeight="1">
      <c r="A475" s="9" t="s">
        <v>660</v>
      </c>
      <c r="B475" s="9" t="s">
        <v>660</v>
      </c>
      <c r="C475" s="18" t="s">
        <v>629</v>
      </c>
      <c r="D475" s="11">
        <v>167.9</v>
      </c>
      <c r="G475" s="11">
        <v>24.6</v>
      </c>
      <c r="H475" s="11">
        <v>3.3</v>
      </c>
      <c r="I475" s="11">
        <v>4.4000000000000004</v>
      </c>
      <c r="J475" s="11">
        <v>27</v>
      </c>
      <c r="K475" s="11">
        <v>50.8</v>
      </c>
      <c r="L475" s="11">
        <v>9.4</v>
      </c>
      <c r="N475" s="11">
        <v>3.7</v>
      </c>
      <c r="O475" s="11">
        <v>2.8</v>
      </c>
      <c r="P475" s="11"/>
      <c r="S475" s="11">
        <v>85.6</v>
      </c>
      <c r="T475" s="13"/>
      <c r="U475" s="13"/>
      <c r="V475" s="13"/>
      <c r="X475" s="13"/>
      <c r="Y475" s="11">
        <v>654.70000000000005</v>
      </c>
      <c r="Z475" s="13"/>
      <c r="AA475" s="13"/>
      <c r="AB475" s="13"/>
      <c r="AC475" s="13"/>
      <c r="AD475" s="13"/>
      <c r="AE475" s="13"/>
      <c r="AF475" s="13"/>
      <c r="AG475" s="11">
        <v>1.4</v>
      </c>
      <c r="AJ475" s="11">
        <v>1035.7</v>
      </c>
      <c r="AK475" s="13">
        <v>0</v>
      </c>
      <c r="AL475" s="13">
        <f t="shared" si="16"/>
        <v>1035.7</v>
      </c>
      <c r="AM475" s="23" t="s">
        <v>661</v>
      </c>
      <c r="AN475" s="9"/>
      <c r="AO475" s="9"/>
      <c r="AP475" s="13"/>
      <c r="AQ475" s="13"/>
      <c r="AR475" s="13"/>
    </row>
    <row r="476" spans="1:44" ht="15.75" customHeight="1">
      <c r="A476" s="9" t="s">
        <v>419</v>
      </c>
      <c r="B476" s="9" t="s">
        <v>103</v>
      </c>
      <c r="C476" s="18" t="s">
        <v>629</v>
      </c>
      <c r="D476" s="11">
        <v>368.8</v>
      </c>
      <c r="G476" s="11">
        <v>38</v>
      </c>
      <c r="H476" s="11">
        <v>6.9</v>
      </c>
      <c r="I476" s="11">
        <v>842.6</v>
      </c>
      <c r="J476" s="11">
        <v>53.3</v>
      </c>
      <c r="K476" s="11">
        <v>18.5</v>
      </c>
      <c r="L476" s="11">
        <v>23.6</v>
      </c>
      <c r="N476" s="11">
        <v>9.6</v>
      </c>
      <c r="O476" s="11">
        <v>3.9</v>
      </c>
      <c r="P476" s="11"/>
      <c r="S476" s="11">
        <v>181.7</v>
      </c>
      <c r="T476" s="13"/>
      <c r="U476" s="13"/>
      <c r="V476" s="13"/>
      <c r="X476" s="13"/>
      <c r="Y476" s="11">
        <v>1066.0999999999999</v>
      </c>
      <c r="Z476" s="13"/>
      <c r="AA476" s="13"/>
      <c r="AB476" s="13"/>
      <c r="AC476" s="13"/>
      <c r="AD476" s="13"/>
      <c r="AE476" s="13"/>
      <c r="AF476" s="13"/>
      <c r="AG476" s="11">
        <v>32.799999999999997</v>
      </c>
      <c r="AJ476" s="11">
        <v>2645.8</v>
      </c>
      <c r="AK476" s="13">
        <v>175.1</v>
      </c>
      <c r="AL476" s="13">
        <f t="shared" si="16"/>
        <v>2470.7000000000003</v>
      </c>
      <c r="AM476" s="23" t="s">
        <v>662</v>
      </c>
      <c r="AN476" s="9"/>
      <c r="AO476" s="9"/>
      <c r="AP476" s="13"/>
      <c r="AQ476" s="13"/>
      <c r="AR476" s="13"/>
    </row>
    <row r="477" spans="1:44" ht="15.75" customHeight="1">
      <c r="A477" s="9" t="s">
        <v>663</v>
      </c>
      <c r="B477" s="9" t="s">
        <v>663</v>
      </c>
      <c r="C477" s="18" t="s">
        <v>629</v>
      </c>
      <c r="D477" s="11">
        <v>142.5</v>
      </c>
      <c r="G477" s="11">
        <v>153</v>
      </c>
      <c r="H477" s="11">
        <v>704.1</v>
      </c>
      <c r="I477" s="11">
        <v>0.6</v>
      </c>
      <c r="J477" s="11">
        <v>46.2</v>
      </c>
      <c r="K477" s="11">
        <v>8.4</v>
      </c>
      <c r="L477" s="11">
        <v>115</v>
      </c>
      <c r="N477" s="11">
        <v>5.6</v>
      </c>
      <c r="O477" s="11">
        <v>0.3</v>
      </c>
      <c r="P477" s="11"/>
      <c r="S477" s="11">
        <v>495</v>
      </c>
      <c r="T477" s="13"/>
      <c r="U477" s="13"/>
      <c r="V477" s="13"/>
      <c r="X477" s="13"/>
      <c r="Y477" s="11">
        <v>972.8</v>
      </c>
      <c r="Z477" s="13"/>
      <c r="AA477" s="13"/>
      <c r="AB477" s="13"/>
      <c r="AC477" s="13"/>
      <c r="AD477" s="13"/>
      <c r="AE477" s="13"/>
      <c r="AF477" s="13"/>
      <c r="AG477" s="9"/>
      <c r="AJ477" s="11">
        <v>2643.5</v>
      </c>
      <c r="AK477" s="13">
        <v>0</v>
      </c>
      <c r="AL477" s="13">
        <f t="shared" si="16"/>
        <v>2643.5</v>
      </c>
      <c r="AM477" s="23" t="s">
        <v>664</v>
      </c>
      <c r="AN477" s="9"/>
      <c r="AO477" s="9"/>
      <c r="AP477" s="13"/>
      <c r="AQ477" s="13"/>
      <c r="AR477" s="13"/>
    </row>
    <row r="478" spans="1:44" ht="15.75" customHeight="1">
      <c r="A478" s="9" t="s">
        <v>665</v>
      </c>
      <c r="B478" s="9" t="s">
        <v>665</v>
      </c>
      <c r="C478" s="18" t="s">
        <v>629</v>
      </c>
      <c r="D478" s="11">
        <v>269.60000000000002</v>
      </c>
      <c r="G478" s="11">
        <v>72.599999999999994</v>
      </c>
      <c r="H478" s="11">
        <v>13.5</v>
      </c>
      <c r="I478" s="11">
        <v>15.8</v>
      </c>
      <c r="J478" s="11">
        <v>41.9</v>
      </c>
      <c r="K478" s="11">
        <v>111.5</v>
      </c>
      <c r="L478" s="11">
        <v>23</v>
      </c>
      <c r="N478" s="11">
        <v>10.9</v>
      </c>
      <c r="O478" s="11">
        <v>13.6</v>
      </c>
      <c r="P478" s="11"/>
      <c r="S478" s="11">
        <v>126.6</v>
      </c>
      <c r="T478" s="13"/>
      <c r="U478" s="13"/>
      <c r="V478" s="13"/>
      <c r="X478" s="13"/>
      <c r="Y478" s="11">
        <v>2309.5</v>
      </c>
      <c r="Z478" s="13"/>
      <c r="AA478" s="13"/>
      <c r="AB478" s="13"/>
      <c r="AC478" s="13"/>
      <c r="AD478" s="13"/>
      <c r="AE478" s="13"/>
      <c r="AF478" s="13"/>
      <c r="AG478" s="11">
        <v>0.3</v>
      </c>
      <c r="AJ478" s="11">
        <v>3008.9</v>
      </c>
      <c r="AK478" s="13">
        <v>10.6</v>
      </c>
      <c r="AL478" s="13">
        <f t="shared" si="16"/>
        <v>2998.3</v>
      </c>
      <c r="AM478" s="23" t="s">
        <v>666</v>
      </c>
      <c r="AN478" s="9"/>
      <c r="AO478" s="9"/>
      <c r="AP478" s="13"/>
      <c r="AQ478" s="13"/>
      <c r="AR478" s="13"/>
    </row>
    <row r="479" spans="1:44" ht="15.75" customHeight="1">
      <c r="A479" s="9" t="s">
        <v>667</v>
      </c>
      <c r="B479" s="9" t="s">
        <v>667</v>
      </c>
      <c r="C479" s="18" t="s">
        <v>629</v>
      </c>
      <c r="D479" s="11">
        <v>341</v>
      </c>
      <c r="G479" s="11">
        <v>29.8</v>
      </c>
      <c r="H479" s="11">
        <v>4.5999999999999996</v>
      </c>
      <c r="I479" s="11">
        <v>1.2</v>
      </c>
      <c r="J479" s="9" t="s">
        <v>41</v>
      </c>
      <c r="K479" s="11">
        <v>15</v>
      </c>
      <c r="L479" s="11">
        <v>14.9</v>
      </c>
      <c r="N479" s="11">
        <v>5.3</v>
      </c>
      <c r="O479" s="11">
        <v>4.9000000000000004</v>
      </c>
      <c r="P479" s="11"/>
      <c r="S479" s="11">
        <v>91.3</v>
      </c>
      <c r="T479" s="13"/>
      <c r="U479" s="13"/>
      <c r="V479" s="13"/>
      <c r="X479" s="13"/>
      <c r="Y479" s="11">
        <v>1550.3</v>
      </c>
      <c r="Z479" s="13"/>
      <c r="AA479" s="13"/>
      <c r="AB479" s="13"/>
      <c r="AC479" s="13"/>
      <c r="AD479" s="13"/>
      <c r="AE479" s="13"/>
      <c r="AF479" s="13"/>
      <c r="AG479" s="9"/>
      <c r="AJ479" s="11">
        <v>2058.4</v>
      </c>
      <c r="AK479" s="13">
        <v>0</v>
      </c>
      <c r="AL479" s="13">
        <f t="shared" si="16"/>
        <v>2058.4</v>
      </c>
      <c r="AM479" s="23" t="s">
        <v>668</v>
      </c>
      <c r="AN479" s="9"/>
      <c r="AO479" s="9"/>
      <c r="AP479" s="13"/>
      <c r="AQ479" s="13"/>
      <c r="AR479" s="13"/>
    </row>
    <row r="480" spans="1:44" ht="15.75" customHeight="1">
      <c r="A480" s="9" t="s">
        <v>669</v>
      </c>
      <c r="B480" s="9" t="s">
        <v>669</v>
      </c>
      <c r="C480" s="18" t="s">
        <v>629</v>
      </c>
      <c r="D480" s="11">
        <v>113.5</v>
      </c>
      <c r="G480" s="11">
        <v>18.100000000000001</v>
      </c>
      <c r="H480" s="11">
        <v>3.7</v>
      </c>
      <c r="I480" s="11">
        <v>3</v>
      </c>
      <c r="J480" s="11">
        <v>6</v>
      </c>
      <c r="K480" s="11">
        <v>1.9</v>
      </c>
      <c r="L480" s="11">
        <v>9.8000000000000007</v>
      </c>
      <c r="N480" s="11">
        <v>5.2</v>
      </c>
      <c r="O480" s="11">
        <v>1.2</v>
      </c>
      <c r="P480" s="11"/>
      <c r="S480" s="11">
        <v>28.6</v>
      </c>
      <c r="T480" s="13"/>
      <c r="U480" s="13"/>
      <c r="V480" s="13"/>
      <c r="X480" s="13"/>
      <c r="Y480" s="9"/>
      <c r="Z480" s="13"/>
      <c r="AA480" s="13"/>
      <c r="AB480" s="13"/>
      <c r="AC480" s="13"/>
      <c r="AD480" s="13"/>
      <c r="AE480" s="13"/>
      <c r="AF480" s="13"/>
      <c r="AG480" s="9" t="s">
        <v>41</v>
      </c>
      <c r="AJ480" s="11">
        <v>190.9</v>
      </c>
      <c r="AK480" s="13">
        <v>47.4</v>
      </c>
      <c r="AL480" s="13">
        <f t="shared" si="16"/>
        <v>143.5</v>
      </c>
      <c r="AM480" s="23" t="s">
        <v>670</v>
      </c>
      <c r="AN480" s="9"/>
      <c r="AO480" s="9"/>
      <c r="AP480" s="13"/>
      <c r="AQ480" s="13"/>
      <c r="AR480" s="13"/>
    </row>
    <row r="481" spans="1:44" ht="15.75" customHeight="1">
      <c r="A481" s="9" t="s">
        <v>671</v>
      </c>
      <c r="B481" s="9" t="s">
        <v>506</v>
      </c>
      <c r="C481" s="18" t="s">
        <v>629</v>
      </c>
      <c r="D481" s="11">
        <v>1603.8</v>
      </c>
      <c r="G481" s="11">
        <v>11.2</v>
      </c>
      <c r="H481" s="11">
        <v>0.5</v>
      </c>
      <c r="I481" s="11">
        <v>1.6</v>
      </c>
      <c r="J481" s="11">
        <v>23.9</v>
      </c>
      <c r="K481" s="11">
        <v>2.5</v>
      </c>
      <c r="L481" s="11">
        <v>1.1000000000000001</v>
      </c>
      <c r="N481" s="11">
        <v>4.4000000000000004</v>
      </c>
      <c r="O481" s="11">
        <v>0.4</v>
      </c>
      <c r="P481" s="11"/>
      <c r="S481" s="11">
        <v>10085.299999999999</v>
      </c>
      <c r="T481" s="13"/>
      <c r="U481" s="13"/>
      <c r="V481" s="13"/>
      <c r="X481" s="13"/>
      <c r="Y481" s="11">
        <v>3726.6</v>
      </c>
      <c r="Z481" s="13"/>
      <c r="AA481" s="13"/>
      <c r="AB481" s="13"/>
      <c r="AC481" s="13"/>
      <c r="AD481" s="13"/>
      <c r="AE481" s="13"/>
      <c r="AF481" s="13"/>
      <c r="AG481" s="9"/>
      <c r="AJ481" s="11">
        <v>15461.2</v>
      </c>
      <c r="AK481" s="13">
        <v>0</v>
      </c>
      <c r="AL481" s="13">
        <f t="shared" si="16"/>
        <v>15461.2</v>
      </c>
      <c r="AM481" s="23" t="s">
        <v>672</v>
      </c>
      <c r="AN481" s="9"/>
      <c r="AO481" s="9"/>
      <c r="AP481" s="13"/>
      <c r="AQ481" s="13"/>
      <c r="AR481" s="13"/>
    </row>
    <row r="482" spans="1:44" ht="15.75" customHeight="1">
      <c r="A482" s="9" t="s">
        <v>252</v>
      </c>
      <c r="B482" s="9" t="s">
        <v>252</v>
      </c>
      <c r="C482" s="18" t="s">
        <v>629</v>
      </c>
      <c r="D482" s="11">
        <v>1341.2</v>
      </c>
      <c r="G482" s="11">
        <v>73.5</v>
      </c>
      <c r="H482" s="11">
        <v>1.2</v>
      </c>
      <c r="I482" s="11">
        <v>0.4</v>
      </c>
      <c r="J482" s="11">
        <v>50.6</v>
      </c>
      <c r="K482" s="11">
        <v>3.5</v>
      </c>
      <c r="L482" s="11">
        <v>2</v>
      </c>
      <c r="N482" s="11">
        <v>27.3</v>
      </c>
      <c r="O482" s="11">
        <v>1.6</v>
      </c>
      <c r="P482" s="11"/>
      <c r="S482" s="11">
        <v>1160.3</v>
      </c>
      <c r="T482" s="13"/>
      <c r="U482" s="13"/>
      <c r="V482" s="13"/>
      <c r="X482" s="13"/>
      <c r="Y482" s="11">
        <v>4341.3</v>
      </c>
      <c r="Z482" s="13"/>
      <c r="AA482" s="13"/>
      <c r="AB482" s="13"/>
      <c r="AC482" s="13"/>
      <c r="AD482" s="13"/>
      <c r="AE482" s="13"/>
      <c r="AF482" s="13"/>
      <c r="AG482" s="11">
        <v>53</v>
      </c>
      <c r="AJ482" s="11">
        <v>7055.7</v>
      </c>
      <c r="AK482" s="13">
        <v>0</v>
      </c>
      <c r="AL482" s="13">
        <f t="shared" si="16"/>
        <v>7055.7</v>
      </c>
      <c r="AM482" s="23" t="s">
        <v>673</v>
      </c>
      <c r="AN482" s="9"/>
      <c r="AO482" s="9"/>
      <c r="AP482" s="13"/>
      <c r="AQ482" s="13"/>
      <c r="AR482" s="13"/>
    </row>
    <row r="483" spans="1:44" ht="15.75" customHeight="1">
      <c r="A483" s="9" t="s">
        <v>674</v>
      </c>
      <c r="B483" s="9" t="s">
        <v>255</v>
      </c>
      <c r="C483" s="18" t="s">
        <v>629</v>
      </c>
      <c r="D483" s="11">
        <v>245.4</v>
      </c>
      <c r="G483" s="11">
        <v>23.6</v>
      </c>
      <c r="H483" s="11">
        <v>2.8</v>
      </c>
      <c r="I483" s="11">
        <v>0.3</v>
      </c>
      <c r="J483" s="11">
        <v>1.6</v>
      </c>
      <c r="K483" s="11">
        <v>2.2999999999999998</v>
      </c>
      <c r="L483" s="11">
        <v>38.700000000000003</v>
      </c>
      <c r="N483" s="11">
        <v>4.3</v>
      </c>
      <c r="O483" s="11">
        <v>0.2</v>
      </c>
      <c r="P483" s="11"/>
      <c r="S483" s="11">
        <v>61.2</v>
      </c>
      <c r="T483" s="13"/>
      <c r="U483" s="13"/>
      <c r="V483" s="13"/>
      <c r="X483" s="13"/>
      <c r="Y483" s="11">
        <v>1299.9000000000001</v>
      </c>
      <c r="Z483" s="13"/>
      <c r="AA483" s="13"/>
      <c r="AB483" s="13"/>
      <c r="AC483" s="13"/>
      <c r="AD483" s="13"/>
      <c r="AE483" s="13"/>
      <c r="AF483" s="13"/>
      <c r="AG483" s="9"/>
      <c r="AJ483" s="11">
        <v>1680.3</v>
      </c>
      <c r="AK483" s="13">
        <v>0</v>
      </c>
      <c r="AL483" s="13">
        <f t="shared" si="16"/>
        <v>1680.3</v>
      </c>
      <c r="AM483" s="23" t="s">
        <v>675</v>
      </c>
      <c r="AN483" s="9"/>
      <c r="AO483" s="9"/>
      <c r="AP483" s="13"/>
      <c r="AQ483" s="13"/>
      <c r="AR483" s="13"/>
    </row>
    <row r="484" spans="1:44" ht="15.75" customHeight="1">
      <c r="A484" s="9" t="s">
        <v>676</v>
      </c>
      <c r="B484" s="9" t="s">
        <v>127</v>
      </c>
      <c r="C484" s="18" t="s">
        <v>629</v>
      </c>
      <c r="D484" s="11">
        <v>396.9</v>
      </c>
      <c r="G484" s="11">
        <v>72.099999999999994</v>
      </c>
      <c r="H484" s="11">
        <v>13.8</v>
      </c>
      <c r="I484" s="11">
        <v>1.4</v>
      </c>
      <c r="J484" s="11">
        <v>114.2</v>
      </c>
      <c r="K484" s="11">
        <v>35.5</v>
      </c>
      <c r="L484" s="11">
        <v>10.4</v>
      </c>
      <c r="N484" s="11">
        <v>5.3</v>
      </c>
      <c r="O484" s="11">
        <v>1.1000000000000001</v>
      </c>
      <c r="P484" s="11"/>
      <c r="S484" s="11">
        <v>373.4</v>
      </c>
      <c r="T484" s="13"/>
      <c r="U484" s="13"/>
      <c r="V484" s="13"/>
      <c r="X484" s="13"/>
      <c r="Y484" s="11">
        <v>1361.6</v>
      </c>
      <c r="Z484" s="13"/>
      <c r="AA484" s="13"/>
      <c r="AB484" s="13"/>
      <c r="AC484" s="13"/>
      <c r="AD484" s="13"/>
      <c r="AE484" s="13"/>
      <c r="AF484" s="13"/>
      <c r="AG484" s="9"/>
      <c r="AJ484" s="11">
        <v>2385.6999999999998</v>
      </c>
      <c r="AK484" s="13">
        <v>24.5</v>
      </c>
      <c r="AL484" s="13">
        <f t="shared" ref="AL484:AL515" si="17">AJ484-AK484</f>
        <v>2361.1999999999998</v>
      </c>
      <c r="AM484" s="23" t="s">
        <v>677</v>
      </c>
      <c r="AN484" s="9"/>
      <c r="AO484" s="9"/>
      <c r="AP484" s="13"/>
      <c r="AQ484" s="13"/>
      <c r="AR484" s="13"/>
    </row>
    <row r="485" spans="1:44" ht="15.75" customHeight="1">
      <c r="A485" s="9" t="s">
        <v>119</v>
      </c>
      <c r="B485" s="9" t="s">
        <v>119</v>
      </c>
      <c r="C485" s="18" t="s">
        <v>629</v>
      </c>
      <c r="D485" s="11">
        <v>174</v>
      </c>
      <c r="G485" s="11">
        <v>26.6</v>
      </c>
      <c r="H485" s="11">
        <v>14.5</v>
      </c>
      <c r="I485" s="11">
        <v>7.5</v>
      </c>
      <c r="J485" s="9"/>
      <c r="K485" s="11">
        <v>12.6</v>
      </c>
      <c r="L485" s="11">
        <v>10.3</v>
      </c>
      <c r="N485" s="11">
        <v>4.4000000000000004</v>
      </c>
      <c r="O485" s="11">
        <v>3.2</v>
      </c>
      <c r="P485" s="11"/>
      <c r="S485" s="11">
        <v>430.1</v>
      </c>
      <c r="T485" s="13"/>
      <c r="U485" s="13"/>
      <c r="V485" s="13"/>
      <c r="X485" s="13"/>
      <c r="Y485" s="11">
        <v>83</v>
      </c>
      <c r="Z485" s="13"/>
      <c r="AA485" s="13"/>
      <c r="AB485" s="13"/>
      <c r="AC485" s="13"/>
      <c r="AD485" s="13"/>
      <c r="AE485" s="13"/>
      <c r="AF485" s="13"/>
      <c r="AG485" s="9" t="s">
        <v>41</v>
      </c>
      <c r="AJ485" s="11">
        <v>766.3</v>
      </c>
      <c r="AK485" s="13">
        <v>0</v>
      </c>
      <c r="AL485" s="13">
        <f t="shared" si="17"/>
        <v>766.3</v>
      </c>
      <c r="AM485" s="23" t="s">
        <v>678</v>
      </c>
      <c r="AN485" s="9"/>
      <c r="AO485" s="9"/>
      <c r="AP485" s="13"/>
      <c r="AQ485" s="13"/>
      <c r="AR485" s="13"/>
    </row>
    <row r="486" spans="1:44" ht="15.75" customHeight="1">
      <c r="A486" s="9" t="s">
        <v>121</v>
      </c>
      <c r="B486" s="9" t="s">
        <v>121</v>
      </c>
      <c r="C486" s="18" t="s">
        <v>629</v>
      </c>
      <c r="D486" s="11">
        <v>321.8</v>
      </c>
      <c r="G486" s="11">
        <v>56.3</v>
      </c>
      <c r="H486" s="11">
        <v>28.8</v>
      </c>
      <c r="I486" s="11">
        <v>3</v>
      </c>
      <c r="J486" s="11">
        <v>143.80000000000001</v>
      </c>
      <c r="K486" s="11">
        <v>4.4000000000000004</v>
      </c>
      <c r="L486" s="11">
        <v>14.6</v>
      </c>
      <c r="N486" s="11">
        <v>10.9</v>
      </c>
      <c r="O486" s="11">
        <v>43.1</v>
      </c>
      <c r="P486" s="11"/>
      <c r="S486" s="11">
        <v>444.4</v>
      </c>
      <c r="T486" s="13"/>
      <c r="U486" s="13"/>
      <c r="V486" s="13"/>
      <c r="X486" s="13"/>
      <c r="Y486" s="11">
        <v>997.5</v>
      </c>
      <c r="Z486" s="13"/>
      <c r="AA486" s="13"/>
      <c r="AB486" s="13"/>
      <c r="AC486" s="13"/>
      <c r="AD486" s="13"/>
      <c r="AE486" s="13"/>
      <c r="AF486" s="13"/>
      <c r="AG486" s="9" t="s">
        <v>41</v>
      </c>
      <c r="AJ486" s="11">
        <v>2068.6999999999998</v>
      </c>
      <c r="AK486" s="13">
        <v>3.6</v>
      </c>
      <c r="AL486" s="13">
        <f t="shared" si="17"/>
        <v>2065.1</v>
      </c>
      <c r="AM486" s="23" t="s">
        <v>679</v>
      </c>
      <c r="AN486" s="9"/>
      <c r="AO486" s="9"/>
      <c r="AP486" s="13"/>
      <c r="AQ486" s="13"/>
      <c r="AR486" s="13"/>
    </row>
    <row r="487" spans="1:44" ht="15.75" customHeight="1">
      <c r="A487" s="9" t="s">
        <v>680</v>
      </c>
      <c r="B487" s="9" t="s">
        <v>680</v>
      </c>
      <c r="C487" s="18" t="s">
        <v>629</v>
      </c>
      <c r="D487" s="11">
        <v>191.7</v>
      </c>
      <c r="G487" s="11">
        <v>33.5</v>
      </c>
      <c r="H487" s="11">
        <v>70.8</v>
      </c>
      <c r="I487" s="11">
        <v>4.2</v>
      </c>
      <c r="J487" s="11">
        <v>45.7</v>
      </c>
      <c r="K487" s="11">
        <v>4.7</v>
      </c>
      <c r="L487" s="11">
        <v>32.700000000000003</v>
      </c>
      <c r="N487" s="11">
        <v>5.0999999999999996</v>
      </c>
      <c r="O487" s="11">
        <v>1.1000000000000001</v>
      </c>
      <c r="P487" s="11"/>
      <c r="S487" s="11">
        <v>1003</v>
      </c>
      <c r="T487" s="13"/>
      <c r="U487" s="13"/>
      <c r="V487" s="13"/>
      <c r="X487" s="13"/>
      <c r="Y487" s="11">
        <v>82.8</v>
      </c>
      <c r="Z487" s="13"/>
      <c r="AA487" s="13"/>
      <c r="AB487" s="13"/>
      <c r="AC487" s="13"/>
      <c r="AD487" s="13"/>
      <c r="AE487" s="13"/>
      <c r="AF487" s="13"/>
      <c r="AG487" s="9"/>
      <c r="AJ487" s="11">
        <v>1475.2</v>
      </c>
      <c r="AK487" s="13">
        <v>0</v>
      </c>
      <c r="AL487" s="13">
        <f t="shared" si="17"/>
        <v>1475.2</v>
      </c>
      <c r="AM487" s="23" t="s">
        <v>681</v>
      </c>
      <c r="AN487" s="9"/>
      <c r="AO487" s="9"/>
      <c r="AP487" s="13"/>
      <c r="AQ487" s="13"/>
      <c r="AR487" s="13"/>
    </row>
    <row r="488" spans="1:44" ht="15.75" customHeight="1">
      <c r="A488" s="9" t="s">
        <v>264</v>
      </c>
      <c r="B488" s="9" t="s">
        <v>264</v>
      </c>
      <c r="C488" s="18" t="s">
        <v>629</v>
      </c>
      <c r="D488" s="11">
        <v>593.79999999999995</v>
      </c>
      <c r="G488" s="11">
        <v>53.9</v>
      </c>
      <c r="H488" s="11">
        <v>10.9</v>
      </c>
      <c r="I488" s="11">
        <v>2.7</v>
      </c>
      <c r="J488" s="11">
        <v>192.3</v>
      </c>
      <c r="K488" s="11">
        <v>6.1</v>
      </c>
      <c r="L488" s="11">
        <v>36.299999999999997</v>
      </c>
      <c r="N488" s="11">
        <v>7.4</v>
      </c>
      <c r="O488" s="11">
        <v>1.9</v>
      </c>
      <c r="P488" s="11"/>
      <c r="S488" s="11">
        <v>105.8</v>
      </c>
      <c r="T488" s="13"/>
      <c r="U488" s="13"/>
      <c r="V488" s="13"/>
      <c r="X488" s="13"/>
      <c r="Y488" s="11">
        <v>607.4</v>
      </c>
      <c r="Z488" s="13"/>
      <c r="AA488" s="13"/>
      <c r="AB488" s="13"/>
      <c r="AC488" s="13"/>
      <c r="AD488" s="13"/>
      <c r="AE488" s="13"/>
      <c r="AF488" s="13"/>
      <c r="AG488" s="11">
        <v>1.1000000000000001</v>
      </c>
      <c r="AJ488" s="11">
        <v>1619.6</v>
      </c>
      <c r="AK488" s="13">
        <v>0</v>
      </c>
      <c r="AL488" s="13">
        <f t="shared" si="17"/>
        <v>1619.6</v>
      </c>
      <c r="AM488" s="23" t="s">
        <v>682</v>
      </c>
      <c r="AN488" s="9"/>
      <c r="AO488" s="9"/>
      <c r="AP488" s="13"/>
      <c r="AQ488" s="13"/>
      <c r="AR488" s="13"/>
    </row>
    <row r="489" spans="1:44" ht="15.75" customHeight="1">
      <c r="A489" s="9" t="s">
        <v>512</v>
      </c>
      <c r="B489" s="9" t="s">
        <v>131</v>
      </c>
      <c r="C489" s="18" t="s">
        <v>629</v>
      </c>
      <c r="D489" s="11">
        <v>956.6</v>
      </c>
      <c r="G489" s="11">
        <v>121.2</v>
      </c>
      <c r="H489" s="11">
        <v>6.1</v>
      </c>
      <c r="I489" s="11">
        <v>24.3</v>
      </c>
      <c r="J489" s="11">
        <v>2</v>
      </c>
      <c r="K489" s="11">
        <v>14.1</v>
      </c>
      <c r="L489" s="11">
        <v>48.6</v>
      </c>
      <c r="N489" s="11">
        <v>27.2</v>
      </c>
      <c r="O489" s="11">
        <v>23.5</v>
      </c>
      <c r="P489" s="11"/>
      <c r="S489" s="11">
        <v>293.39999999999998</v>
      </c>
      <c r="T489" s="13"/>
      <c r="U489" s="13"/>
      <c r="V489" s="13"/>
      <c r="X489" s="13"/>
      <c r="Y489" s="11">
        <v>13265.7</v>
      </c>
      <c r="Z489" s="13"/>
      <c r="AA489" s="13"/>
      <c r="AB489" s="13"/>
      <c r="AC489" s="13"/>
      <c r="AD489" s="13"/>
      <c r="AE489" s="13"/>
      <c r="AF489" s="13"/>
      <c r="AG489" s="9" t="s">
        <v>41</v>
      </c>
      <c r="AJ489" s="11">
        <v>14782.6</v>
      </c>
      <c r="AK489" s="13">
        <v>0</v>
      </c>
      <c r="AL489" s="13">
        <f t="shared" si="17"/>
        <v>14782.6</v>
      </c>
      <c r="AM489" s="23" t="s">
        <v>683</v>
      </c>
      <c r="AN489" s="9"/>
      <c r="AO489" s="9"/>
      <c r="AP489" s="13"/>
      <c r="AQ489" s="13"/>
      <c r="AR489" s="13"/>
    </row>
    <row r="490" spans="1:44" ht="15.75" customHeight="1">
      <c r="A490" s="9" t="s">
        <v>684</v>
      </c>
      <c r="B490" s="9" t="s">
        <v>267</v>
      </c>
      <c r="C490" s="18" t="s">
        <v>629</v>
      </c>
      <c r="D490" s="11">
        <v>246.7</v>
      </c>
      <c r="G490" s="11">
        <v>17.5</v>
      </c>
      <c r="H490" s="11">
        <v>2.1</v>
      </c>
      <c r="I490" s="11">
        <v>2.8</v>
      </c>
      <c r="J490" s="11">
        <v>0.9</v>
      </c>
      <c r="K490" s="11">
        <v>5.6</v>
      </c>
      <c r="L490" s="11">
        <v>1.8</v>
      </c>
      <c r="N490" s="11">
        <v>6.8</v>
      </c>
      <c r="O490" s="11">
        <v>1.8</v>
      </c>
      <c r="P490" s="11"/>
      <c r="S490" s="11">
        <v>1016.3</v>
      </c>
      <c r="T490" s="13"/>
      <c r="U490" s="13"/>
      <c r="V490" s="13"/>
      <c r="X490" s="13"/>
      <c r="Y490" s="9"/>
      <c r="Z490" s="13"/>
      <c r="AA490" s="13"/>
      <c r="AB490" s="13"/>
      <c r="AC490" s="13"/>
      <c r="AD490" s="13"/>
      <c r="AE490" s="13"/>
      <c r="AF490" s="13"/>
      <c r="AG490" s="9"/>
      <c r="AJ490" s="11">
        <v>1302.4000000000001</v>
      </c>
      <c r="AK490" s="13">
        <v>0</v>
      </c>
      <c r="AL490" s="13">
        <f t="shared" si="17"/>
        <v>1302.4000000000001</v>
      </c>
      <c r="AM490" s="23" t="s">
        <v>685</v>
      </c>
      <c r="AN490" s="9"/>
      <c r="AO490" s="9"/>
      <c r="AP490" s="13"/>
      <c r="AQ490" s="13"/>
      <c r="AR490" s="13"/>
    </row>
    <row r="491" spans="1:44" ht="15.75" customHeight="1">
      <c r="A491" s="9" t="s">
        <v>686</v>
      </c>
      <c r="B491" s="9" t="s">
        <v>686</v>
      </c>
      <c r="C491" s="18" t="s">
        <v>629</v>
      </c>
      <c r="D491" s="11">
        <v>186.8</v>
      </c>
      <c r="G491" s="11">
        <v>21.8</v>
      </c>
      <c r="H491" s="11">
        <v>272</v>
      </c>
      <c r="I491" s="11">
        <v>1</v>
      </c>
      <c r="J491" s="11">
        <v>40</v>
      </c>
      <c r="K491" s="11">
        <v>3</v>
      </c>
      <c r="L491" s="11">
        <v>8.1999999999999993</v>
      </c>
      <c r="N491" s="11">
        <v>4.4000000000000004</v>
      </c>
      <c r="O491" s="11">
        <v>1.1000000000000001</v>
      </c>
      <c r="P491" s="11"/>
      <c r="S491" s="11">
        <v>208</v>
      </c>
      <c r="T491" s="13"/>
      <c r="U491" s="13"/>
      <c r="V491" s="13"/>
      <c r="X491" s="13"/>
      <c r="Y491" s="11">
        <v>1007.9</v>
      </c>
      <c r="Z491" s="13"/>
      <c r="AA491" s="13"/>
      <c r="AB491" s="13"/>
      <c r="AC491" s="13"/>
      <c r="AD491" s="13"/>
      <c r="AE491" s="13"/>
      <c r="AF491" s="13"/>
      <c r="AG491" s="11">
        <v>70</v>
      </c>
      <c r="AJ491" s="11">
        <v>1579.5</v>
      </c>
      <c r="AK491" s="13">
        <v>1083.5999999999999</v>
      </c>
      <c r="AL491" s="13">
        <f t="shared" si="17"/>
        <v>495.90000000000009</v>
      </c>
      <c r="AM491" s="23" t="s">
        <v>687</v>
      </c>
      <c r="AN491" s="9"/>
      <c r="AO491" s="9"/>
      <c r="AP491" s="13"/>
      <c r="AQ491" s="13"/>
      <c r="AR491" s="13"/>
    </row>
    <row r="492" spans="1:44" ht="15.75" customHeight="1">
      <c r="A492" s="9" t="s">
        <v>688</v>
      </c>
      <c r="B492" s="9" t="s">
        <v>688</v>
      </c>
      <c r="C492" s="18" t="s">
        <v>629</v>
      </c>
      <c r="D492" s="11">
        <v>2342.1999999999998</v>
      </c>
      <c r="G492" s="11">
        <v>99</v>
      </c>
      <c r="H492" s="11">
        <v>8.6</v>
      </c>
      <c r="I492" s="11">
        <v>2.1</v>
      </c>
      <c r="J492" s="11">
        <v>144.9</v>
      </c>
      <c r="K492" s="11">
        <v>854.6</v>
      </c>
      <c r="L492" s="11">
        <v>19.8</v>
      </c>
      <c r="N492" s="11">
        <v>37.200000000000003</v>
      </c>
      <c r="O492" s="11">
        <v>17.100000000000001</v>
      </c>
      <c r="P492" s="11"/>
      <c r="S492" s="11">
        <v>9338.5</v>
      </c>
      <c r="T492" s="13"/>
      <c r="U492" s="13"/>
      <c r="V492" s="13"/>
      <c r="X492" s="13"/>
      <c r="Y492" s="11">
        <v>656</v>
      </c>
      <c r="Z492" s="13"/>
      <c r="AA492" s="13"/>
      <c r="AB492" s="13"/>
      <c r="AC492" s="13"/>
      <c r="AD492" s="13"/>
      <c r="AE492" s="13"/>
      <c r="AF492" s="13"/>
      <c r="AG492" s="11">
        <v>0</v>
      </c>
      <c r="AJ492" s="11">
        <v>13520</v>
      </c>
      <c r="AK492" s="13">
        <v>0</v>
      </c>
      <c r="AL492" s="13">
        <f t="shared" si="17"/>
        <v>13520</v>
      </c>
      <c r="AM492" s="23" t="s">
        <v>689</v>
      </c>
      <c r="AN492" s="9"/>
      <c r="AO492" s="9"/>
      <c r="AP492" s="13"/>
      <c r="AQ492" s="13"/>
      <c r="AR492" s="13"/>
    </row>
    <row r="493" spans="1:44" ht="15.75" customHeight="1">
      <c r="A493" s="9" t="s">
        <v>275</v>
      </c>
      <c r="B493" s="9" t="s">
        <v>275</v>
      </c>
      <c r="C493" s="18" t="s">
        <v>629</v>
      </c>
      <c r="D493" s="11">
        <v>186.2</v>
      </c>
      <c r="G493" s="11">
        <v>42.2</v>
      </c>
      <c r="H493" s="11">
        <v>12.8</v>
      </c>
      <c r="I493" s="11">
        <v>2.5</v>
      </c>
      <c r="J493" s="11">
        <v>45.1</v>
      </c>
      <c r="K493" s="11">
        <v>8.4</v>
      </c>
      <c r="L493" s="11">
        <v>24.7</v>
      </c>
      <c r="N493" s="11">
        <v>6.1</v>
      </c>
      <c r="O493" s="11">
        <v>6.4</v>
      </c>
      <c r="P493" s="11"/>
      <c r="S493" s="11">
        <v>546.6</v>
      </c>
      <c r="T493" s="13"/>
      <c r="U493" s="13"/>
      <c r="V493" s="13"/>
      <c r="X493" s="13"/>
      <c r="Y493" s="11">
        <v>390</v>
      </c>
      <c r="Z493" s="13"/>
      <c r="AA493" s="13"/>
      <c r="AB493" s="13"/>
      <c r="AC493" s="13"/>
      <c r="AD493" s="13"/>
      <c r="AE493" s="13"/>
      <c r="AF493" s="13"/>
      <c r="AG493" s="9"/>
      <c r="AJ493" s="11">
        <v>1270.9000000000001</v>
      </c>
      <c r="AK493" s="13">
        <v>0</v>
      </c>
      <c r="AL493" s="13">
        <f t="shared" si="17"/>
        <v>1270.9000000000001</v>
      </c>
      <c r="AM493" s="23" t="s">
        <v>690</v>
      </c>
      <c r="AN493" s="9"/>
      <c r="AO493" s="9"/>
      <c r="AP493" s="13"/>
      <c r="AQ493" s="13"/>
      <c r="AR493" s="13"/>
    </row>
    <row r="494" spans="1:44" ht="15.75" customHeight="1">
      <c r="A494" s="9" t="s">
        <v>280</v>
      </c>
      <c r="B494" s="9" t="s">
        <v>280</v>
      </c>
      <c r="C494" s="18" t="s">
        <v>629</v>
      </c>
      <c r="D494" s="11">
        <v>1014</v>
      </c>
      <c r="G494" s="11">
        <v>79.7</v>
      </c>
      <c r="H494" s="11">
        <v>36.799999999999997</v>
      </c>
      <c r="I494" s="11">
        <v>3.8</v>
      </c>
      <c r="J494" s="11">
        <v>78.400000000000006</v>
      </c>
      <c r="K494" s="11">
        <v>18</v>
      </c>
      <c r="L494" s="11">
        <v>32.5</v>
      </c>
      <c r="N494" s="11">
        <v>7.2</v>
      </c>
      <c r="O494" s="11">
        <v>3.8</v>
      </c>
      <c r="P494" s="11"/>
      <c r="S494" s="11">
        <v>186.1</v>
      </c>
      <c r="T494" s="13"/>
      <c r="U494" s="13"/>
      <c r="V494" s="13"/>
      <c r="X494" s="13"/>
      <c r="Y494" s="11">
        <v>2039.2</v>
      </c>
      <c r="Z494" s="13"/>
      <c r="AA494" s="13"/>
      <c r="AB494" s="13"/>
      <c r="AC494" s="13"/>
      <c r="AD494" s="13"/>
      <c r="AE494" s="13"/>
      <c r="AF494" s="13"/>
      <c r="AG494" s="11">
        <v>360</v>
      </c>
      <c r="AJ494" s="11">
        <v>3859.7</v>
      </c>
      <c r="AK494" s="13">
        <v>509.6</v>
      </c>
      <c r="AL494" s="13">
        <f t="shared" si="17"/>
        <v>3350.1</v>
      </c>
      <c r="AM494" s="23" t="s">
        <v>691</v>
      </c>
      <c r="AN494" s="9"/>
      <c r="AO494" s="9"/>
      <c r="AP494" s="13"/>
      <c r="AQ494" s="13"/>
      <c r="AR494" s="13"/>
    </row>
    <row r="495" spans="1:44" ht="15.75" customHeight="1">
      <c r="A495" s="9" t="s">
        <v>148</v>
      </c>
      <c r="B495" s="9" t="s">
        <v>148</v>
      </c>
      <c r="C495" s="18" t="s">
        <v>629</v>
      </c>
      <c r="D495" s="11">
        <v>7290</v>
      </c>
      <c r="G495" s="11">
        <v>334.9</v>
      </c>
      <c r="H495" s="11">
        <v>16.600000000000001</v>
      </c>
      <c r="I495" s="11">
        <v>28.9</v>
      </c>
      <c r="J495" s="11">
        <v>20.5</v>
      </c>
      <c r="K495" s="11">
        <v>25.2</v>
      </c>
      <c r="L495" s="11">
        <v>103.4</v>
      </c>
      <c r="N495" s="11">
        <v>181.4</v>
      </c>
      <c r="O495" s="11">
        <v>13.8</v>
      </c>
      <c r="P495" s="11"/>
      <c r="S495" s="11">
        <v>1834.8</v>
      </c>
      <c r="T495" s="13"/>
      <c r="U495" s="13"/>
      <c r="V495" s="13"/>
      <c r="X495" s="13"/>
      <c r="Y495" s="11">
        <v>811</v>
      </c>
      <c r="Z495" s="13"/>
      <c r="AA495" s="13"/>
      <c r="AB495" s="13"/>
      <c r="AC495" s="13"/>
      <c r="AD495" s="13"/>
      <c r="AE495" s="13"/>
      <c r="AF495" s="13"/>
      <c r="AG495" s="11">
        <v>361.3</v>
      </c>
      <c r="AJ495" s="11">
        <v>11021.8</v>
      </c>
      <c r="AK495" s="13">
        <v>0</v>
      </c>
      <c r="AL495" s="13">
        <f t="shared" si="17"/>
        <v>11021.8</v>
      </c>
      <c r="AM495" s="23" t="s">
        <v>692</v>
      </c>
      <c r="AN495" s="9"/>
      <c r="AO495" s="9"/>
      <c r="AP495" s="13"/>
      <c r="AQ495" s="13"/>
      <c r="AR495" s="13"/>
    </row>
    <row r="496" spans="1:44" ht="15.75" customHeight="1">
      <c r="A496" s="9" t="s">
        <v>693</v>
      </c>
      <c r="B496" s="9" t="s">
        <v>150</v>
      </c>
      <c r="C496" s="18" t="s">
        <v>629</v>
      </c>
      <c r="D496" s="11">
        <v>1699.8</v>
      </c>
      <c r="G496" s="9"/>
      <c r="H496" s="9"/>
      <c r="I496" s="9" t="s">
        <v>41</v>
      </c>
      <c r="J496" s="9"/>
      <c r="K496" s="9"/>
      <c r="L496" s="9"/>
      <c r="N496" s="9" t="s">
        <v>41</v>
      </c>
      <c r="O496" s="9"/>
      <c r="P496" s="11"/>
      <c r="S496" s="9"/>
      <c r="T496" s="13"/>
      <c r="U496" s="13"/>
      <c r="V496" s="13"/>
      <c r="X496" s="13"/>
      <c r="Y496" s="11">
        <v>1346.6</v>
      </c>
      <c r="Z496" s="13"/>
      <c r="AA496" s="13"/>
      <c r="AB496" s="13"/>
      <c r="AC496" s="13"/>
      <c r="AD496" s="13"/>
      <c r="AE496" s="13"/>
      <c r="AF496" s="13"/>
      <c r="AG496" s="9"/>
      <c r="AJ496" s="11">
        <v>3046.3</v>
      </c>
      <c r="AK496" s="13">
        <v>0</v>
      </c>
      <c r="AL496" s="13">
        <f t="shared" si="17"/>
        <v>3046.3</v>
      </c>
      <c r="AM496" s="23" t="s">
        <v>694</v>
      </c>
      <c r="AN496" s="9"/>
      <c r="AO496" s="9"/>
      <c r="AP496" s="13"/>
      <c r="AQ496" s="13"/>
      <c r="AR496" s="13"/>
    </row>
    <row r="497" spans="1:44" ht="15.75" customHeight="1">
      <c r="A497" s="9" t="s">
        <v>152</v>
      </c>
      <c r="B497" s="9" t="s">
        <v>152</v>
      </c>
      <c r="C497" s="18" t="s">
        <v>629</v>
      </c>
      <c r="D497" s="9"/>
      <c r="G497" s="9"/>
      <c r="H497" s="9"/>
      <c r="I497" s="9"/>
      <c r="J497" s="9"/>
      <c r="K497" s="9"/>
      <c r="L497" s="9"/>
      <c r="N497" s="9"/>
      <c r="O497" s="9"/>
      <c r="P497" s="11"/>
      <c r="S497" s="9"/>
      <c r="T497" s="13"/>
      <c r="U497" s="13"/>
      <c r="V497" s="13"/>
      <c r="X497" s="13"/>
      <c r="Y497" s="11">
        <v>31956.400000000001</v>
      </c>
      <c r="Z497" s="13"/>
      <c r="AA497" s="13"/>
      <c r="AB497" s="13"/>
      <c r="AC497" s="13"/>
      <c r="AD497" s="13"/>
      <c r="AE497" s="13"/>
      <c r="AF497" s="13"/>
      <c r="AG497" s="9" t="s">
        <v>41</v>
      </c>
      <c r="AJ497" s="11">
        <v>31956.400000000001</v>
      </c>
      <c r="AK497" s="13">
        <v>0</v>
      </c>
      <c r="AL497" s="13">
        <f t="shared" si="17"/>
        <v>31956.400000000001</v>
      </c>
      <c r="AM497" s="23" t="s">
        <v>695</v>
      </c>
      <c r="AN497" s="9"/>
      <c r="AO497" s="9"/>
      <c r="AP497" s="13"/>
      <c r="AQ497" s="13"/>
      <c r="AR497" s="13"/>
    </row>
    <row r="498" spans="1:44" ht="15.75" customHeight="1">
      <c r="A498" s="9" t="s">
        <v>154</v>
      </c>
      <c r="B498" s="9" t="s">
        <v>154</v>
      </c>
      <c r="C498" s="18" t="s">
        <v>629</v>
      </c>
      <c r="D498" s="11">
        <v>1257</v>
      </c>
      <c r="G498" s="11">
        <v>87.5</v>
      </c>
      <c r="H498" s="11">
        <v>75</v>
      </c>
      <c r="I498" s="11">
        <v>4.2</v>
      </c>
      <c r="J498" s="11">
        <v>140.9</v>
      </c>
      <c r="K498" s="11">
        <v>38.799999999999997</v>
      </c>
      <c r="L498" s="11">
        <v>27.9</v>
      </c>
      <c r="N498" s="11">
        <v>15</v>
      </c>
      <c r="O498" s="11">
        <v>4.4000000000000004</v>
      </c>
      <c r="P498" s="11"/>
      <c r="S498" s="11">
        <v>323.5</v>
      </c>
      <c r="T498" s="13"/>
      <c r="U498" s="13"/>
      <c r="V498" s="13"/>
      <c r="X498" s="13"/>
      <c r="Y498" s="9"/>
      <c r="Z498" s="13"/>
      <c r="AA498" s="13"/>
      <c r="AB498" s="13"/>
      <c r="AC498" s="13"/>
      <c r="AD498" s="13"/>
      <c r="AE498" s="13"/>
      <c r="AF498" s="13"/>
      <c r="AG498" s="9"/>
      <c r="AJ498" s="11">
        <v>1906.7</v>
      </c>
      <c r="AK498" s="13">
        <v>0</v>
      </c>
      <c r="AL498" s="13">
        <f t="shared" si="17"/>
        <v>1906.7</v>
      </c>
      <c r="AM498" s="23" t="s">
        <v>696</v>
      </c>
      <c r="AN498" s="9"/>
      <c r="AO498" s="9"/>
      <c r="AP498" s="13"/>
      <c r="AQ498" s="13"/>
      <c r="AR498" s="13"/>
    </row>
    <row r="499" spans="1:44" ht="15.75" customHeight="1">
      <c r="A499" s="9" t="s">
        <v>156</v>
      </c>
      <c r="B499" s="9" t="s">
        <v>156</v>
      </c>
      <c r="C499" s="18" t="s">
        <v>629</v>
      </c>
      <c r="D499" s="11">
        <v>156.30000000000001</v>
      </c>
      <c r="G499" s="11">
        <v>27.2</v>
      </c>
      <c r="H499" s="9"/>
      <c r="I499" s="11">
        <v>0.8</v>
      </c>
      <c r="J499" s="11">
        <v>23.5</v>
      </c>
      <c r="K499" s="11">
        <v>6.4</v>
      </c>
      <c r="L499" s="11">
        <v>27.1</v>
      </c>
      <c r="N499" s="11">
        <v>1.5</v>
      </c>
      <c r="O499" s="11">
        <v>0.1</v>
      </c>
      <c r="P499" s="11"/>
      <c r="S499" s="11">
        <v>131.69999999999999</v>
      </c>
      <c r="T499" s="13"/>
      <c r="U499" s="13"/>
      <c r="V499" s="13"/>
      <c r="X499" s="13"/>
      <c r="Y499" s="11">
        <v>371.2</v>
      </c>
      <c r="Z499" s="13"/>
      <c r="AA499" s="13"/>
      <c r="AB499" s="13"/>
      <c r="AC499" s="13"/>
      <c r="AD499" s="13"/>
      <c r="AE499" s="13"/>
      <c r="AF499" s="13"/>
      <c r="AG499" s="11">
        <v>6.4</v>
      </c>
      <c r="AJ499" s="11">
        <v>752.2</v>
      </c>
      <c r="AK499" s="13">
        <v>0.5</v>
      </c>
      <c r="AL499" s="13">
        <f t="shared" si="17"/>
        <v>751.7</v>
      </c>
      <c r="AM499" s="23" t="s">
        <v>697</v>
      </c>
      <c r="AN499" s="9"/>
      <c r="AO499" s="9"/>
      <c r="AP499" s="13"/>
      <c r="AQ499" s="13"/>
      <c r="AR499" s="13"/>
    </row>
    <row r="500" spans="1:44" ht="15.75" customHeight="1">
      <c r="A500" s="9" t="s">
        <v>158</v>
      </c>
      <c r="B500" s="9" t="s">
        <v>158</v>
      </c>
      <c r="C500" s="18" t="s">
        <v>629</v>
      </c>
      <c r="D500" s="11">
        <v>191.3</v>
      </c>
      <c r="G500" s="11">
        <v>5</v>
      </c>
      <c r="H500" s="11">
        <v>1.2</v>
      </c>
      <c r="I500" s="11">
        <v>1.8</v>
      </c>
      <c r="J500" s="11">
        <v>14.3</v>
      </c>
      <c r="K500" s="11">
        <v>8.1999999999999993</v>
      </c>
      <c r="L500" s="11">
        <v>13.3</v>
      </c>
      <c r="N500" s="11">
        <v>6</v>
      </c>
      <c r="O500" s="11">
        <v>1.1000000000000001</v>
      </c>
      <c r="P500" s="11"/>
      <c r="S500" s="11">
        <v>172.1</v>
      </c>
      <c r="T500" s="13"/>
      <c r="U500" s="13"/>
      <c r="V500" s="13"/>
      <c r="X500" s="13"/>
      <c r="Y500" s="9"/>
      <c r="Z500" s="13"/>
      <c r="AA500" s="13"/>
      <c r="AB500" s="13"/>
      <c r="AC500" s="13"/>
      <c r="AD500" s="13"/>
      <c r="AE500" s="13"/>
      <c r="AF500" s="13"/>
      <c r="AG500" s="9"/>
      <c r="AJ500" s="11">
        <v>414.2</v>
      </c>
      <c r="AK500" s="13">
        <v>0</v>
      </c>
      <c r="AL500" s="13">
        <f t="shared" si="17"/>
        <v>414.2</v>
      </c>
      <c r="AM500" s="23" t="s">
        <v>698</v>
      </c>
      <c r="AN500" s="9"/>
      <c r="AO500" s="9"/>
      <c r="AP500" s="13"/>
      <c r="AQ500" s="13"/>
      <c r="AR500" s="13"/>
    </row>
    <row r="501" spans="1:44" ht="15.75" customHeight="1">
      <c r="A501" s="9" t="s">
        <v>164</v>
      </c>
      <c r="B501" s="9" t="s">
        <v>164</v>
      </c>
      <c r="C501" s="18" t="s">
        <v>629</v>
      </c>
      <c r="D501" s="11">
        <v>230.9</v>
      </c>
      <c r="G501" s="11">
        <v>15.7</v>
      </c>
      <c r="H501" s="11">
        <v>3.7</v>
      </c>
      <c r="I501" s="11">
        <v>2</v>
      </c>
      <c r="J501" s="11">
        <v>50.6</v>
      </c>
      <c r="K501" s="11">
        <v>1.5</v>
      </c>
      <c r="L501" s="11">
        <v>2</v>
      </c>
      <c r="N501" s="11">
        <v>6</v>
      </c>
      <c r="O501" s="11">
        <v>0.1</v>
      </c>
      <c r="P501" s="11"/>
      <c r="S501" s="11">
        <v>40.6</v>
      </c>
      <c r="T501" s="13"/>
      <c r="U501" s="13"/>
      <c r="V501" s="13"/>
      <c r="X501" s="13"/>
      <c r="Y501" s="11">
        <v>36.200000000000003</v>
      </c>
      <c r="Z501" s="13"/>
      <c r="AA501" s="13"/>
      <c r="AB501" s="13"/>
      <c r="AC501" s="13"/>
      <c r="AD501" s="13"/>
      <c r="AE501" s="13"/>
      <c r="AF501" s="13"/>
      <c r="AG501" s="9"/>
      <c r="AJ501" s="11">
        <v>389.4</v>
      </c>
      <c r="AK501" s="13">
        <v>0</v>
      </c>
      <c r="AL501" s="13">
        <f t="shared" si="17"/>
        <v>389.4</v>
      </c>
      <c r="AM501" s="23" t="s">
        <v>699</v>
      </c>
      <c r="AN501" s="9"/>
      <c r="AO501" s="9"/>
      <c r="AP501" s="13"/>
      <c r="AQ501" s="13"/>
      <c r="AR501" s="13"/>
    </row>
    <row r="502" spans="1:44" ht="15.75" customHeight="1">
      <c r="A502" s="9" t="s">
        <v>700</v>
      </c>
      <c r="B502" s="9" t="s">
        <v>166</v>
      </c>
      <c r="C502" s="18" t="s">
        <v>629</v>
      </c>
      <c r="D502" s="11">
        <v>730.3</v>
      </c>
      <c r="G502" s="11">
        <v>63</v>
      </c>
      <c r="H502" s="11">
        <v>9.1999999999999993</v>
      </c>
      <c r="I502" s="11">
        <v>7.2</v>
      </c>
      <c r="J502" s="11">
        <v>26.6</v>
      </c>
      <c r="K502" s="11">
        <v>2.2999999999999998</v>
      </c>
      <c r="L502" s="11">
        <v>22.9</v>
      </c>
      <c r="N502" s="11">
        <v>10.6</v>
      </c>
      <c r="O502" s="11">
        <v>0.1</v>
      </c>
      <c r="P502" s="11"/>
      <c r="S502" s="11">
        <v>166.6</v>
      </c>
      <c r="T502" s="13"/>
      <c r="U502" s="13"/>
      <c r="V502" s="13"/>
      <c r="X502" s="13"/>
      <c r="Y502" s="9"/>
      <c r="Z502" s="13"/>
      <c r="AA502" s="13"/>
      <c r="AB502" s="13"/>
      <c r="AC502" s="13"/>
      <c r="AD502" s="13"/>
      <c r="AE502" s="13"/>
      <c r="AF502" s="13"/>
      <c r="AG502" s="9"/>
      <c r="AJ502" s="11">
        <v>1038.9000000000001</v>
      </c>
      <c r="AK502" s="13">
        <v>0</v>
      </c>
      <c r="AL502" s="13">
        <f t="shared" si="17"/>
        <v>1038.9000000000001</v>
      </c>
      <c r="AM502" s="23" t="s">
        <v>701</v>
      </c>
      <c r="AN502" s="9"/>
      <c r="AO502" s="9"/>
      <c r="AP502" s="13"/>
      <c r="AQ502" s="13"/>
      <c r="AR502" s="13"/>
    </row>
    <row r="503" spans="1:44" ht="15.75" customHeight="1">
      <c r="A503" s="9" t="s">
        <v>168</v>
      </c>
      <c r="B503" s="9" t="s">
        <v>168</v>
      </c>
      <c r="C503" s="18" t="s">
        <v>629</v>
      </c>
      <c r="D503" s="11">
        <v>10625.9</v>
      </c>
      <c r="G503" s="11">
        <v>354</v>
      </c>
      <c r="H503" s="11">
        <v>107.6</v>
      </c>
      <c r="I503" s="11">
        <v>535</v>
      </c>
      <c r="J503" s="11">
        <v>502.3</v>
      </c>
      <c r="K503" s="11">
        <v>702.4</v>
      </c>
      <c r="L503" s="11">
        <v>1339.9</v>
      </c>
      <c r="N503" s="11">
        <v>67.7</v>
      </c>
      <c r="O503" s="11">
        <v>38</v>
      </c>
      <c r="P503" s="11"/>
      <c r="S503" s="11">
        <v>13623.5</v>
      </c>
      <c r="T503" s="13"/>
      <c r="U503" s="13"/>
      <c r="V503" s="13"/>
      <c r="X503" s="13"/>
      <c r="Y503" s="9"/>
      <c r="Z503" s="13"/>
      <c r="AA503" s="13"/>
      <c r="AB503" s="13"/>
      <c r="AC503" s="13"/>
      <c r="AD503" s="13"/>
      <c r="AE503" s="13"/>
      <c r="AF503" s="13"/>
      <c r="AG503" s="11">
        <v>859.3</v>
      </c>
      <c r="AJ503" s="11">
        <v>28755.7</v>
      </c>
      <c r="AK503" s="13">
        <v>77.599999999999994</v>
      </c>
      <c r="AL503" s="13">
        <f t="shared" si="17"/>
        <v>28678.100000000002</v>
      </c>
      <c r="AM503" s="23" t="s">
        <v>702</v>
      </c>
      <c r="AN503" s="9"/>
      <c r="AO503" s="9"/>
      <c r="AP503" s="13"/>
      <c r="AQ503" s="13"/>
      <c r="AR503" s="13"/>
    </row>
    <row r="504" spans="1:44" ht="15.75" customHeight="1">
      <c r="A504" s="9" t="s">
        <v>170</v>
      </c>
      <c r="B504" s="9" t="s">
        <v>170</v>
      </c>
      <c r="C504" s="18" t="s">
        <v>629</v>
      </c>
      <c r="D504" s="11">
        <v>3517.1</v>
      </c>
      <c r="G504" s="11">
        <v>1012.2</v>
      </c>
      <c r="H504" s="11">
        <v>596</v>
      </c>
      <c r="I504" s="11">
        <v>60.6</v>
      </c>
      <c r="J504" s="11">
        <v>182.2</v>
      </c>
      <c r="K504" s="11">
        <v>224.6</v>
      </c>
      <c r="L504" s="11">
        <v>264.89999999999998</v>
      </c>
      <c r="N504" s="11">
        <v>18.7</v>
      </c>
      <c r="O504" s="11">
        <v>75.599999999999994</v>
      </c>
      <c r="P504" s="11"/>
      <c r="S504" s="9">
        <v>1919.8</v>
      </c>
      <c r="T504" s="13"/>
      <c r="U504" s="13"/>
      <c r="V504" s="13"/>
      <c r="X504" s="13"/>
      <c r="Y504" s="11">
        <v>376.2</v>
      </c>
      <c r="Z504" s="13"/>
      <c r="AA504" s="13"/>
      <c r="AB504" s="13"/>
      <c r="AC504" s="13"/>
      <c r="AD504" s="13"/>
      <c r="AE504" s="13"/>
      <c r="AF504" s="13"/>
      <c r="AG504" s="9"/>
      <c r="AJ504" s="11">
        <v>8247.7999999999993</v>
      </c>
      <c r="AK504" s="13">
        <v>0</v>
      </c>
      <c r="AL504" s="13">
        <f t="shared" si="17"/>
        <v>8247.7999999999993</v>
      </c>
      <c r="AM504" s="23" t="s">
        <v>703</v>
      </c>
      <c r="AN504" s="9"/>
      <c r="AO504" s="9"/>
      <c r="AP504" s="13"/>
      <c r="AQ504" s="13"/>
      <c r="AR504" s="13"/>
    </row>
    <row r="505" spans="1:44" ht="15.75" customHeight="1">
      <c r="A505" s="9" t="s">
        <v>293</v>
      </c>
      <c r="B505" s="9" t="s">
        <v>293</v>
      </c>
      <c r="C505" s="18" t="s">
        <v>629</v>
      </c>
      <c r="D505" s="11">
        <v>9273.2000000000007</v>
      </c>
      <c r="G505" s="11">
        <v>1937.7</v>
      </c>
      <c r="H505" s="11">
        <v>719.5</v>
      </c>
      <c r="I505" s="11">
        <v>74.400000000000006</v>
      </c>
      <c r="J505" s="11">
        <v>0.8</v>
      </c>
      <c r="K505" s="11">
        <v>44.5</v>
      </c>
      <c r="L505" s="11">
        <v>105.4</v>
      </c>
      <c r="N505" s="11">
        <v>11.1</v>
      </c>
      <c r="O505" s="11">
        <v>11.1</v>
      </c>
      <c r="P505" s="11"/>
      <c r="S505" s="11">
        <v>2120.1</v>
      </c>
      <c r="T505" s="13"/>
      <c r="U505" s="13"/>
      <c r="V505" s="13"/>
      <c r="X505" s="13"/>
      <c r="Y505" s="11">
        <v>1778</v>
      </c>
      <c r="Z505" s="13"/>
      <c r="AA505" s="13"/>
      <c r="AB505" s="13"/>
      <c r="AC505" s="13"/>
      <c r="AD505" s="13"/>
      <c r="AE505" s="13"/>
      <c r="AF505" s="13"/>
      <c r="AG505" s="9"/>
      <c r="AJ505" s="11">
        <v>16075.8</v>
      </c>
      <c r="AK505" s="13">
        <v>0</v>
      </c>
      <c r="AL505" s="13">
        <f t="shared" si="17"/>
        <v>16075.8</v>
      </c>
      <c r="AM505" s="23" t="s">
        <v>704</v>
      </c>
      <c r="AN505" s="9"/>
      <c r="AO505" s="9"/>
      <c r="AP505" s="13"/>
      <c r="AQ505" s="13"/>
      <c r="AR505" s="13"/>
    </row>
    <row r="506" spans="1:44" ht="15.75" customHeight="1">
      <c r="A506" s="9" t="s">
        <v>176</v>
      </c>
      <c r="B506" s="9" t="s">
        <v>176</v>
      </c>
      <c r="C506" s="18" t="s">
        <v>629</v>
      </c>
      <c r="D506" s="9"/>
      <c r="G506" s="11">
        <v>40</v>
      </c>
      <c r="H506" s="11">
        <v>16.3</v>
      </c>
      <c r="I506" s="11">
        <v>8.1999999999999993</v>
      </c>
      <c r="J506" s="11">
        <v>8.6</v>
      </c>
      <c r="K506" s="11">
        <v>51</v>
      </c>
      <c r="L506" s="9"/>
      <c r="N506" s="11">
        <v>0.5</v>
      </c>
      <c r="O506" s="11">
        <v>0.4</v>
      </c>
      <c r="P506" s="11"/>
      <c r="S506" s="11">
        <v>82.2</v>
      </c>
      <c r="T506" s="13"/>
      <c r="U506" s="13"/>
      <c r="V506" s="13"/>
      <c r="X506" s="13"/>
      <c r="Y506" s="9"/>
      <c r="Z506" s="13"/>
      <c r="AA506" s="13"/>
      <c r="AB506" s="13"/>
      <c r="AC506" s="13"/>
      <c r="AD506" s="13"/>
      <c r="AE506" s="13"/>
      <c r="AF506" s="13"/>
      <c r="AG506" s="9"/>
      <c r="AJ506" s="11">
        <v>207.1</v>
      </c>
      <c r="AK506" s="13">
        <v>0</v>
      </c>
      <c r="AL506" s="13">
        <f t="shared" si="17"/>
        <v>207.1</v>
      </c>
      <c r="AM506" s="23" t="s">
        <v>705</v>
      </c>
      <c r="AN506" s="9"/>
      <c r="AO506" s="9"/>
      <c r="AP506" s="13"/>
      <c r="AQ506" s="13"/>
      <c r="AR506" s="13"/>
    </row>
    <row r="507" spans="1:44" ht="15.75" customHeight="1">
      <c r="A507" s="9" t="s">
        <v>706</v>
      </c>
      <c r="B507" s="9" t="s">
        <v>706</v>
      </c>
      <c r="C507" s="18" t="s">
        <v>629</v>
      </c>
      <c r="D507" s="11">
        <v>162.80000000000001</v>
      </c>
      <c r="G507" s="11">
        <v>9.6</v>
      </c>
      <c r="H507" s="11">
        <v>5.6</v>
      </c>
      <c r="I507" s="11">
        <v>4.4000000000000004</v>
      </c>
      <c r="J507" s="11">
        <v>46.5</v>
      </c>
      <c r="K507" s="11">
        <v>7.9</v>
      </c>
      <c r="L507" s="9" t="s">
        <v>41</v>
      </c>
      <c r="N507" s="11">
        <v>5.5</v>
      </c>
      <c r="O507" s="11">
        <v>0.9</v>
      </c>
      <c r="P507" s="11"/>
      <c r="S507" s="11">
        <v>57.5</v>
      </c>
      <c r="T507" s="13"/>
      <c r="U507" s="13"/>
      <c r="V507" s="13"/>
      <c r="X507" s="13"/>
      <c r="Y507" s="9"/>
      <c r="Z507" s="13"/>
      <c r="AA507" s="13"/>
      <c r="AB507" s="13"/>
      <c r="AC507" s="13"/>
      <c r="AD507" s="13"/>
      <c r="AE507" s="13"/>
      <c r="AF507" s="13"/>
      <c r="AG507" s="9"/>
      <c r="AJ507" s="11">
        <v>300.7</v>
      </c>
      <c r="AK507" s="13">
        <v>0</v>
      </c>
      <c r="AL507" s="13">
        <f t="shared" si="17"/>
        <v>300.7</v>
      </c>
      <c r="AM507" s="23" t="s">
        <v>707</v>
      </c>
      <c r="AN507" s="9"/>
      <c r="AO507" s="9"/>
      <c r="AP507" s="13"/>
      <c r="AQ507" s="13"/>
      <c r="AR507" s="13"/>
    </row>
    <row r="508" spans="1:44" ht="15.75" customHeight="1">
      <c r="A508" s="9" t="s">
        <v>181</v>
      </c>
      <c r="B508" s="9" t="s">
        <v>181</v>
      </c>
      <c r="C508" s="18" t="s">
        <v>629</v>
      </c>
      <c r="D508" s="11">
        <v>572</v>
      </c>
      <c r="G508" s="11">
        <v>77.099999999999994</v>
      </c>
      <c r="H508" s="11">
        <v>40</v>
      </c>
      <c r="I508" s="11">
        <v>34.799999999999997</v>
      </c>
      <c r="J508" s="11">
        <v>7.3</v>
      </c>
      <c r="K508" s="11">
        <v>48.7</v>
      </c>
      <c r="L508" s="11">
        <v>60.1</v>
      </c>
      <c r="N508" s="11">
        <v>5.2</v>
      </c>
      <c r="O508" s="11">
        <v>8.4</v>
      </c>
      <c r="P508" s="11"/>
      <c r="S508" s="11">
        <v>492.4</v>
      </c>
      <c r="T508" s="13"/>
      <c r="U508" s="13"/>
      <c r="V508" s="13"/>
      <c r="X508" s="13"/>
      <c r="Y508" s="11">
        <v>1.9</v>
      </c>
      <c r="Z508" s="13"/>
      <c r="AA508" s="13"/>
      <c r="AB508" s="13"/>
      <c r="AC508" s="13"/>
      <c r="AD508" s="13"/>
      <c r="AE508" s="13"/>
      <c r="AF508" s="13"/>
      <c r="AG508" s="11">
        <v>2.2999999999999998</v>
      </c>
      <c r="AJ508" s="11">
        <v>1350.1</v>
      </c>
      <c r="AK508" s="13">
        <v>0</v>
      </c>
      <c r="AL508" s="13">
        <f t="shared" si="17"/>
        <v>1350.1</v>
      </c>
      <c r="AM508" s="23" t="s">
        <v>708</v>
      </c>
      <c r="AN508" s="9"/>
      <c r="AO508" s="9"/>
      <c r="AP508" s="13"/>
      <c r="AQ508" s="13"/>
      <c r="AR508" s="13"/>
    </row>
    <row r="509" spans="1:44" ht="15.75" customHeight="1">
      <c r="A509" s="9" t="s">
        <v>709</v>
      </c>
      <c r="B509" s="9" t="s">
        <v>183</v>
      </c>
      <c r="C509" s="18" t="s">
        <v>629</v>
      </c>
      <c r="D509" s="11">
        <v>235.5</v>
      </c>
      <c r="G509" s="11">
        <v>16</v>
      </c>
      <c r="H509" s="11">
        <v>0</v>
      </c>
      <c r="I509" s="11">
        <v>5.6</v>
      </c>
      <c r="J509" s="11">
        <v>29.8</v>
      </c>
      <c r="K509" s="11">
        <v>15.4</v>
      </c>
      <c r="L509" s="11">
        <v>70.5</v>
      </c>
      <c r="N509" s="11">
        <v>2.2999999999999998</v>
      </c>
      <c r="O509" s="11">
        <v>3.6</v>
      </c>
      <c r="P509" s="11"/>
      <c r="S509" s="11">
        <v>177.6</v>
      </c>
      <c r="T509" s="13"/>
      <c r="U509" s="13"/>
      <c r="V509" s="13"/>
      <c r="X509" s="13"/>
      <c r="Y509" s="9"/>
      <c r="Z509" s="13"/>
      <c r="AA509" s="13"/>
      <c r="AB509" s="13"/>
      <c r="AC509" s="13"/>
      <c r="AD509" s="13"/>
      <c r="AE509" s="13"/>
      <c r="AF509" s="13"/>
      <c r="AG509" s="9"/>
      <c r="AJ509" s="11">
        <v>556.4</v>
      </c>
      <c r="AK509" s="13">
        <v>0</v>
      </c>
      <c r="AL509" s="13">
        <f t="shared" si="17"/>
        <v>556.4</v>
      </c>
      <c r="AM509" s="23" t="s">
        <v>710</v>
      </c>
      <c r="AN509" s="9"/>
      <c r="AO509" s="9"/>
      <c r="AP509" s="13"/>
      <c r="AQ509" s="13"/>
      <c r="AR509" s="13"/>
    </row>
    <row r="510" spans="1:44" ht="15.75" customHeight="1">
      <c r="A510" s="9" t="s">
        <v>185</v>
      </c>
      <c r="B510" s="9" t="s">
        <v>185</v>
      </c>
      <c r="C510" s="18" t="s">
        <v>629</v>
      </c>
      <c r="D510" s="11">
        <v>216527.4</v>
      </c>
      <c r="G510" s="11">
        <v>172.8</v>
      </c>
      <c r="H510" s="11">
        <v>6.1</v>
      </c>
      <c r="I510" s="11">
        <v>11</v>
      </c>
      <c r="J510" s="11">
        <v>20</v>
      </c>
      <c r="K510" s="11">
        <v>42.1</v>
      </c>
      <c r="L510" s="11">
        <v>47.6</v>
      </c>
      <c r="N510" s="11">
        <v>55.3</v>
      </c>
      <c r="O510" s="11">
        <v>28.8</v>
      </c>
      <c r="P510" s="11"/>
      <c r="S510" s="11">
        <v>693.2</v>
      </c>
      <c r="T510" s="13"/>
      <c r="U510" s="13"/>
      <c r="V510" s="13"/>
      <c r="X510" s="13"/>
      <c r="Y510" s="9"/>
      <c r="Z510" s="13"/>
      <c r="AA510" s="13"/>
      <c r="AB510" s="13"/>
      <c r="AC510" s="13"/>
      <c r="AD510" s="13"/>
      <c r="AE510" s="13"/>
      <c r="AF510" s="13"/>
      <c r="AG510" s="11">
        <v>26.1</v>
      </c>
      <c r="AJ510" s="11">
        <v>217630.5</v>
      </c>
      <c r="AK510" s="13">
        <v>517</v>
      </c>
      <c r="AL510" s="13">
        <f t="shared" si="17"/>
        <v>217113.5</v>
      </c>
      <c r="AM510" s="23" t="s">
        <v>711</v>
      </c>
      <c r="AN510" s="9"/>
      <c r="AO510" s="9"/>
      <c r="AP510" s="13"/>
      <c r="AQ510" s="13"/>
      <c r="AR510" s="13"/>
    </row>
    <row r="511" spans="1:44" ht="15.75" customHeight="1">
      <c r="A511" s="9" t="s">
        <v>187</v>
      </c>
      <c r="B511" s="9" t="s">
        <v>187</v>
      </c>
      <c r="C511" s="18" t="s">
        <v>629</v>
      </c>
      <c r="D511" s="11">
        <v>210.5</v>
      </c>
      <c r="G511" s="11">
        <v>75.8</v>
      </c>
      <c r="H511" s="11">
        <v>0.3</v>
      </c>
      <c r="I511" s="11">
        <v>1.2</v>
      </c>
      <c r="J511" s="11">
        <v>60.6</v>
      </c>
      <c r="K511" s="11">
        <v>4.5999999999999996</v>
      </c>
      <c r="L511" s="11">
        <v>19.600000000000001</v>
      </c>
      <c r="N511" s="11">
        <v>11.3</v>
      </c>
      <c r="O511" s="11">
        <v>0.9</v>
      </c>
      <c r="P511" s="11"/>
      <c r="S511" s="11">
        <v>63.1</v>
      </c>
      <c r="T511" s="13"/>
      <c r="U511" s="13"/>
      <c r="V511" s="13"/>
      <c r="X511" s="13"/>
      <c r="Y511" s="9"/>
      <c r="Z511" s="13"/>
      <c r="AA511" s="13"/>
      <c r="AB511" s="13"/>
      <c r="AC511" s="13"/>
      <c r="AD511" s="13"/>
      <c r="AE511" s="13"/>
      <c r="AF511" s="13"/>
      <c r="AG511" s="11">
        <v>0</v>
      </c>
      <c r="AJ511" s="11">
        <v>447.9</v>
      </c>
      <c r="AK511" s="13">
        <v>0</v>
      </c>
      <c r="AL511" s="13">
        <f t="shared" si="17"/>
        <v>447.9</v>
      </c>
      <c r="AM511" s="23" t="s">
        <v>712</v>
      </c>
      <c r="AN511" s="9"/>
      <c r="AO511" s="9"/>
      <c r="AP511" s="13"/>
      <c r="AQ511" s="13"/>
      <c r="AR511" s="13"/>
    </row>
    <row r="512" spans="1:44" ht="15.75" customHeight="1">
      <c r="A512" s="9" t="s">
        <v>188</v>
      </c>
      <c r="B512" s="9" t="s">
        <v>188</v>
      </c>
      <c r="C512" s="18" t="s">
        <v>629</v>
      </c>
      <c r="D512" s="11">
        <v>2948.5</v>
      </c>
      <c r="G512" s="11">
        <v>386.9</v>
      </c>
      <c r="H512" s="11">
        <v>29.4</v>
      </c>
      <c r="I512" s="11">
        <v>16.2</v>
      </c>
      <c r="J512" s="11">
        <v>245.8</v>
      </c>
      <c r="K512" s="11">
        <v>83.1</v>
      </c>
      <c r="L512" s="11">
        <v>15.1</v>
      </c>
      <c r="N512" s="11">
        <v>29.4</v>
      </c>
      <c r="O512" s="11">
        <v>11.9</v>
      </c>
      <c r="P512" s="11"/>
      <c r="S512" s="11">
        <v>1003.2</v>
      </c>
      <c r="T512" s="13"/>
      <c r="U512" s="13"/>
      <c r="V512" s="13"/>
      <c r="X512" s="13"/>
      <c r="Y512" s="9"/>
      <c r="Z512" s="13"/>
      <c r="AA512" s="13"/>
      <c r="AB512" s="13"/>
      <c r="AC512" s="13"/>
      <c r="AD512" s="13"/>
      <c r="AE512" s="13"/>
      <c r="AF512" s="13"/>
      <c r="AG512" s="9" t="s">
        <v>41</v>
      </c>
      <c r="AJ512" s="11">
        <v>4769.6000000000004</v>
      </c>
      <c r="AK512" s="13">
        <v>183.8</v>
      </c>
      <c r="AL512" s="13">
        <f t="shared" si="17"/>
        <v>4585.8</v>
      </c>
      <c r="AM512" s="23" t="s">
        <v>713</v>
      </c>
      <c r="AN512" s="9"/>
      <c r="AO512" s="9"/>
      <c r="AP512" s="13"/>
      <c r="AQ512" s="13"/>
      <c r="AR512" s="13"/>
    </row>
    <row r="513" spans="1:44" ht="15.75" customHeight="1">
      <c r="A513" s="9" t="s">
        <v>190</v>
      </c>
      <c r="B513" s="9" t="s">
        <v>190</v>
      </c>
      <c r="C513" s="18" t="s">
        <v>629</v>
      </c>
      <c r="D513" s="11">
        <v>260.7</v>
      </c>
      <c r="G513" s="11">
        <v>13.5</v>
      </c>
      <c r="H513" s="11">
        <v>2</v>
      </c>
      <c r="I513" s="11">
        <v>64.2</v>
      </c>
      <c r="J513" s="11">
        <v>2</v>
      </c>
      <c r="K513" s="11">
        <v>8.5</v>
      </c>
      <c r="L513" s="11">
        <v>10.7</v>
      </c>
      <c r="N513" s="11">
        <v>4.8</v>
      </c>
      <c r="O513" s="11">
        <v>1.9</v>
      </c>
      <c r="P513" s="11"/>
      <c r="S513" s="11">
        <v>56.7</v>
      </c>
      <c r="T513" s="13"/>
      <c r="U513" s="13"/>
      <c r="V513" s="13"/>
      <c r="X513" s="13"/>
      <c r="Y513" s="11">
        <v>4</v>
      </c>
      <c r="Z513" s="13"/>
      <c r="AA513" s="13"/>
      <c r="AB513" s="13"/>
      <c r="AC513" s="13"/>
      <c r="AD513" s="13"/>
      <c r="AE513" s="13"/>
      <c r="AF513" s="13"/>
      <c r="AG513" s="9"/>
      <c r="AJ513" s="11">
        <v>428.9</v>
      </c>
      <c r="AK513" s="13">
        <v>0</v>
      </c>
      <c r="AL513" s="13">
        <f t="shared" si="17"/>
        <v>428.9</v>
      </c>
      <c r="AM513" s="23" t="s">
        <v>714</v>
      </c>
      <c r="AN513" s="9"/>
      <c r="AO513" s="9"/>
      <c r="AP513" s="13"/>
      <c r="AQ513" s="13"/>
      <c r="AR513" s="13"/>
    </row>
    <row r="514" spans="1:44" ht="15.75" customHeight="1">
      <c r="A514" s="9" t="s">
        <v>192</v>
      </c>
      <c r="B514" s="9" t="s">
        <v>192</v>
      </c>
      <c r="C514" s="18" t="s">
        <v>629</v>
      </c>
      <c r="D514" s="11">
        <v>226.1</v>
      </c>
      <c r="G514" s="11">
        <v>10</v>
      </c>
      <c r="H514" s="11">
        <v>14</v>
      </c>
      <c r="I514" s="11">
        <v>1.8</v>
      </c>
      <c r="J514" s="11">
        <v>51.8</v>
      </c>
      <c r="K514" s="11">
        <v>2.8</v>
      </c>
      <c r="L514" s="11">
        <v>2.4</v>
      </c>
      <c r="N514" s="11">
        <v>3.4</v>
      </c>
      <c r="O514" s="11">
        <v>1</v>
      </c>
      <c r="P514" s="11"/>
      <c r="S514" s="11">
        <v>85.9</v>
      </c>
      <c r="T514" s="13"/>
      <c r="U514" s="13"/>
      <c r="V514" s="13"/>
      <c r="X514" s="13"/>
      <c r="Y514" s="9"/>
      <c r="Z514" s="13"/>
      <c r="AA514" s="13"/>
      <c r="AB514" s="13"/>
      <c r="AC514" s="13"/>
      <c r="AD514" s="13"/>
      <c r="AE514" s="13"/>
      <c r="AF514" s="13"/>
      <c r="AG514" s="11">
        <v>1.2</v>
      </c>
      <c r="AJ514" s="11">
        <v>387.9</v>
      </c>
      <c r="AK514" s="13">
        <v>0</v>
      </c>
      <c r="AL514" s="13">
        <f t="shared" si="17"/>
        <v>387.9</v>
      </c>
      <c r="AM514" s="23" t="s">
        <v>715</v>
      </c>
      <c r="AN514" s="9"/>
      <c r="AO514" s="9"/>
      <c r="AP514" s="13"/>
      <c r="AQ514" s="13"/>
      <c r="AR514" s="13"/>
    </row>
    <row r="515" spans="1:44" ht="15.75" customHeight="1">
      <c r="A515" s="9" t="s">
        <v>716</v>
      </c>
      <c r="B515" s="9" t="s">
        <v>305</v>
      </c>
      <c r="C515" s="18" t="s">
        <v>629</v>
      </c>
      <c r="D515" s="11">
        <v>142</v>
      </c>
      <c r="G515" s="11">
        <v>24.9</v>
      </c>
      <c r="H515" s="11">
        <v>5.6</v>
      </c>
      <c r="I515" s="11">
        <v>4.5</v>
      </c>
      <c r="J515" s="11">
        <v>38.9</v>
      </c>
      <c r="K515" s="11">
        <v>11.9</v>
      </c>
      <c r="L515" s="11">
        <v>5.7</v>
      </c>
      <c r="N515" s="11">
        <v>7.8</v>
      </c>
      <c r="O515" s="11">
        <v>0.5</v>
      </c>
      <c r="P515" s="11"/>
      <c r="S515" s="11">
        <v>88.3</v>
      </c>
      <c r="T515" s="13"/>
      <c r="U515" s="13"/>
      <c r="V515" s="13"/>
      <c r="X515" s="13"/>
      <c r="Y515" s="9"/>
      <c r="Z515" s="13"/>
      <c r="AA515" s="13"/>
      <c r="AB515" s="13"/>
      <c r="AC515" s="13"/>
      <c r="AD515" s="13"/>
      <c r="AE515" s="13"/>
      <c r="AF515" s="13"/>
      <c r="AG515" s="9"/>
      <c r="AJ515" s="11">
        <v>330.1</v>
      </c>
      <c r="AK515" s="13">
        <v>0</v>
      </c>
      <c r="AL515" s="13">
        <f t="shared" si="17"/>
        <v>330.1</v>
      </c>
      <c r="AM515" s="23" t="s">
        <v>717</v>
      </c>
      <c r="AN515" s="9"/>
      <c r="AO515" s="9"/>
      <c r="AP515" s="13"/>
      <c r="AQ515" s="13"/>
      <c r="AR515" s="13"/>
    </row>
    <row r="516" spans="1:44" ht="15.75" customHeight="1">
      <c r="A516" s="9" t="s">
        <v>389</v>
      </c>
      <c r="B516" s="9" t="s">
        <v>195</v>
      </c>
      <c r="C516" s="18" t="s">
        <v>629</v>
      </c>
      <c r="D516" s="11">
        <v>252.9</v>
      </c>
      <c r="G516" s="11">
        <v>34.5</v>
      </c>
      <c r="H516" s="11">
        <v>1.2</v>
      </c>
      <c r="I516" s="11">
        <v>1.8</v>
      </c>
      <c r="J516" s="11">
        <v>44.8</v>
      </c>
      <c r="K516" s="11">
        <v>4.2</v>
      </c>
      <c r="L516" s="11">
        <v>30.3</v>
      </c>
      <c r="N516" s="11">
        <v>3.8</v>
      </c>
      <c r="O516" s="11">
        <v>1.4</v>
      </c>
      <c r="P516" s="11"/>
      <c r="S516" s="11">
        <v>213.4</v>
      </c>
      <c r="T516" s="13"/>
      <c r="U516" s="13"/>
      <c r="V516" s="13"/>
      <c r="X516" s="13"/>
      <c r="Y516" s="9"/>
      <c r="Z516" s="13"/>
      <c r="AA516" s="13"/>
      <c r="AB516" s="13"/>
      <c r="AC516" s="13"/>
      <c r="AD516" s="13"/>
      <c r="AE516" s="13"/>
      <c r="AF516" s="13"/>
      <c r="AG516" s="9"/>
      <c r="AJ516" s="11">
        <v>588.29999999999995</v>
      </c>
      <c r="AK516" s="18">
        <v>0</v>
      </c>
      <c r="AL516" s="13">
        <f t="shared" ref="AL516:AL547" si="18">AJ516-AK516</f>
        <v>588.29999999999995</v>
      </c>
      <c r="AM516" s="23" t="s">
        <v>718</v>
      </c>
      <c r="AN516" s="9"/>
      <c r="AO516" s="9"/>
      <c r="AP516" s="13"/>
      <c r="AQ516" s="13"/>
      <c r="AR516" s="13"/>
    </row>
    <row r="517" spans="1:44" ht="15.75" customHeight="1">
      <c r="A517" s="10" t="s">
        <v>196</v>
      </c>
      <c r="B517" s="9" t="s">
        <v>196</v>
      </c>
      <c r="C517" s="17"/>
      <c r="D517" s="17">
        <f>SUM(D452:D516)</f>
        <v>377747.3</v>
      </c>
      <c r="G517" s="17">
        <f t="shared" ref="G517:L517" si="19">SUM(G452:G516)</f>
        <v>8630.5999999999985</v>
      </c>
      <c r="H517" s="17">
        <f t="shared" si="19"/>
        <v>3972.099999999999</v>
      </c>
      <c r="I517" s="17">
        <f t="shared" si="19"/>
        <v>1915.6</v>
      </c>
      <c r="J517" s="17">
        <f t="shared" si="19"/>
        <v>5969.9000000000015</v>
      </c>
      <c r="K517" s="17">
        <f t="shared" si="19"/>
        <v>3847.1999999999994</v>
      </c>
      <c r="L517" s="17">
        <f t="shared" si="19"/>
        <v>4755.2000000000007</v>
      </c>
      <c r="N517" s="17">
        <f>SUM(N452:N516)</f>
        <v>1470.8</v>
      </c>
      <c r="O517" s="17">
        <f>SUM(O452:O516)</f>
        <v>1316.1000000000001</v>
      </c>
      <c r="P517" s="17"/>
      <c r="S517" s="17">
        <f>SUM(S452:S516)</f>
        <v>202948.70000000004</v>
      </c>
      <c r="T517" s="18"/>
      <c r="U517" s="18"/>
      <c r="V517" s="18"/>
      <c r="X517" s="18"/>
      <c r="Y517" s="17">
        <f>SUM(Y452:Y516)</f>
        <v>346387.3</v>
      </c>
      <c r="Z517" s="18"/>
      <c r="AA517" s="18"/>
      <c r="AB517" s="18"/>
      <c r="AC517" s="18"/>
      <c r="AD517" s="18"/>
      <c r="AE517" s="18"/>
      <c r="AF517" s="18"/>
      <c r="AG517" s="17">
        <f>SUM(AG452:AG516)</f>
        <v>3288.1</v>
      </c>
      <c r="AJ517" s="17">
        <f>SUM(AJ452:AJ516)</f>
        <v>961910.69999999984</v>
      </c>
      <c r="AK517" s="17">
        <f>SUM(AK452:AK516)</f>
        <v>48732.1</v>
      </c>
      <c r="AL517" s="17">
        <f>SUM(AL452:AL516)</f>
        <v>913178.60000000009</v>
      </c>
      <c r="AM517" s="27" t="s">
        <v>719</v>
      </c>
      <c r="AN517" s="9"/>
      <c r="AO517" s="9"/>
      <c r="AP517" s="13"/>
      <c r="AQ517" s="13"/>
      <c r="AR517" s="13"/>
    </row>
    <row r="518" spans="1:44" ht="15.75" customHeight="1">
      <c r="A518" s="9" t="s">
        <v>469</v>
      </c>
      <c r="B518" s="9" t="s">
        <v>39</v>
      </c>
      <c r="C518" s="18" t="s">
        <v>720</v>
      </c>
      <c r="D518" s="11">
        <v>1699.9</v>
      </c>
      <c r="G518" s="11">
        <v>705.2</v>
      </c>
      <c r="H518" s="11">
        <v>322.7</v>
      </c>
      <c r="I518" s="11">
        <v>52.6</v>
      </c>
      <c r="J518" s="11">
        <v>134.69999999999999</v>
      </c>
      <c r="K518" s="11">
        <v>63.6</v>
      </c>
      <c r="L518" s="11">
        <v>1733.5</v>
      </c>
      <c r="N518" s="11">
        <v>252.5</v>
      </c>
      <c r="O518" s="11">
        <v>105.2</v>
      </c>
      <c r="P518" s="13"/>
      <c r="S518" s="11">
        <v>3429.6</v>
      </c>
      <c r="T518" s="13"/>
      <c r="V518" s="13"/>
      <c r="W518" s="13"/>
      <c r="X518" s="13"/>
      <c r="Y518" s="11">
        <v>754</v>
      </c>
      <c r="Z518" s="13"/>
      <c r="AA518" s="13"/>
      <c r="AB518" s="13"/>
      <c r="AC518" s="13"/>
      <c r="AD518" s="13"/>
      <c r="AE518" s="13"/>
      <c r="AF518" s="13"/>
      <c r="AJ518" s="11">
        <v>9253.7000000000007</v>
      </c>
      <c r="AK518" s="13"/>
      <c r="AL518" s="13">
        <f t="shared" ref="AL518:AL523" si="20">AJ518-AK518</f>
        <v>9253.7000000000007</v>
      </c>
      <c r="AM518" s="23" t="s">
        <v>721</v>
      </c>
      <c r="AN518" s="9"/>
      <c r="AO518" s="9"/>
      <c r="AP518" s="13"/>
      <c r="AQ518" s="13"/>
      <c r="AR518" s="13"/>
    </row>
    <row r="519" spans="1:44" ht="15.75" customHeight="1">
      <c r="A519" s="9" t="s">
        <v>202</v>
      </c>
      <c r="B519" s="9" t="s">
        <v>202</v>
      </c>
      <c r="C519" s="18" t="s">
        <v>720</v>
      </c>
      <c r="D519" s="11">
        <v>63175</v>
      </c>
      <c r="G519" s="11">
        <v>1020.1</v>
      </c>
      <c r="H519" s="11">
        <v>49.4</v>
      </c>
      <c r="I519" s="11">
        <v>7</v>
      </c>
      <c r="J519" s="11">
        <v>746.7</v>
      </c>
      <c r="K519" s="11">
        <v>825</v>
      </c>
      <c r="L519" s="11">
        <v>116.1</v>
      </c>
      <c r="N519" s="11">
        <v>400.3</v>
      </c>
      <c r="O519" s="11">
        <v>297.3</v>
      </c>
      <c r="P519" s="13"/>
      <c r="S519" s="11">
        <v>22089.4</v>
      </c>
      <c r="T519" s="13"/>
      <c r="V519" s="13"/>
      <c r="W519" s="13"/>
      <c r="X519" s="13"/>
      <c r="Y519" s="11">
        <v>722.3</v>
      </c>
      <c r="Z519" s="13"/>
      <c r="AA519" s="13"/>
      <c r="AB519" s="13"/>
      <c r="AC519" s="13"/>
      <c r="AD519" s="13"/>
      <c r="AE519" s="13"/>
      <c r="AF519" s="13"/>
      <c r="AJ519" s="11">
        <v>89448.4</v>
      </c>
      <c r="AK519" s="13"/>
      <c r="AL519" s="13">
        <f t="shared" si="20"/>
        <v>89448.4</v>
      </c>
      <c r="AM519" s="23" t="s">
        <v>722</v>
      </c>
      <c r="AN519" s="9"/>
      <c r="AO519" s="9"/>
      <c r="AP519" s="13"/>
      <c r="AQ519" s="13"/>
      <c r="AR519" s="13"/>
    </row>
    <row r="520" spans="1:44" ht="15.75" customHeight="1">
      <c r="A520" s="9" t="s">
        <v>54</v>
      </c>
      <c r="B520" s="9" t="s">
        <v>54</v>
      </c>
      <c r="C520" s="18" t="s">
        <v>720</v>
      </c>
      <c r="D520" s="11">
        <v>9652.2000000000007</v>
      </c>
      <c r="G520" s="11">
        <v>111.3</v>
      </c>
      <c r="H520" s="11">
        <v>14.8</v>
      </c>
      <c r="I520" s="11">
        <v>7.2</v>
      </c>
      <c r="J520" s="11">
        <v>78</v>
      </c>
      <c r="K520" s="11">
        <v>50.5</v>
      </c>
      <c r="L520" s="11">
        <v>45.4</v>
      </c>
      <c r="N520" s="11">
        <v>77.7</v>
      </c>
      <c r="O520" s="11">
        <v>3.8</v>
      </c>
      <c r="P520" s="13"/>
      <c r="S520" s="11">
        <v>6757.7</v>
      </c>
      <c r="V520" s="13"/>
      <c r="W520" s="13"/>
      <c r="X520" s="13"/>
      <c r="Y520" s="11">
        <v>3.1</v>
      </c>
      <c r="Z520" s="13"/>
      <c r="AA520" s="13"/>
      <c r="AB520" s="13"/>
      <c r="AC520" s="13"/>
      <c r="AD520" s="13"/>
      <c r="AE520" s="13"/>
      <c r="AF520" s="13"/>
      <c r="AJ520" s="11">
        <v>16801.900000000001</v>
      </c>
      <c r="AK520" s="13"/>
      <c r="AL520" s="13">
        <f t="shared" si="20"/>
        <v>16801.900000000001</v>
      </c>
      <c r="AM520" s="23" t="s">
        <v>723</v>
      </c>
      <c r="AN520" s="9"/>
      <c r="AO520" s="9"/>
      <c r="AP520" s="18"/>
      <c r="AQ520" s="18"/>
      <c r="AR520" s="18"/>
    </row>
    <row r="521" spans="1:44" ht="15.75" customHeight="1">
      <c r="A521" s="9" t="s">
        <v>207</v>
      </c>
      <c r="B521" s="9" t="s">
        <v>207</v>
      </c>
      <c r="C521" s="18" t="s">
        <v>720</v>
      </c>
      <c r="D521" s="11">
        <v>169.1</v>
      </c>
      <c r="G521" s="11">
        <v>18.100000000000001</v>
      </c>
      <c r="H521" s="11">
        <v>2.7</v>
      </c>
      <c r="I521" s="11">
        <v>1.7</v>
      </c>
      <c r="J521" s="11">
        <v>72.5</v>
      </c>
      <c r="K521" s="11">
        <v>7.3</v>
      </c>
      <c r="L521" s="11">
        <v>25.1</v>
      </c>
      <c r="N521" s="11">
        <v>4.5</v>
      </c>
      <c r="O521" s="11">
        <v>1.9</v>
      </c>
      <c r="P521" s="13"/>
      <c r="S521" s="11">
        <v>66.900000000000006</v>
      </c>
      <c r="V521" s="13"/>
      <c r="W521" s="13"/>
      <c r="X521" s="13"/>
      <c r="Y521" s="11">
        <v>407.8</v>
      </c>
      <c r="Z521" s="13"/>
      <c r="AA521" s="13"/>
      <c r="AB521" s="13"/>
      <c r="AC521" s="13"/>
      <c r="AD521" s="13"/>
      <c r="AE521" s="13"/>
      <c r="AF521" s="13"/>
      <c r="AJ521" s="11">
        <v>777.5</v>
      </c>
      <c r="AK521" s="13"/>
      <c r="AL521" s="13">
        <f t="shared" si="20"/>
        <v>777.5</v>
      </c>
      <c r="AM521" s="23" t="s">
        <v>724</v>
      </c>
      <c r="AN521" s="13"/>
      <c r="AO521" s="13"/>
      <c r="AP521" s="13"/>
      <c r="AQ521" s="13"/>
      <c r="AR521" s="13"/>
    </row>
    <row r="522" spans="1:44" ht="15.75" customHeight="1">
      <c r="A522" s="9" t="s">
        <v>634</v>
      </c>
      <c r="B522" s="9" t="s">
        <v>634</v>
      </c>
      <c r="C522" s="18" t="s">
        <v>720</v>
      </c>
      <c r="D522" s="11">
        <v>140</v>
      </c>
      <c r="G522" s="11">
        <v>24</v>
      </c>
      <c r="H522" s="11">
        <v>6.4</v>
      </c>
      <c r="I522" s="11">
        <v>2</v>
      </c>
      <c r="J522" s="11">
        <v>77</v>
      </c>
      <c r="K522" s="11">
        <v>12.8</v>
      </c>
      <c r="L522" s="11">
        <v>17.600000000000001</v>
      </c>
      <c r="N522" s="11">
        <v>5.3</v>
      </c>
      <c r="O522" s="11">
        <v>3</v>
      </c>
      <c r="P522" s="13"/>
      <c r="S522" s="11">
        <v>7139.1</v>
      </c>
      <c r="V522" s="13"/>
      <c r="W522" s="13"/>
      <c r="X522" s="13"/>
      <c r="Y522" s="11">
        <v>872.5</v>
      </c>
      <c r="Z522" s="13"/>
      <c r="AA522" s="13"/>
      <c r="AB522" s="13"/>
      <c r="AC522" s="13"/>
      <c r="AD522" s="13"/>
      <c r="AE522" s="13"/>
      <c r="AF522" s="13"/>
      <c r="AJ522" s="11">
        <v>8299.7999999999993</v>
      </c>
      <c r="AK522" s="13"/>
      <c r="AL522" s="13">
        <f t="shared" si="20"/>
        <v>8299.7999999999993</v>
      </c>
      <c r="AM522" s="23" t="s">
        <v>725</v>
      </c>
      <c r="AN522" s="13"/>
      <c r="AO522" s="13"/>
      <c r="AP522" s="13"/>
      <c r="AQ522" s="13"/>
      <c r="AR522" s="13"/>
    </row>
    <row r="523" spans="1:44" ht="15.75" customHeight="1">
      <c r="A523" s="9" t="s">
        <v>636</v>
      </c>
      <c r="B523" s="9" t="s">
        <v>636</v>
      </c>
      <c r="C523" s="18" t="s">
        <v>720</v>
      </c>
      <c r="D523" s="11">
        <v>334.6</v>
      </c>
      <c r="G523" s="11">
        <v>56.9</v>
      </c>
      <c r="H523" s="11">
        <v>28</v>
      </c>
      <c r="I523" s="11">
        <v>19.8</v>
      </c>
      <c r="J523" s="11">
        <v>39.4</v>
      </c>
      <c r="K523" s="11">
        <v>61.4</v>
      </c>
      <c r="L523" s="11">
        <v>72.900000000000006</v>
      </c>
      <c r="N523" s="11">
        <v>17.899999999999999</v>
      </c>
      <c r="O523" s="11">
        <v>5.8</v>
      </c>
      <c r="P523" s="13"/>
      <c r="S523" s="11">
        <v>112.8</v>
      </c>
      <c r="V523" s="13"/>
      <c r="W523" s="13"/>
      <c r="X523" s="13"/>
      <c r="Y523" s="11">
        <v>4186.7</v>
      </c>
      <c r="Z523" s="13"/>
      <c r="AA523" s="13"/>
      <c r="AB523" s="13"/>
      <c r="AC523" s="13"/>
      <c r="AD523" s="13"/>
      <c r="AE523" s="13"/>
      <c r="AF523" s="13"/>
      <c r="AJ523" s="11">
        <v>4936.2</v>
      </c>
      <c r="AK523" s="13"/>
      <c r="AL523" s="13">
        <f t="shared" si="20"/>
        <v>4936.2</v>
      </c>
      <c r="AM523" s="23" t="s">
        <v>726</v>
      </c>
      <c r="AN523" s="13"/>
      <c r="AO523" s="13"/>
      <c r="AP523" s="13"/>
      <c r="AQ523" s="13"/>
      <c r="AR523" s="13"/>
    </row>
    <row r="524" spans="1:44" ht="15.75" customHeight="1">
      <c r="A524" s="9" t="s">
        <v>66</v>
      </c>
      <c r="B524" s="9" t="s">
        <v>66</v>
      </c>
      <c r="C524" s="18" t="s">
        <v>720</v>
      </c>
      <c r="D524" s="11">
        <v>779.7</v>
      </c>
      <c r="G524" s="11">
        <v>37.200000000000003</v>
      </c>
      <c r="H524" s="11">
        <v>22</v>
      </c>
      <c r="I524" s="11">
        <v>1.9</v>
      </c>
      <c r="J524" s="11">
        <v>0</v>
      </c>
      <c r="K524" s="11">
        <v>25.4</v>
      </c>
      <c r="L524" s="11">
        <v>8</v>
      </c>
      <c r="N524" s="11">
        <v>6.3</v>
      </c>
      <c r="O524" s="11">
        <v>3.8</v>
      </c>
      <c r="P524" s="13"/>
      <c r="S524" s="11">
        <v>120.9</v>
      </c>
      <c r="V524" s="13"/>
      <c r="W524" s="13"/>
      <c r="X524" s="13"/>
      <c r="Y524" s="11">
        <v>100143.2</v>
      </c>
      <c r="Z524" s="13"/>
      <c r="AA524" s="13"/>
      <c r="AB524" s="13"/>
      <c r="AC524" s="13"/>
      <c r="AD524" s="13"/>
      <c r="AE524" s="13"/>
      <c r="AF524" s="13"/>
      <c r="AJ524" s="11">
        <v>101148.6</v>
      </c>
      <c r="AL524" s="13">
        <f t="shared" ref="AL524:AL533" si="21">AJ524-AK525</f>
        <v>101145.5</v>
      </c>
      <c r="AM524" s="23" t="s">
        <v>727</v>
      </c>
      <c r="AN524" s="13"/>
      <c r="AO524" s="13"/>
      <c r="AP524" s="13"/>
      <c r="AQ524" s="13"/>
      <c r="AR524" s="13"/>
    </row>
    <row r="525" spans="1:44" ht="15.75" customHeight="1">
      <c r="A525" s="9" t="s">
        <v>639</v>
      </c>
      <c r="B525" s="9" t="s">
        <v>212</v>
      </c>
      <c r="C525" s="18" t="s">
        <v>720</v>
      </c>
      <c r="D525" s="11">
        <v>4516.8</v>
      </c>
      <c r="G525" s="11">
        <v>168.6</v>
      </c>
      <c r="H525" s="11">
        <v>1615.6</v>
      </c>
      <c r="I525" s="11">
        <v>23</v>
      </c>
      <c r="J525" s="11">
        <v>1403.6</v>
      </c>
      <c r="K525" s="11">
        <v>37.6</v>
      </c>
      <c r="L525" s="11">
        <v>496.8</v>
      </c>
      <c r="N525" s="11">
        <v>591.20000000000005</v>
      </c>
      <c r="O525" s="11">
        <v>55</v>
      </c>
      <c r="P525" s="13"/>
      <c r="S525" s="11">
        <v>1244.9000000000001</v>
      </c>
      <c r="V525" s="13"/>
      <c r="W525" s="13"/>
      <c r="X525" s="13"/>
      <c r="Y525" s="11">
        <v>560.1</v>
      </c>
      <c r="Z525" s="13"/>
      <c r="AA525" s="13"/>
      <c r="AB525" s="13"/>
      <c r="AC525" s="13"/>
      <c r="AD525" s="13"/>
      <c r="AE525" s="13"/>
      <c r="AF525" s="13"/>
      <c r="AJ525" s="11">
        <v>10713.1</v>
      </c>
      <c r="AK525" s="13">
        <v>3.1</v>
      </c>
      <c r="AL525" s="13">
        <f t="shared" si="21"/>
        <v>9386.1</v>
      </c>
      <c r="AM525" s="23" t="s">
        <v>728</v>
      </c>
      <c r="AN525" s="13"/>
      <c r="AO525" s="13"/>
      <c r="AP525" s="13"/>
      <c r="AQ525" s="13"/>
      <c r="AR525" s="13"/>
    </row>
    <row r="526" spans="1:44" ht="15.75" customHeight="1">
      <c r="A526" s="9" t="s">
        <v>75</v>
      </c>
      <c r="B526" s="9" t="s">
        <v>75</v>
      </c>
      <c r="C526" s="18" t="s">
        <v>720</v>
      </c>
      <c r="D526" s="11">
        <v>3272.3</v>
      </c>
      <c r="G526" s="11">
        <v>82.1</v>
      </c>
      <c r="H526" s="11">
        <v>21.3</v>
      </c>
      <c r="I526" s="11">
        <v>14.4</v>
      </c>
      <c r="J526" s="11">
        <v>25.8</v>
      </c>
      <c r="K526" s="11">
        <v>36.200000000000003</v>
      </c>
      <c r="L526" s="11">
        <v>43.5</v>
      </c>
      <c r="N526" s="11">
        <v>19.3</v>
      </c>
      <c r="O526" s="11">
        <v>26.9</v>
      </c>
      <c r="P526" s="13"/>
      <c r="S526" s="11">
        <v>33393.699999999997</v>
      </c>
      <c r="V526" s="13"/>
      <c r="W526" s="13"/>
      <c r="X526" s="13"/>
      <c r="Y526" s="11">
        <v>17891.3</v>
      </c>
      <c r="Z526" s="13"/>
      <c r="AA526" s="13"/>
      <c r="AB526" s="13"/>
      <c r="AC526" s="13"/>
      <c r="AD526" s="13"/>
      <c r="AE526" s="13"/>
      <c r="AF526" s="13"/>
      <c r="AJ526" s="11">
        <v>54826.7</v>
      </c>
      <c r="AK526" s="13">
        <v>1327</v>
      </c>
      <c r="AL526" s="13">
        <f t="shared" si="21"/>
        <v>54826.7</v>
      </c>
      <c r="AM526" s="23" t="s">
        <v>729</v>
      </c>
      <c r="AN526" s="13"/>
      <c r="AO526" s="13"/>
      <c r="AP526" s="13"/>
      <c r="AQ526" s="13"/>
      <c r="AR526" s="13"/>
    </row>
    <row r="527" spans="1:44" ht="15.75" customHeight="1">
      <c r="A527" s="9" t="s">
        <v>72</v>
      </c>
      <c r="B527" s="9" t="s">
        <v>72</v>
      </c>
      <c r="C527" s="18" t="s">
        <v>720</v>
      </c>
      <c r="D527" s="9">
        <v>0</v>
      </c>
      <c r="G527" s="11">
        <v>19.899999999999999</v>
      </c>
      <c r="H527" s="9">
        <v>9.6999999999999993</v>
      </c>
      <c r="I527" s="11">
        <v>1.3</v>
      </c>
      <c r="J527" s="11">
        <v>55.6</v>
      </c>
      <c r="K527" s="11">
        <v>9.8000000000000007</v>
      </c>
      <c r="L527" s="11">
        <v>10.4</v>
      </c>
      <c r="N527" s="11">
        <v>2.9</v>
      </c>
      <c r="O527" s="9">
        <v>1</v>
      </c>
      <c r="P527" s="13"/>
      <c r="S527" s="11">
        <v>205.6</v>
      </c>
      <c r="V527" s="13"/>
      <c r="W527" s="13"/>
      <c r="X527" s="13"/>
      <c r="Y527" s="11">
        <v>2130.3000000000002</v>
      </c>
      <c r="Z527" s="13"/>
      <c r="AA527" s="13"/>
      <c r="AB527" s="13"/>
      <c r="AC527" s="13"/>
      <c r="AD527" s="13"/>
      <c r="AE527" s="13"/>
      <c r="AF527" s="13"/>
      <c r="AJ527" s="11">
        <v>2446.4</v>
      </c>
      <c r="AK527" s="13"/>
      <c r="AL527" s="13">
        <f t="shared" si="21"/>
        <v>-5277.7999999999993</v>
      </c>
      <c r="AM527" s="23" t="s">
        <v>730</v>
      </c>
      <c r="AN527" s="13"/>
      <c r="AO527" s="13"/>
      <c r="AP527" s="13"/>
      <c r="AQ527" s="13"/>
      <c r="AR527" s="13"/>
    </row>
    <row r="528" spans="1:44" ht="15.75" customHeight="1">
      <c r="A528" s="9" t="s">
        <v>217</v>
      </c>
      <c r="B528" s="9" t="s">
        <v>217</v>
      </c>
      <c r="C528" s="18" t="s">
        <v>720</v>
      </c>
      <c r="D528" s="11">
        <v>446.7</v>
      </c>
      <c r="G528" s="11">
        <v>25.6</v>
      </c>
      <c r="H528" s="11">
        <v>10.4</v>
      </c>
      <c r="I528" s="11">
        <v>3.6</v>
      </c>
      <c r="J528" s="11">
        <v>45.8</v>
      </c>
      <c r="K528" s="11">
        <v>19.2</v>
      </c>
      <c r="L528" s="11">
        <v>11.3</v>
      </c>
      <c r="N528" s="11">
        <v>8.5</v>
      </c>
      <c r="O528" s="9">
        <v>9.6999999999999993</v>
      </c>
      <c r="P528" s="13"/>
      <c r="S528" s="11">
        <v>6735.9</v>
      </c>
      <c r="V528" s="13"/>
      <c r="W528" s="13"/>
      <c r="X528" s="13"/>
      <c r="Y528" s="11">
        <v>47069.3</v>
      </c>
      <c r="Z528" s="13"/>
      <c r="AA528" s="13"/>
      <c r="AB528" s="13"/>
      <c r="AC528" s="13"/>
      <c r="AD528" s="13"/>
      <c r="AE528" s="13"/>
      <c r="AF528" s="13"/>
      <c r="AJ528" s="11">
        <v>54385.9</v>
      </c>
      <c r="AK528" s="13">
        <v>7724.2</v>
      </c>
      <c r="AL528" s="13">
        <f t="shared" si="21"/>
        <v>54385.9</v>
      </c>
      <c r="AM528" s="23" t="s">
        <v>731</v>
      </c>
      <c r="AN528" s="13"/>
      <c r="AO528" s="13"/>
      <c r="AP528" s="13"/>
      <c r="AQ528" s="13"/>
      <c r="AR528" s="13"/>
    </row>
    <row r="529" spans="1:44" ht="15.75" customHeight="1">
      <c r="A529" s="9" t="s">
        <v>77</v>
      </c>
      <c r="B529" s="9" t="s">
        <v>77</v>
      </c>
      <c r="C529" s="18" t="s">
        <v>720</v>
      </c>
      <c r="D529" s="11">
        <v>2145.9</v>
      </c>
      <c r="G529" s="11">
        <v>83.5</v>
      </c>
      <c r="H529" s="11">
        <v>82</v>
      </c>
      <c r="I529" s="11">
        <v>1.8</v>
      </c>
      <c r="J529" s="11">
        <v>40.299999999999997</v>
      </c>
      <c r="K529" s="11">
        <v>64.099999999999994</v>
      </c>
      <c r="L529" s="11">
        <v>370.6</v>
      </c>
      <c r="N529" s="11">
        <v>35.9</v>
      </c>
      <c r="O529" s="11">
        <v>40.5</v>
      </c>
      <c r="P529" s="13"/>
      <c r="S529" s="11">
        <v>14541.2</v>
      </c>
      <c r="V529" s="13"/>
      <c r="W529" s="13"/>
      <c r="X529" s="13"/>
      <c r="Y529" s="11">
        <v>18154.2</v>
      </c>
      <c r="Z529" s="13"/>
      <c r="AA529" s="13"/>
      <c r="AB529" s="13"/>
      <c r="AC529" s="13"/>
      <c r="AD529" s="13"/>
      <c r="AE529" s="13"/>
      <c r="AF529" s="13"/>
      <c r="AJ529" s="11">
        <v>35560</v>
      </c>
      <c r="AK529" s="13"/>
      <c r="AL529" s="13">
        <f t="shared" si="21"/>
        <v>35558.800000000003</v>
      </c>
      <c r="AM529" s="23" t="s">
        <v>732</v>
      </c>
      <c r="AN529" s="13"/>
      <c r="AO529" s="13"/>
      <c r="AP529" s="13"/>
      <c r="AQ529" s="13"/>
      <c r="AR529" s="13"/>
    </row>
    <row r="530" spans="1:44" ht="15.75" customHeight="1">
      <c r="A530" s="9" t="s">
        <v>228</v>
      </c>
      <c r="B530" s="9" t="s">
        <v>228</v>
      </c>
      <c r="C530" s="18" t="s">
        <v>720</v>
      </c>
      <c r="D530" s="11">
        <v>4286.5</v>
      </c>
      <c r="G530" s="11">
        <v>42.7</v>
      </c>
      <c r="H530" s="11">
        <v>3.9</v>
      </c>
      <c r="I530" s="11">
        <v>85.9</v>
      </c>
      <c r="J530" s="9"/>
      <c r="K530" s="11">
        <v>212.9</v>
      </c>
      <c r="L530" s="11">
        <v>26.4</v>
      </c>
      <c r="N530" s="11">
        <v>22.7</v>
      </c>
      <c r="O530" s="11">
        <v>56.8</v>
      </c>
      <c r="P530" s="13"/>
      <c r="S530" s="11">
        <v>1758.1</v>
      </c>
      <c r="V530" s="13"/>
      <c r="W530" s="13"/>
      <c r="X530" s="13"/>
      <c r="Y530" s="11">
        <v>23349.5</v>
      </c>
      <c r="Z530" s="13"/>
      <c r="AA530" s="13"/>
      <c r="AB530" s="13"/>
      <c r="AC530" s="13"/>
      <c r="AD530" s="13"/>
      <c r="AE530" s="13"/>
      <c r="AF530" s="13"/>
      <c r="AJ530" s="11">
        <v>29845.5</v>
      </c>
      <c r="AK530" s="13">
        <v>1.2</v>
      </c>
      <c r="AL530" s="13">
        <f t="shared" si="21"/>
        <v>-18158.900000000001</v>
      </c>
      <c r="AM530" s="23" t="s">
        <v>733</v>
      </c>
      <c r="AN530" s="13"/>
      <c r="AO530" s="13"/>
      <c r="AP530" s="13"/>
      <c r="AQ530" s="13"/>
      <c r="AR530" s="13"/>
    </row>
    <row r="531" spans="1:44" ht="15.75" customHeight="1">
      <c r="A531" s="9" t="s">
        <v>325</v>
      </c>
      <c r="B531" s="9" t="s">
        <v>325</v>
      </c>
      <c r="C531" s="18" t="s">
        <v>720</v>
      </c>
      <c r="D531" s="11">
        <v>1010.3</v>
      </c>
      <c r="G531" s="11">
        <v>26.5</v>
      </c>
      <c r="H531" s="11">
        <v>4.8</v>
      </c>
      <c r="I531" s="11">
        <v>2.6</v>
      </c>
      <c r="J531" s="9"/>
      <c r="K531" s="11">
        <v>8.5</v>
      </c>
      <c r="L531" s="11">
        <v>18.2</v>
      </c>
      <c r="N531" s="11">
        <v>9.6</v>
      </c>
      <c r="O531" s="11">
        <v>21</v>
      </c>
      <c r="P531" s="13"/>
      <c r="S531" s="11">
        <v>192.2</v>
      </c>
      <c r="V531" s="13"/>
      <c r="W531" s="13"/>
      <c r="X531" s="13"/>
      <c r="Y531" s="11">
        <v>48001.7</v>
      </c>
      <c r="Z531" s="13"/>
      <c r="AA531" s="13"/>
      <c r="AB531" s="13"/>
      <c r="AC531" s="13"/>
      <c r="AD531" s="13"/>
      <c r="AE531" s="13"/>
      <c r="AF531" s="13"/>
      <c r="AJ531" s="11">
        <v>49295.5</v>
      </c>
      <c r="AK531" s="13">
        <v>48004.4</v>
      </c>
      <c r="AL531" s="13">
        <f t="shared" si="21"/>
        <v>44920</v>
      </c>
      <c r="AM531" s="23" t="s">
        <v>734</v>
      </c>
      <c r="AN531" s="13"/>
      <c r="AO531" s="13"/>
      <c r="AP531" s="13"/>
      <c r="AQ531" s="13"/>
      <c r="AR531" s="13"/>
    </row>
    <row r="532" spans="1:44" ht="15.75" customHeight="1">
      <c r="A532" s="9" t="s">
        <v>327</v>
      </c>
      <c r="B532" s="9" t="s">
        <v>327</v>
      </c>
      <c r="C532" s="18" t="s">
        <v>720</v>
      </c>
      <c r="D532" s="11">
        <v>180.5</v>
      </c>
      <c r="G532" s="9">
        <v>8.5</v>
      </c>
      <c r="H532" s="11">
        <v>1.6</v>
      </c>
      <c r="I532" s="11">
        <v>0.2</v>
      </c>
      <c r="J532" s="11">
        <v>4.8</v>
      </c>
      <c r="K532" s="11">
        <v>5.0999999999999996</v>
      </c>
      <c r="L532" s="11">
        <v>4.0999999999999996</v>
      </c>
      <c r="N532" s="9">
        <v>4.2</v>
      </c>
      <c r="O532" s="11">
        <v>64.2</v>
      </c>
      <c r="P532" s="13"/>
      <c r="S532" s="11">
        <v>70.900000000000006</v>
      </c>
      <c r="V532" s="13"/>
      <c r="W532" s="13"/>
      <c r="X532" s="13"/>
      <c r="Y532" s="11">
        <v>5439.8</v>
      </c>
      <c r="Z532" s="13"/>
      <c r="AA532" s="13"/>
      <c r="AB532" s="13"/>
      <c r="AC532" s="13"/>
      <c r="AD532" s="13"/>
      <c r="AE532" s="13"/>
      <c r="AF532" s="13"/>
      <c r="AJ532" s="11">
        <v>5783.7</v>
      </c>
      <c r="AK532" s="13">
        <v>4375.5</v>
      </c>
      <c r="AL532" s="13">
        <f t="shared" si="21"/>
        <v>5783.7</v>
      </c>
      <c r="AM532" s="23" t="s">
        <v>735</v>
      </c>
      <c r="AN532" s="13"/>
      <c r="AO532" s="13"/>
      <c r="AP532" s="13"/>
      <c r="AQ532" s="13"/>
      <c r="AR532" s="13"/>
    </row>
    <row r="533" spans="1:44" ht="15.75" customHeight="1">
      <c r="A533" s="9" t="s">
        <v>648</v>
      </c>
      <c r="B533" s="9" t="s">
        <v>648</v>
      </c>
      <c r="C533" s="18" t="s">
        <v>720</v>
      </c>
      <c r="D533" s="11">
        <v>29.8</v>
      </c>
      <c r="G533" s="11">
        <v>13.8</v>
      </c>
      <c r="H533" s="11">
        <v>5.3</v>
      </c>
      <c r="I533" s="11">
        <v>1.2</v>
      </c>
      <c r="J533" s="11">
        <v>7.7</v>
      </c>
      <c r="K533" s="11">
        <v>3.8</v>
      </c>
      <c r="L533" s="11">
        <v>8</v>
      </c>
      <c r="N533" s="11">
        <v>1.8</v>
      </c>
      <c r="O533" s="11">
        <v>5.8</v>
      </c>
      <c r="P533" s="13"/>
      <c r="S533" s="11">
        <v>107.6</v>
      </c>
      <c r="V533" s="13"/>
      <c r="W533" s="13"/>
      <c r="X533" s="13"/>
      <c r="Y533" s="11">
        <v>40</v>
      </c>
      <c r="Z533" s="13"/>
      <c r="AA533" s="13"/>
      <c r="AB533" s="13"/>
      <c r="AC533" s="13"/>
      <c r="AD533" s="13"/>
      <c r="AE533" s="13"/>
      <c r="AF533" s="13"/>
      <c r="AJ533" s="11">
        <v>224.8</v>
      </c>
      <c r="AK533" s="13"/>
      <c r="AL533" s="13">
        <f t="shared" si="21"/>
        <v>224.8</v>
      </c>
      <c r="AM533" s="23" t="s">
        <v>736</v>
      </c>
      <c r="AN533" s="13"/>
      <c r="AO533" s="13"/>
      <c r="AP533" s="13"/>
      <c r="AQ533" s="13"/>
      <c r="AR533" s="13"/>
    </row>
    <row r="534" spans="1:44" ht="15.75" customHeight="1">
      <c r="A534" s="9" t="s">
        <v>411</v>
      </c>
      <c r="B534" s="9" t="s">
        <v>91</v>
      </c>
      <c r="C534" s="18" t="s">
        <v>720</v>
      </c>
      <c r="D534" s="11">
        <v>529.20000000000005</v>
      </c>
      <c r="G534" s="11">
        <v>28.8</v>
      </c>
      <c r="H534" s="11">
        <v>7.7</v>
      </c>
      <c r="I534" s="9">
        <v>4.5</v>
      </c>
      <c r="J534" s="11">
        <v>93.8</v>
      </c>
      <c r="K534" s="9">
        <v>14</v>
      </c>
      <c r="L534" s="11">
        <v>18.2</v>
      </c>
      <c r="N534" s="11">
        <v>8.1999999999999993</v>
      </c>
      <c r="O534" s="9">
        <v>5.9</v>
      </c>
      <c r="P534" s="13"/>
      <c r="S534" s="11">
        <v>186.9</v>
      </c>
      <c r="V534" s="13"/>
      <c r="W534" s="13"/>
      <c r="X534" s="13"/>
      <c r="Y534" s="11">
        <v>410.2</v>
      </c>
      <c r="Z534" s="13"/>
      <c r="AA534" s="13"/>
      <c r="AB534" s="13"/>
      <c r="AC534" s="13"/>
      <c r="AD534" s="13"/>
      <c r="AE534" s="13"/>
      <c r="AF534" s="13"/>
      <c r="AJ534" s="11">
        <v>1307.5</v>
      </c>
      <c r="AK534" s="13"/>
      <c r="AL534" s="13">
        <f t="shared" ref="AL534:AL565" si="22">AJ534-AK534</f>
        <v>1307.5</v>
      </c>
      <c r="AM534" s="23" t="s">
        <v>737</v>
      </c>
      <c r="AN534" s="13"/>
      <c r="AO534" s="13"/>
      <c r="AP534" s="13"/>
      <c r="AQ534" s="13"/>
      <c r="AR534" s="13"/>
    </row>
    <row r="535" spans="1:44" ht="15.75" customHeight="1">
      <c r="A535" s="9" t="s">
        <v>93</v>
      </c>
      <c r="B535" s="9" t="s">
        <v>93</v>
      </c>
      <c r="C535" s="18" t="s">
        <v>720</v>
      </c>
      <c r="D535" s="11">
        <v>454.1</v>
      </c>
      <c r="G535" s="11">
        <v>26.1</v>
      </c>
      <c r="H535" s="11">
        <v>2.7</v>
      </c>
      <c r="I535" s="9">
        <v>1.2</v>
      </c>
      <c r="J535" s="11">
        <v>68.2</v>
      </c>
      <c r="K535" s="11">
        <v>7.1</v>
      </c>
      <c r="L535" s="11">
        <v>10.5</v>
      </c>
      <c r="N535" s="11">
        <v>5.3</v>
      </c>
      <c r="O535" s="11">
        <v>16.399999999999999</v>
      </c>
      <c r="P535" s="13"/>
      <c r="S535" s="11">
        <v>110.1</v>
      </c>
      <c r="V535" s="13"/>
      <c r="W535" s="13"/>
      <c r="X535" s="13"/>
      <c r="Y535" s="11">
        <v>40.200000000000003</v>
      </c>
      <c r="Z535" s="13"/>
      <c r="AA535" s="13"/>
      <c r="AB535" s="13"/>
      <c r="AC535" s="13"/>
      <c r="AD535" s="13"/>
      <c r="AE535" s="13"/>
      <c r="AF535" s="13"/>
      <c r="AJ535" s="11">
        <v>741.8</v>
      </c>
      <c r="AK535" s="13"/>
      <c r="AL535" s="13">
        <f t="shared" si="22"/>
        <v>741.8</v>
      </c>
      <c r="AM535" s="23" t="s">
        <v>738</v>
      </c>
      <c r="AN535" s="13"/>
      <c r="AO535" s="13"/>
      <c r="AP535" s="13"/>
      <c r="AQ535" s="13"/>
      <c r="AR535" s="13"/>
    </row>
    <row r="536" spans="1:44" ht="15.75" customHeight="1">
      <c r="A536" s="9" t="s">
        <v>652</v>
      </c>
      <c r="B536" s="9" t="s">
        <v>652</v>
      </c>
      <c r="C536" s="18" t="s">
        <v>720</v>
      </c>
      <c r="D536" s="11">
        <v>529.5</v>
      </c>
      <c r="G536" s="11">
        <v>45.8</v>
      </c>
      <c r="H536" s="11">
        <v>21.6</v>
      </c>
      <c r="I536" s="9">
        <v>1.9</v>
      </c>
      <c r="J536" s="11">
        <v>0.1</v>
      </c>
      <c r="K536" s="11">
        <v>9.6999999999999993</v>
      </c>
      <c r="L536" s="11">
        <v>2.5</v>
      </c>
      <c r="N536" s="11">
        <v>6.1</v>
      </c>
      <c r="O536" s="11">
        <v>11.8</v>
      </c>
      <c r="P536" s="13"/>
      <c r="S536" s="11">
        <v>362.7</v>
      </c>
      <c r="V536" s="13"/>
      <c r="W536" s="13"/>
      <c r="X536" s="13"/>
      <c r="Y536" s="11">
        <v>1170.0999999999999</v>
      </c>
      <c r="Z536" s="13"/>
      <c r="AA536" s="13"/>
      <c r="AB536" s="13"/>
      <c r="AC536" s="13"/>
      <c r="AD536" s="13"/>
      <c r="AE536" s="13"/>
      <c r="AF536" s="13"/>
      <c r="AJ536" s="11">
        <v>2161.9</v>
      </c>
      <c r="AK536" s="13"/>
      <c r="AL536" s="13">
        <f t="shared" si="22"/>
        <v>2161.9</v>
      </c>
      <c r="AM536" s="23" t="s">
        <v>739</v>
      </c>
      <c r="AN536" s="13"/>
      <c r="AO536" s="13"/>
      <c r="AP536" s="13"/>
      <c r="AQ536" s="13"/>
      <c r="AR536" s="13"/>
    </row>
    <row r="537" spans="1:44" ht="15.75" customHeight="1">
      <c r="A537" s="9" t="s">
        <v>95</v>
      </c>
      <c r="B537" s="9" t="s">
        <v>95</v>
      </c>
      <c r="C537" s="18" t="s">
        <v>720</v>
      </c>
      <c r="D537" s="11">
        <v>93.5</v>
      </c>
      <c r="G537" s="11">
        <v>8.3000000000000007</v>
      </c>
      <c r="H537" s="11">
        <v>7</v>
      </c>
      <c r="I537" s="11">
        <v>2.2999999999999998</v>
      </c>
      <c r="J537" s="11">
        <v>0</v>
      </c>
      <c r="K537" s="11">
        <v>5.0999999999999996</v>
      </c>
      <c r="L537" s="11">
        <v>2.9</v>
      </c>
      <c r="N537" s="11">
        <v>1.8</v>
      </c>
      <c r="O537" s="11">
        <v>0.8</v>
      </c>
      <c r="P537" s="13"/>
      <c r="S537" s="11">
        <v>17.600000000000001</v>
      </c>
      <c r="V537" s="13"/>
      <c r="W537" s="13"/>
      <c r="X537" s="13"/>
      <c r="Y537" s="11">
        <v>307.89999999999998</v>
      </c>
      <c r="Z537" s="13"/>
      <c r="AA537" s="13"/>
      <c r="AB537" s="13"/>
      <c r="AC537" s="13"/>
      <c r="AD537" s="13"/>
      <c r="AE537" s="13"/>
      <c r="AF537" s="13"/>
      <c r="AJ537" s="11">
        <v>447.3</v>
      </c>
      <c r="AK537" s="13">
        <v>400</v>
      </c>
      <c r="AL537" s="13">
        <f t="shared" si="22"/>
        <v>47.300000000000011</v>
      </c>
      <c r="AM537" s="23" t="s">
        <v>740</v>
      </c>
      <c r="AN537" s="13"/>
      <c r="AO537" s="13"/>
      <c r="AP537" s="13"/>
      <c r="AQ537" s="13"/>
      <c r="AR537" s="13"/>
    </row>
    <row r="538" spans="1:44" ht="15.75" customHeight="1">
      <c r="A538" s="9" t="s">
        <v>655</v>
      </c>
      <c r="B538" s="9" t="s">
        <v>160</v>
      </c>
      <c r="C538" s="18" t="s">
        <v>720</v>
      </c>
      <c r="D538" s="11">
        <v>1072</v>
      </c>
      <c r="G538" s="11">
        <v>61</v>
      </c>
      <c r="H538" s="11">
        <v>43.6</v>
      </c>
      <c r="I538" s="11">
        <v>0.7</v>
      </c>
      <c r="J538" s="11">
        <v>72.7</v>
      </c>
      <c r="K538" s="11">
        <v>13.1</v>
      </c>
      <c r="L538" s="11">
        <v>38.799999999999997</v>
      </c>
      <c r="N538" s="11">
        <v>3.7</v>
      </c>
      <c r="O538" s="11">
        <v>38.799999999999997</v>
      </c>
      <c r="P538" s="13"/>
      <c r="S538" s="11">
        <v>1333.7</v>
      </c>
      <c r="V538" s="13"/>
      <c r="W538" s="13"/>
      <c r="X538" s="13"/>
      <c r="Y538" s="9">
        <v>4.8</v>
      </c>
      <c r="Z538" s="13"/>
      <c r="AA538" s="13"/>
      <c r="AB538" s="13"/>
      <c r="AC538" s="13"/>
      <c r="AD538" s="13"/>
      <c r="AE538" s="13"/>
      <c r="AF538" s="13"/>
      <c r="AJ538" s="11">
        <v>2682.7</v>
      </c>
      <c r="AK538" s="13">
        <v>21.8</v>
      </c>
      <c r="AL538" s="13">
        <f t="shared" si="22"/>
        <v>2660.8999999999996</v>
      </c>
      <c r="AM538" s="23" t="s">
        <v>741</v>
      </c>
      <c r="AN538" s="13"/>
      <c r="AO538" s="13"/>
      <c r="AP538" s="13"/>
      <c r="AQ538" s="13"/>
      <c r="AR538" s="13"/>
    </row>
    <row r="539" spans="1:44" ht="15.75" customHeight="1">
      <c r="A539" s="9" t="s">
        <v>657</v>
      </c>
      <c r="B539" s="9" t="s">
        <v>657</v>
      </c>
      <c r="C539" s="18" t="s">
        <v>720</v>
      </c>
      <c r="D539" s="11">
        <v>87</v>
      </c>
      <c r="G539" s="11">
        <v>29.9</v>
      </c>
      <c r="H539" s="11">
        <v>42.9</v>
      </c>
      <c r="I539" s="11">
        <v>3.6</v>
      </c>
      <c r="J539" s="11">
        <v>86.7</v>
      </c>
      <c r="K539" s="11">
        <v>29</v>
      </c>
      <c r="L539" s="11">
        <v>9.3000000000000007</v>
      </c>
      <c r="N539" s="11">
        <v>10</v>
      </c>
      <c r="O539" s="9"/>
      <c r="P539" s="13"/>
      <c r="S539" s="11">
        <v>863.5</v>
      </c>
      <c r="V539" s="13"/>
      <c r="W539" s="13"/>
      <c r="X539" s="13"/>
      <c r="Y539" s="11">
        <v>11393.6</v>
      </c>
      <c r="Z539" s="13"/>
      <c r="AA539" s="13"/>
      <c r="AB539" s="13"/>
      <c r="AC539" s="13"/>
      <c r="AD539" s="13"/>
      <c r="AE539" s="13"/>
      <c r="AF539" s="13"/>
      <c r="AJ539" s="11">
        <v>12555.4</v>
      </c>
      <c r="AK539" s="13">
        <v>6240</v>
      </c>
      <c r="AL539" s="13">
        <f t="shared" si="22"/>
        <v>6315.4</v>
      </c>
      <c r="AM539" s="23" t="s">
        <v>742</v>
      </c>
      <c r="AN539" s="13"/>
      <c r="AO539" s="13"/>
      <c r="AP539" s="13"/>
      <c r="AQ539" s="13"/>
      <c r="AR539" s="13"/>
    </row>
    <row r="540" spans="1:44" ht="15.75" customHeight="1">
      <c r="A540" s="9" t="s">
        <v>244</v>
      </c>
      <c r="B540" s="9" t="s">
        <v>244</v>
      </c>
      <c r="C540" s="18" t="s">
        <v>720</v>
      </c>
      <c r="D540" s="11">
        <v>1908.7</v>
      </c>
      <c r="G540" s="9">
        <v>7.4</v>
      </c>
      <c r="H540" s="9">
        <v>2.2999999999999998</v>
      </c>
      <c r="I540" s="9">
        <v>1.2</v>
      </c>
      <c r="J540" s="9">
        <v>0.6</v>
      </c>
      <c r="K540" s="11">
        <v>12.5</v>
      </c>
      <c r="L540" s="9">
        <v>2.4</v>
      </c>
      <c r="N540" s="11">
        <v>4</v>
      </c>
      <c r="O540" s="9">
        <v>7.4</v>
      </c>
      <c r="P540" s="13"/>
      <c r="S540" s="11">
        <v>136.4</v>
      </c>
      <c r="V540" s="13"/>
      <c r="W540" s="13"/>
      <c r="X540" s="13"/>
      <c r="Y540" s="9"/>
      <c r="Z540" s="13"/>
      <c r="AA540" s="13"/>
      <c r="AB540" s="13"/>
      <c r="AC540" s="13"/>
      <c r="AD540" s="13"/>
      <c r="AE540" s="13"/>
      <c r="AF540" s="13"/>
      <c r="AJ540" s="11">
        <v>2082.9</v>
      </c>
      <c r="AK540" s="13"/>
      <c r="AL540" s="13">
        <f t="shared" si="22"/>
        <v>2082.9</v>
      </c>
      <c r="AM540" s="23" t="s">
        <v>743</v>
      </c>
      <c r="AN540" s="13"/>
      <c r="AO540" s="13"/>
      <c r="AP540" s="13"/>
      <c r="AQ540" s="13"/>
      <c r="AR540" s="13"/>
    </row>
    <row r="541" spans="1:44" ht="15.75" customHeight="1">
      <c r="A541" s="9" t="s">
        <v>660</v>
      </c>
      <c r="B541" s="9" t="s">
        <v>660</v>
      </c>
      <c r="C541" s="18" t="s">
        <v>720</v>
      </c>
      <c r="D541" s="11">
        <v>122.4</v>
      </c>
      <c r="G541" s="11">
        <v>24.5</v>
      </c>
      <c r="H541" s="11">
        <v>13.8</v>
      </c>
      <c r="I541" s="11">
        <v>19.899999999999999</v>
      </c>
      <c r="J541" s="11">
        <v>38.799999999999997</v>
      </c>
      <c r="K541" s="11">
        <v>115</v>
      </c>
      <c r="L541" s="11">
        <v>35.1</v>
      </c>
      <c r="N541" s="9">
        <v>5.9</v>
      </c>
      <c r="O541" s="11">
        <v>2.8</v>
      </c>
      <c r="P541" s="13"/>
      <c r="S541" s="11">
        <v>57.4</v>
      </c>
      <c r="V541" s="13"/>
      <c r="W541" s="13"/>
      <c r="X541" s="13"/>
      <c r="Y541" s="11">
        <v>565.70000000000005</v>
      </c>
      <c r="Z541" s="13"/>
      <c r="AA541" s="13"/>
      <c r="AB541" s="13"/>
      <c r="AC541" s="13"/>
      <c r="AD541" s="13"/>
      <c r="AE541" s="13"/>
      <c r="AF541" s="13"/>
      <c r="AJ541" s="11">
        <v>1001.2</v>
      </c>
      <c r="AK541" s="13"/>
      <c r="AL541" s="13">
        <f t="shared" si="22"/>
        <v>1001.2</v>
      </c>
      <c r="AM541" s="23" t="s">
        <v>744</v>
      </c>
      <c r="AN541" s="13"/>
      <c r="AO541" s="13"/>
      <c r="AP541" s="13"/>
      <c r="AQ541" s="13"/>
      <c r="AR541" s="13"/>
    </row>
    <row r="542" spans="1:44" ht="15.75" customHeight="1">
      <c r="A542" s="9" t="s">
        <v>419</v>
      </c>
      <c r="B542" s="9" t="s">
        <v>103</v>
      </c>
      <c r="C542" s="18" t="s">
        <v>720</v>
      </c>
      <c r="D542" s="11">
        <v>340.8</v>
      </c>
      <c r="G542" s="11">
        <v>31.8</v>
      </c>
      <c r="H542" s="11">
        <v>12.6</v>
      </c>
      <c r="I542" s="11">
        <v>1588.3</v>
      </c>
      <c r="J542" s="11">
        <v>70.2</v>
      </c>
      <c r="K542" s="11">
        <v>10.7</v>
      </c>
      <c r="L542" s="11">
        <v>23.5</v>
      </c>
      <c r="N542" s="9">
        <v>6.4</v>
      </c>
      <c r="O542" s="11">
        <v>5</v>
      </c>
      <c r="P542" s="13"/>
      <c r="S542" s="11">
        <v>149</v>
      </c>
      <c r="V542" s="13"/>
      <c r="W542" s="13"/>
      <c r="X542" s="13"/>
      <c r="Y542" s="11">
        <v>769.6</v>
      </c>
      <c r="Z542" s="13"/>
      <c r="AA542" s="13"/>
      <c r="AB542" s="13"/>
      <c r="AC542" s="13"/>
      <c r="AD542" s="13"/>
      <c r="AE542" s="13"/>
      <c r="AF542" s="13"/>
      <c r="AJ542" s="11">
        <v>3007.7</v>
      </c>
      <c r="AK542" s="13">
        <v>94.1</v>
      </c>
      <c r="AL542" s="13">
        <f t="shared" si="22"/>
        <v>2913.6</v>
      </c>
      <c r="AM542" s="23" t="s">
        <v>745</v>
      </c>
      <c r="AN542" s="13"/>
      <c r="AO542" s="13"/>
      <c r="AP542" s="13"/>
      <c r="AQ542" s="13"/>
      <c r="AR542" s="13"/>
    </row>
    <row r="543" spans="1:44" ht="15.75" customHeight="1">
      <c r="A543" s="9" t="s">
        <v>663</v>
      </c>
      <c r="B543" s="9" t="s">
        <v>663</v>
      </c>
      <c r="C543" s="18" t="s">
        <v>720</v>
      </c>
      <c r="D543" s="11">
        <v>319.10000000000002</v>
      </c>
      <c r="G543" s="11">
        <v>127.3</v>
      </c>
      <c r="H543" s="11">
        <v>674.3</v>
      </c>
      <c r="I543" s="9">
        <v>0.5</v>
      </c>
      <c r="J543" s="11">
        <v>54.2</v>
      </c>
      <c r="K543" s="9">
        <v>6.6</v>
      </c>
      <c r="L543" s="11">
        <v>436</v>
      </c>
      <c r="N543" s="11">
        <v>4.8</v>
      </c>
      <c r="O543" s="9">
        <v>1.4</v>
      </c>
      <c r="P543" s="13"/>
      <c r="S543" s="11">
        <v>104.8</v>
      </c>
      <c r="V543" s="13"/>
      <c r="W543" s="13"/>
      <c r="X543" s="13"/>
      <c r="Y543" s="11">
        <v>1792.3</v>
      </c>
      <c r="Z543" s="13"/>
      <c r="AA543" s="13"/>
      <c r="AB543" s="13"/>
      <c r="AC543" s="13"/>
      <c r="AD543" s="13"/>
      <c r="AE543" s="13"/>
      <c r="AF543" s="13"/>
      <c r="AJ543" s="11">
        <v>3521.2</v>
      </c>
      <c r="AK543" s="13"/>
      <c r="AL543" s="13">
        <f t="shared" si="22"/>
        <v>3521.2</v>
      </c>
      <c r="AM543" s="23" t="s">
        <v>746</v>
      </c>
      <c r="AN543" s="13"/>
      <c r="AO543" s="13"/>
      <c r="AP543" s="13"/>
      <c r="AQ543" s="13"/>
      <c r="AR543" s="13"/>
    </row>
    <row r="544" spans="1:44" ht="15.75" customHeight="1">
      <c r="A544" s="9" t="s">
        <v>665</v>
      </c>
      <c r="B544" s="9" t="s">
        <v>665</v>
      </c>
      <c r="C544" s="18" t="s">
        <v>720</v>
      </c>
      <c r="D544" s="11">
        <v>227</v>
      </c>
      <c r="G544" s="11">
        <v>59.7</v>
      </c>
      <c r="H544" s="11">
        <v>13.4</v>
      </c>
      <c r="I544" s="11">
        <v>3</v>
      </c>
      <c r="J544" s="11">
        <v>84.5</v>
      </c>
      <c r="K544" s="11">
        <v>59.9</v>
      </c>
      <c r="L544" s="11">
        <v>42.2</v>
      </c>
      <c r="N544" s="11">
        <v>12</v>
      </c>
      <c r="O544" s="11">
        <v>25.4</v>
      </c>
      <c r="P544" s="13"/>
      <c r="S544" s="11">
        <v>212.5</v>
      </c>
      <c r="V544" s="13"/>
      <c r="W544" s="13"/>
      <c r="X544" s="13"/>
      <c r="Y544" s="11">
        <v>2123.1999999999998</v>
      </c>
      <c r="Z544" s="13"/>
      <c r="AA544" s="13"/>
      <c r="AB544" s="13"/>
      <c r="AC544" s="13"/>
      <c r="AD544" s="13"/>
      <c r="AE544" s="13"/>
      <c r="AF544" s="13"/>
      <c r="AJ544" s="11">
        <v>2862.8</v>
      </c>
      <c r="AK544" s="13">
        <v>9.3000000000000007</v>
      </c>
      <c r="AL544" s="13">
        <f t="shared" si="22"/>
        <v>2853.5</v>
      </c>
      <c r="AM544" s="23" t="s">
        <v>747</v>
      </c>
      <c r="AN544" s="13"/>
      <c r="AO544" s="13"/>
      <c r="AP544" s="13"/>
      <c r="AQ544" s="13"/>
      <c r="AR544" s="13"/>
    </row>
    <row r="545" spans="1:44" ht="15.75" customHeight="1">
      <c r="A545" s="9" t="s">
        <v>667</v>
      </c>
      <c r="B545" s="9" t="s">
        <v>667</v>
      </c>
      <c r="C545" s="18" t="s">
        <v>720</v>
      </c>
      <c r="D545" s="11">
        <v>326</v>
      </c>
      <c r="G545" s="11">
        <v>32.200000000000003</v>
      </c>
      <c r="H545" s="11">
        <v>4.2</v>
      </c>
      <c r="I545" s="11">
        <v>1.6</v>
      </c>
      <c r="J545" s="11">
        <v>0</v>
      </c>
      <c r="K545" s="11">
        <v>93.2</v>
      </c>
      <c r="L545" s="11">
        <v>24.2</v>
      </c>
      <c r="N545" s="11">
        <v>200.4</v>
      </c>
      <c r="O545" s="11">
        <v>76.5</v>
      </c>
      <c r="P545" s="13"/>
      <c r="S545" s="11">
        <v>8.1</v>
      </c>
      <c r="V545" s="13"/>
      <c r="W545" s="13"/>
      <c r="X545" s="13"/>
      <c r="Y545" s="11">
        <v>1207.5999999999999</v>
      </c>
      <c r="Z545" s="13"/>
      <c r="AA545" s="13"/>
      <c r="AB545" s="13"/>
      <c r="AC545" s="13"/>
      <c r="AD545" s="13"/>
      <c r="AE545" s="13"/>
      <c r="AF545" s="13"/>
      <c r="AJ545" s="11">
        <v>1974</v>
      </c>
      <c r="AK545" s="13">
        <v>92.2</v>
      </c>
      <c r="AL545" s="13">
        <f t="shared" si="22"/>
        <v>1881.8</v>
      </c>
      <c r="AM545" s="23" t="s">
        <v>748</v>
      </c>
      <c r="AN545" s="13"/>
      <c r="AO545" s="13"/>
      <c r="AP545" s="13"/>
      <c r="AQ545" s="13"/>
      <c r="AR545" s="13"/>
    </row>
    <row r="546" spans="1:44" ht="15.75" customHeight="1">
      <c r="A546" s="9" t="s">
        <v>669</v>
      </c>
      <c r="B546" s="9" t="s">
        <v>669</v>
      </c>
      <c r="C546" s="18" t="s">
        <v>720</v>
      </c>
      <c r="D546" s="11">
        <v>67</v>
      </c>
      <c r="G546" s="9">
        <v>17.899999999999999</v>
      </c>
      <c r="H546" s="11">
        <v>7</v>
      </c>
      <c r="I546" s="11">
        <v>2.7</v>
      </c>
      <c r="J546" s="11">
        <v>3.8</v>
      </c>
      <c r="K546" s="11">
        <v>13.5</v>
      </c>
      <c r="L546" s="11">
        <v>18.100000000000001</v>
      </c>
      <c r="N546" s="9">
        <v>0.2</v>
      </c>
      <c r="O546" s="11">
        <v>3.9</v>
      </c>
      <c r="P546" s="13"/>
      <c r="S546" s="11">
        <v>36.5</v>
      </c>
      <c r="V546" s="13"/>
      <c r="W546" s="13"/>
      <c r="X546" s="13"/>
      <c r="Y546" s="11">
        <v>0</v>
      </c>
      <c r="Z546" s="13"/>
      <c r="AA546" s="13"/>
      <c r="AB546" s="13"/>
      <c r="AC546" s="13"/>
      <c r="AD546" s="13"/>
      <c r="AE546" s="13"/>
      <c r="AF546" s="13"/>
      <c r="AJ546" s="11">
        <v>170.7</v>
      </c>
      <c r="AK546" s="13">
        <v>37.299999999999997</v>
      </c>
      <c r="AL546" s="13">
        <f t="shared" si="22"/>
        <v>133.39999999999998</v>
      </c>
      <c r="AM546" s="13"/>
      <c r="AN546" s="13"/>
      <c r="AO546" s="13"/>
      <c r="AP546" s="13"/>
      <c r="AQ546" s="13"/>
      <c r="AR546" s="13"/>
    </row>
    <row r="547" spans="1:44" ht="15.75" customHeight="1">
      <c r="A547" s="9" t="s">
        <v>671</v>
      </c>
      <c r="B547" s="9" t="s">
        <v>506</v>
      </c>
      <c r="C547" s="18" t="s">
        <v>720</v>
      </c>
      <c r="D547" s="11">
        <v>867.9</v>
      </c>
      <c r="G547" s="11">
        <v>32.9</v>
      </c>
      <c r="H547" s="11">
        <v>8.8000000000000007</v>
      </c>
      <c r="I547" s="11">
        <v>9.6</v>
      </c>
      <c r="J547" s="11">
        <v>20.399999999999999</v>
      </c>
      <c r="K547" s="11">
        <v>12.2</v>
      </c>
      <c r="L547" s="11">
        <v>3.8</v>
      </c>
      <c r="N547" s="11">
        <v>6.7</v>
      </c>
      <c r="O547" s="11">
        <v>3.8</v>
      </c>
      <c r="P547" s="13"/>
      <c r="S547" s="11">
        <v>6395.4</v>
      </c>
      <c r="V547" s="13"/>
      <c r="W547" s="13"/>
      <c r="X547" s="13"/>
      <c r="Y547" s="11">
        <v>4170.8999999999996</v>
      </c>
      <c r="Z547" s="13"/>
      <c r="AA547" s="13"/>
      <c r="AB547" s="13"/>
      <c r="AC547" s="13"/>
      <c r="AD547" s="13"/>
      <c r="AE547" s="13"/>
      <c r="AF547" s="13"/>
      <c r="AJ547" s="11">
        <v>11532.4</v>
      </c>
      <c r="AK547" s="13"/>
      <c r="AL547" s="13">
        <f t="shared" si="22"/>
        <v>11532.4</v>
      </c>
      <c r="AM547" s="23" t="s">
        <v>749</v>
      </c>
      <c r="AN547" s="13"/>
      <c r="AO547" s="13"/>
      <c r="AP547" s="13"/>
      <c r="AQ547" s="13"/>
      <c r="AR547" s="13"/>
    </row>
    <row r="548" spans="1:44" ht="15.75" customHeight="1">
      <c r="A548" s="9" t="s">
        <v>252</v>
      </c>
      <c r="B548" s="9" t="s">
        <v>252</v>
      </c>
      <c r="C548" s="18" t="s">
        <v>720</v>
      </c>
      <c r="D548" s="11">
        <v>1153</v>
      </c>
      <c r="G548" s="11">
        <v>59.5</v>
      </c>
      <c r="H548" s="11">
        <v>1.2</v>
      </c>
      <c r="I548" s="11">
        <v>1.9</v>
      </c>
      <c r="J548" s="11">
        <v>58.7</v>
      </c>
      <c r="K548" s="11">
        <v>6.3</v>
      </c>
      <c r="L548" s="11">
        <v>11</v>
      </c>
      <c r="N548" s="11">
        <v>16.5</v>
      </c>
      <c r="O548" s="11">
        <v>2.1</v>
      </c>
      <c r="P548" s="13"/>
      <c r="S548" s="11">
        <v>877.4</v>
      </c>
      <c r="V548" s="13"/>
      <c r="W548" s="13"/>
      <c r="X548" s="13"/>
      <c r="Y548" s="11">
        <v>3160.1</v>
      </c>
      <c r="Z548" s="13"/>
      <c r="AA548" s="13"/>
      <c r="AB548" s="13"/>
      <c r="AC548" s="13"/>
      <c r="AD548" s="13"/>
      <c r="AE548" s="13"/>
      <c r="AF548" s="13"/>
      <c r="AJ548" s="11">
        <v>5347.8</v>
      </c>
      <c r="AK548" s="13">
        <v>9.6999999999999993</v>
      </c>
      <c r="AL548" s="13">
        <f t="shared" si="22"/>
        <v>5338.1</v>
      </c>
      <c r="AM548" s="23" t="s">
        <v>750</v>
      </c>
      <c r="AN548" s="13"/>
      <c r="AO548" s="13"/>
      <c r="AP548" s="13"/>
      <c r="AQ548" s="13"/>
      <c r="AR548" s="13"/>
    </row>
    <row r="549" spans="1:44" ht="15.75" customHeight="1">
      <c r="A549" s="9" t="s">
        <v>674</v>
      </c>
      <c r="B549" s="9" t="s">
        <v>255</v>
      </c>
      <c r="C549" s="18" t="s">
        <v>720</v>
      </c>
      <c r="D549" s="11">
        <v>226.8</v>
      </c>
      <c r="G549" s="11">
        <v>24.2</v>
      </c>
      <c r="H549" s="11">
        <v>18.399999999999999</v>
      </c>
      <c r="I549" s="11">
        <v>6.3</v>
      </c>
      <c r="J549" s="9"/>
      <c r="K549" s="11">
        <v>25.7</v>
      </c>
      <c r="L549" s="11">
        <v>27</v>
      </c>
      <c r="N549" s="11">
        <v>7.7</v>
      </c>
      <c r="O549" s="11">
        <v>1.9</v>
      </c>
      <c r="P549" s="13"/>
      <c r="S549" s="11">
        <v>52.9</v>
      </c>
      <c r="V549" s="13"/>
      <c r="W549" s="13"/>
      <c r="X549" s="13"/>
      <c r="Y549" s="11">
        <v>1281.4000000000001</v>
      </c>
      <c r="Z549" s="13"/>
      <c r="AA549" s="13"/>
      <c r="AB549" s="13"/>
      <c r="AC549" s="13"/>
      <c r="AD549" s="13"/>
      <c r="AE549" s="13"/>
      <c r="AF549" s="13"/>
      <c r="AJ549" s="11">
        <v>1672.3</v>
      </c>
      <c r="AK549" s="13"/>
      <c r="AL549" s="13">
        <f t="shared" si="22"/>
        <v>1672.3</v>
      </c>
      <c r="AM549" s="23" t="s">
        <v>751</v>
      </c>
      <c r="AN549" s="13"/>
      <c r="AO549" s="13"/>
      <c r="AP549" s="13"/>
      <c r="AQ549" s="13"/>
      <c r="AR549" s="13"/>
    </row>
    <row r="550" spans="1:44" ht="15.75" customHeight="1">
      <c r="A550" s="9" t="s">
        <v>752</v>
      </c>
      <c r="B550" s="9" t="s">
        <v>752</v>
      </c>
      <c r="C550" s="18" t="s">
        <v>720</v>
      </c>
      <c r="D550" s="11">
        <v>536.6</v>
      </c>
      <c r="G550" s="11">
        <v>35.4</v>
      </c>
      <c r="H550" s="11">
        <v>29.3</v>
      </c>
      <c r="I550" s="9">
        <v>5.3</v>
      </c>
      <c r="J550" s="11">
        <v>113.2</v>
      </c>
      <c r="K550" s="11">
        <v>33.4</v>
      </c>
      <c r="L550" s="11">
        <v>14</v>
      </c>
      <c r="N550" s="11">
        <v>6.1</v>
      </c>
      <c r="O550" s="9">
        <v>4.3</v>
      </c>
      <c r="P550" s="13"/>
      <c r="S550" s="11">
        <v>255.5</v>
      </c>
      <c r="V550" s="13"/>
      <c r="W550" s="13"/>
      <c r="X550" s="13"/>
      <c r="Y550" s="11">
        <v>1829.7</v>
      </c>
      <c r="Z550" s="13"/>
      <c r="AA550" s="13"/>
      <c r="AB550" s="13"/>
      <c r="AC550" s="13"/>
      <c r="AD550" s="13"/>
      <c r="AE550" s="13"/>
      <c r="AF550" s="13"/>
      <c r="AJ550" s="11">
        <v>2862.8</v>
      </c>
      <c r="AK550" s="13">
        <v>11.9</v>
      </c>
      <c r="AL550" s="13">
        <f t="shared" si="22"/>
        <v>2850.9</v>
      </c>
      <c r="AM550" s="23" t="s">
        <v>753</v>
      </c>
      <c r="AN550" s="13"/>
      <c r="AO550" s="13"/>
      <c r="AP550" s="13"/>
      <c r="AQ550" s="13"/>
      <c r="AR550" s="13"/>
    </row>
    <row r="551" spans="1:44" ht="15.75" customHeight="1">
      <c r="A551" s="9" t="s">
        <v>119</v>
      </c>
      <c r="B551" s="9" t="s">
        <v>119</v>
      </c>
      <c r="C551" s="18" t="s">
        <v>720</v>
      </c>
      <c r="D551" s="11">
        <v>5</v>
      </c>
      <c r="G551" s="11">
        <v>13.6</v>
      </c>
      <c r="H551" s="11">
        <v>7.5</v>
      </c>
      <c r="I551" s="11">
        <v>2.1</v>
      </c>
      <c r="J551" s="9"/>
      <c r="K551" s="11">
        <v>11.8</v>
      </c>
      <c r="L551" s="11">
        <v>9.8000000000000007</v>
      </c>
      <c r="N551" s="11">
        <v>2.1</v>
      </c>
      <c r="O551" s="11">
        <v>1.9</v>
      </c>
      <c r="P551" s="13"/>
      <c r="S551" s="11">
        <v>2889.9</v>
      </c>
      <c r="V551" s="13"/>
      <c r="W551" s="13"/>
      <c r="X551" s="13"/>
      <c r="Y551" s="11">
        <v>138.19999999999999</v>
      </c>
      <c r="Z551" s="13"/>
      <c r="AA551" s="13"/>
      <c r="AB551" s="13"/>
      <c r="AC551" s="13"/>
      <c r="AD551" s="13"/>
      <c r="AE551" s="13"/>
      <c r="AF551" s="13"/>
      <c r="AJ551" s="11">
        <v>3081.9</v>
      </c>
      <c r="AK551" s="13">
        <v>6.1</v>
      </c>
      <c r="AL551" s="13">
        <f t="shared" si="22"/>
        <v>3075.8</v>
      </c>
      <c r="AM551" s="23" t="s">
        <v>754</v>
      </c>
      <c r="AN551" s="13"/>
      <c r="AO551" s="13"/>
      <c r="AP551" s="13"/>
      <c r="AQ551" s="13"/>
      <c r="AR551" s="13"/>
    </row>
    <row r="552" spans="1:44" ht="15.75" customHeight="1">
      <c r="A552" s="9" t="s">
        <v>121</v>
      </c>
      <c r="B552" s="9" t="s">
        <v>121</v>
      </c>
      <c r="C552" s="18" t="s">
        <v>720</v>
      </c>
      <c r="D552" s="11">
        <v>194.5</v>
      </c>
      <c r="G552" s="11">
        <v>135.5</v>
      </c>
      <c r="H552" s="11">
        <v>107.8</v>
      </c>
      <c r="I552" s="11">
        <v>110.9</v>
      </c>
      <c r="J552" s="11">
        <v>281.89999999999998</v>
      </c>
      <c r="K552" s="11">
        <v>8.1</v>
      </c>
      <c r="L552" s="11">
        <v>268.5</v>
      </c>
      <c r="N552" s="11">
        <v>10.7</v>
      </c>
      <c r="O552" s="11">
        <v>5.9</v>
      </c>
      <c r="P552" s="13"/>
      <c r="S552" s="11">
        <v>868.5</v>
      </c>
      <c r="V552" s="13"/>
      <c r="W552" s="13"/>
      <c r="X552" s="13"/>
      <c r="Y552" s="11">
        <v>1304</v>
      </c>
      <c r="Z552" s="13"/>
      <c r="AA552" s="13"/>
      <c r="AB552" s="13"/>
      <c r="AC552" s="13"/>
      <c r="AD552" s="13"/>
      <c r="AE552" s="13"/>
      <c r="AF552" s="13"/>
      <c r="AJ552" s="11">
        <v>3296</v>
      </c>
      <c r="AK552" s="13">
        <v>4.8</v>
      </c>
      <c r="AL552" s="13">
        <f t="shared" si="22"/>
        <v>3291.2</v>
      </c>
      <c r="AM552" s="23" t="s">
        <v>755</v>
      </c>
      <c r="AN552" s="13"/>
      <c r="AO552" s="13"/>
      <c r="AP552" s="13"/>
      <c r="AQ552" s="13"/>
      <c r="AR552" s="13"/>
    </row>
    <row r="553" spans="1:44" ht="15.75" customHeight="1">
      <c r="A553" s="9" t="s">
        <v>680</v>
      </c>
      <c r="B553" s="9" t="s">
        <v>680</v>
      </c>
      <c r="C553" s="18" t="s">
        <v>720</v>
      </c>
      <c r="D553" s="11">
        <v>181.8</v>
      </c>
      <c r="G553" s="11">
        <v>29.2</v>
      </c>
      <c r="H553" s="11">
        <v>120.4</v>
      </c>
      <c r="I553" s="11">
        <v>10.9</v>
      </c>
      <c r="J553" s="11">
        <v>42.9</v>
      </c>
      <c r="K553" s="11">
        <v>20.3</v>
      </c>
      <c r="L553" s="11">
        <v>46.8</v>
      </c>
      <c r="N553" s="11">
        <v>5</v>
      </c>
      <c r="O553" s="9">
        <v>2.6</v>
      </c>
      <c r="P553" s="13"/>
      <c r="S553" s="11">
        <v>1020.5</v>
      </c>
      <c r="V553" s="13"/>
      <c r="W553" s="13"/>
      <c r="X553" s="13"/>
      <c r="Y553" s="11">
        <v>25.5</v>
      </c>
      <c r="Z553" s="13"/>
      <c r="AA553" s="13"/>
      <c r="AB553" s="13"/>
      <c r="AC553" s="13"/>
      <c r="AD553" s="13"/>
      <c r="AE553" s="13"/>
      <c r="AF553" s="13"/>
      <c r="AJ553" s="11">
        <v>1505.8</v>
      </c>
      <c r="AK553" s="13"/>
      <c r="AL553" s="13">
        <f t="shared" si="22"/>
        <v>1505.8</v>
      </c>
      <c r="AM553" s="23" t="s">
        <v>756</v>
      </c>
      <c r="AN553" s="13"/>
      <c r="AO553" s="13"/>
      <c r="AP553" s="13"/>
      <c r="AQ553" s="13"/>
      <c r="AR553" s="13"/>
    </row>
    <row r="554" spans="1:44" ht="15.75" customHeight="1">
      <c r="A554" s="9" t="s">
        <v>264</v>
      </c>
      <c r="B554" s="9" t="s">
        <v>264</v>
      </c>
      <c r="C554" s="18" t="s">
        <v>720</v>
      </c>
      <c r="D554" s="11">
        <v>545.9</v>
      </c>
      <c r="G554" s="11">
        <v>36.5</v>
      </c>
      <c r="H554" s="11">
        <v>24.2</v>
      </c>
      <c r="I554" s="11">
        <v>5.5</v>
      </c>
      <c r="J554" s="11">
        <v>233</v>
      </c>
      <c r="K554" s="11">
        <v>12.8</v>
      </c>
      <c r="L554" s="11">
        <v>40.700000000000003</v>
      </c>
      <c r="N554" s="11">
        <v>7.7</v>
      </c>
      <c r="O554" s="11">
        <v>7</v>
      </c>
      <c r="P554" s="13"/>
      <c r="S554" s="11">
        <v>127.4</v>
      </c>
      <c r="V554" s="13"/>
      <c r="W554" s="13"/>
      <c r="X554" s="13"/>
      <c r="Y554" s="11">
        <v>337.1</v>
      </c>
      <c r="Z554" s="13"/>
      <c r="AA554" s="13"/>
      <c r="AB554" s="13"/>
      <c r="AC554" s="13"/>
      <c r="AD554" s="13"/>
      <c r="AE554" s="13"/>
      <c r="AF554" s="13"/>
      <c r="AJ554" s="11">
        <v>1377.8</v>
      </c>
      <c r="AK554" s="13">
        <v>12.1</v>
      </c>
      <c r="AL554" s="13">
        <f t="shared" si="22"/>
        <v>1365.7</v>
      </c>
      <c r="AM554" s="23" t="s">
        <v>757</v>
      </c>
      <c r="AN554" s="13"/>
      <c r="AO554" s="13"/>
      <c r="AP554" s="13"/>
      <c r="AQ554" s="13"/>
      <c r="AR554" s="13"/>
    </row>
    <row r="555" spans="1:44" ht="15.75" customHeight="1">
      <c r="A555" s="9" t="s">
        <v>512</v>
      </c>
      <c r="B555" s="9" t="s">
        <v>131</v>
      </c>
      <c r="C555" s="18" t="s">
        <v>720</v>
      </c>
      <c r="D555" s="11">
        <v>939.3</v>
      </c>
      <c r="G555" s="11">
        <v>127.6</v>
      </c>
      <c r="H555" s="11">
        <v>11.1</v>
      </c>
      <c r="I555" s="11">
        <v>35.700000000000003</v>
      </c>
      <c r="J555" s="11">
        <v>1.7</v>
      </c>
      <c r="K555" s="11">
        <v>23.1</v>
      </c>
      <c r="L555" s="11">
        <v>126.5</v>
      </c>
      <c r="N555" s="11">
        <v>20.7</v>
      </c>
      <c r="O555" s="11">
        <v>33</v>
      </c>
      <c r="P555" s="13"/>
      <c r="S555" s="11">
        <v>420.3</v>
      </c>
      <c r="V555" s="13"/>
      <c r="W555" s="13"/>
      <c r="X555" s="13"/>
      <c r="Y555" s="11">
        <v>5161.3999999999996</v>
      </c>
      <c r="Z555" s="13"/>
      <c r="AA555" s="13"/>
      <c r="AB555" s="13"/>
      <c r="AC555" s="13"/>
      <c r="AD555" s="13"/>
      <c r="AE555" s="13"/>
      <c r="AF555" s="13"/>
      <c r="AJ555" s="11">
        <v>6900.5</v>
      </c>
      <c r="AK555" s="13">
        <v>29.4</v>
      </c>
      <c r="AL555" s="13">
        <f t="shared" si="22"/>
        <v>6871.1</v>
      </c>
      <c r="AM555" s="23" t="s">
        <v>758</v>
      </c>
      <c r="AN555" s="13"/>
      <c r="AO555" s="13"/>
      <c r="AP555" s="13"/>
      <c r="AQ555" s="13"/>
      <c r="AR555" s="13"/>
    </row>
    <row r="556" spans="1:44" ht="15.75" customHeight="1">
      <c r="A556" s="9" t="s">
        <v>684</v>
      </c>
      <c r="B556" s="9" t="s">
        <v>267</v>
      </c>
      <c r="C556" s="18" t="s">
        <v>720</v>
      </c>
      <c r="D556" s="11">
        <v>337.7</v>
      </c>
      <c r="G556" s="11">
        <v>16.7</v>
      </c>
      <c r="H556" s="11">
        <v>8.9</v>
      </c>
      <c r="I556" s="11">
        <v>4.5999999999999996</v>
      </c>
      <c r="J556" s="11">
        <v>4.0999999999999996</v>
      </c>
      <c r="K556" s="11">
        <v>24.1</v>
      </c>
      <c r="L556" s="11">
        <v>4.5</v>
      </c>
      <c r="N556" s="11">
        <v>6</v>
      </c>
      <c r="O556" s="9"/>
      <c r="P556" s="13"/>
      <c r="S556" s="11">
        <v>222.6</v>
      </c>
      <c r="V556" s="13"/>
      <c r="W556" s="13"/>
      <c r="X556" s="13"/>
      <c r="Y556" s="9"/>
      <c r="Z556" s="13"/>
      <c r="AA556" s="13"/>
      <c r="AB556" s="13"/>
      <c r="AC556" s="13"/>
      <c r="AD556" s="13"/>
      <c r="AE556" s="13"/>
      <c r="AF556" s="13"/>
      <c r="AJ556" s="11">
        <v>629.20000000000005</v>
      </c>
      <c r="AK556" s="13"/>
      <c r="AL556" s="13">
        <f t="shared" si="22"/>
        <v>629.20000000000005</v>
      </c>
      <c r="AM556" s="23" t="s">
        <v>759</v>
      </c>
      <c r="AN556" s="13"/>
      <c r="AO556" s="13"/>
      <c r="AP556" s="13"/>
      <c r="AQ556" s="13"/>
      <c r="AR556" s="13"/>
    </row>
    <row r="557" spans="1:44" ht="15.75" customHeight="1">
      <c r="A557" s="9" t="s">
        <v>686</v>
      </c>
      <c r="B557" s="9" t="s">
        <v>686</v>
      </c>
      <c r="C557" s="18" t="s">
        <v>720</v>
      </c>
      <c r="D557" s="11">
        <v>222.3</v>
      </c>
      <c r="G557" s="11">
        <v>6.6</v>
      </c>
      <c r="H557" s="11">
        <v>9.8000000000000007</v>
      </c>
      <c r="I557" s="11">
        <v>1.3</v>
      </c>
      <c r="J557" s="11">
        <v>45.6</v>
      </c>
      <c r="K557" s="11">
        <v>5.2</v>
      </c>
      <c r="L557" s="11">
        <v>6.9</v>
      </c>
      <c r="N557" s="11">
        <v>1.5</v>
      </c>
      <c r="O557" s="11">
        <v>1.5</v>
      </c>
      <c r="P557" s="13"/>
      <c r="S557" s="11">
        <v>34.799999999999997</v>
      </c>
      <c r="V557" s="13"/>
      <c r="W557" s="13"/>
      <c r="X557" s="13"/>
      <c r="Y557" s="11">
        <v>1102.9000000000001</v>
      </c>
      <c r="Z557" s="13"/>
      <c r="AA557" s="13"/>
      <c r="AB557" s="13"/>
      <c r="AC557" s="13"/>
      <c r="AD557" s="13"/>
      <c r="AE557" s="13"/>
      <c r="AF557" s="13"/>
      <c r="AJ557" s="11">
        <v>1438.6</v>
      </c>
      <c r="AK557" s="13">
        <v>698.1</v>
      </c>
      <c r="AL557" s="13">
        <f t="shared" si="22"/>
        <v>740.49999999999989</v>
      </c>
      <c r="AM557" s="23" t="s">
        <v>760</v>
      </c>
      <c r="AN557" s="13"/>
      <c r="AO557" s="13"/>
      <c r="AP557" s="13"/>
      <c r="AQ557" s="13"/>
      <c r="AR557" s="13"/>
    </row>
    <row r="558" spans="1:44" ht="15.75" customHeight="1">
      <c r="A558" s="9" t="s">
        <v>688</v>
      </c>
      <c r="B558" s="9" t="s">
        <v>688</v>
      </c>
      <c r="C558" s="18" t="s">
        <v>720</v>
      </c>
      <c r="D558" s="11">
        <v>2231.1999999999998</v>
      </c>
      <c r="G558" s="11">
        <v>412.5</v>
      </c>
      <c r="H558" s="11">
        <v>36.4</v>
      </c>
      <c r="I558" s="11">
        <v>20</v>
      </c>
      <c r="J558" s="11">
        <v>226.4</v>
      </c>
      <c r="K558" s="11">
        <v>951.2</v>
      </c>
      <c r="L558" s="11">
        <v>159.4</v>
      </c>
      <c r="N558" s="9">
        <v>49.1</v>
      </c>
      <c r="O558" s="11">
        <v>39.299999999999997</v>
      </c>
      <c r="P558" s="13"/>
      <c r="S558" s="11">
        <v>8269.2000000000007</v>
      </c>
      <c r="V558" s="13"/>
      <c r="W558" s="13"/>
      <c r="X558" s="13"/>
      <c r="Y558" s="11">
        <v>683.2</v>
      </c>
      <c r="Z558" s="13"/>
      <c r="AA558" s="13"/>
      <c r="AB558" s="13"/>
      <c r="AC558" s="13"/>
      <c r="AD558" s="13"/>
      <c r="AE558" s="13"/>
      <c r="AF558" s="13"/>
      <c r="AJ558" s="11">
        <v>13077.8</v>
      </c>
      <c r="AK558" s="13"/>
      <c r="AL558" s="13">
        <f t="shared" si="22"/>
        <v>13077.8</v>
      </c>
      <c r="AM558" s="23" t="s">
        <v>761</v>
      </c>
      <c r="AN558" s="13"/>
      <c r="AO558" s="13"/>
      <c r="AP558" s="13"/>
      <c r="AQ558" s="13"/>
      <c r="AR558" s="13"/>
    </row>
    <row r="559" spans="1:44" ht="15.75" customHeight="1">
      <c r="A559" s="9" t="s">
        <v>275</v>
      </c>
      <c r="B559" s="9" t="s">
        <v>275</v>
      </c>
      <c r="C559" s="18" t="s">
        <v>720</v>
      </c>
      <c r="D559" s="11">
        <v>63.4</v>
      </c>
      <c r="G559" s="11">
        <v>41.6</v>
      </c>
      <c r="H559" s="11">
        <v>31.7</v>
      </c>
      <c r="I559" s="9">
        <v>5.5</v>
      </c>
      <c r="J559" s="11">
        <v>20.3</v>
      </c>
      <c r="K559" s="11">
        <v>16.899999999999999</v>
      </c>
      <c r="L559" s="11">
        <v>27.2</v>
      </c>
      <c r="N559" s="9">
        <v>5.0999999999999996</v>
      </c>
      <c r="O559" s="11">
        <v>1.7</v>
      </c>
      <c r="P559" s="13"/>
      <c r="S559" s="11">
        <v>97.2</v>
      </c>
      <c r="V559" s="13"/>
      <c r="W559" s="13"/>
      <c r="X559" s="13"/>
      <c r="Y559" s="11">
        <v>390.1</v>
      </c>
      <c r="Z559" s="13"/>
      <c r="AA559" s="13"/>
      <c r="AB559" s="13"/>
      <c r="AC559" s="13"/>
      <c r="AD559" s="13"/>
      <c r="AE559" s="13"/>
      <c r="AF559" s="13"/>
      <c r="AJ559" s="11">
        <v>700.8</v>
      </c>
      <c r="AK559" s="13"/>
      <c r="AL559" s="13">
        <f t="shared" si="22"/>
        <v>700.8</v>
      </c>
      <c r="AM559" s="23" t="s">
        <v>762</v>
      </c>
      <c r="AN559" s="13"/>
      <c r="AO559" s="13"/>
      <c r="AP559" s="13"/>
      <c r="AQ559" s="13"/>
      <c r="AR559" s="13"/>
    </row>
    <row r="560" spans="1:44" ht="15.75" customHeight="1">
      <c r="A560" s="9" t="s">
        <v>280</v>
      </c>
      <c r="B560" s="9" t="s">
        <v>280</v>
      </c>
      <c r="C560" s="18" t="s">
        <v>720</v>
      </c>
      <c r="D560" s="11">
        <v>893.2</v>
      </c>
      <c r="G560" s="11">
        <v>75.2</v>
      </c>
      <c r="H560" s="11">
        <v>60.4</v>
      </c>
      <c r="I560" s="11">
        <v>11.2</v>
      </c>
      <c r="J560" s="11">
        <v>95.7</v>
      </c>
      <c r="K560" s="11">
        <v>52.8</v>
      </c>
      <c r="L560" s="11">
        <v>40.5</v>
      </c>
      <c r="N560" s="11">
        <v>5.3</v>
      </c>
      <c r="O560" s="11">
        <v>4.8</v>
      </c>
      <c r="P560" s="13"/>
      <c r="S560" s="11">
        <v>568.20000000000005</v>
      </c>
      <c r="V560" s="13"/>
      <c r="W560" s="13"/>
      <c r="X560" s="13"/>
      <c r="Y560" s="11">
        <v>2099.1</v>
      </c>
      <c r="Z560" s="13"/>
      <c r="AA560" s="13"/>
      <c r="AB560" s="13"/>
      <c r="AC560" s="13"/>
      <c r="AD560" s="13"/>
      <c r="AE560" s="13"/>
      <c r="AF560" s="13"/>
      <c r="AJ560" s="11">
        <v>3906.3</v>
      </c>
      <c r="AK560" s="13"/>
      <c r="AL560" s="13">
        <f t="shared" si="22"/>
        <v>3906.3</v>
      </c>
      <c r="AM560" s="23" t="s">
        <v>763</v>
      </c>
      <c r="AN560" s="13"/>
      <c r="AO560" s="13"/>
      <c r="AP560" s="13"/>
      <c r="AQ560" s="13"/>
      <c r="AR560" s="13"/>
    </row>
    <row r="561" spans="1:44" ht="15.75" customHeight="1">
      <c r="A561" s="9" t="s">
        <v>148</v>
      </c>
      <c r="B561" s="9" t="s">
        <v>148</v>
      </c>
      <c r="C561" s="18" t="s">
        <v>720</v>
      </c>
      <c r="D561" s="11">
        <v>7265.5</v>
      </c>
      <c r="G561" s="11">
        <v>507.9</v>
      </c>
      <c r="H561" s="11">
        <v>52.6</v>
      </c>
      <c r="I561" s="11">
        <v>69</v>
      </c>
      <c r="J561" s="11">
        <v>20.6</v>
      </c>
      <c r="K561" s="11">
        <v>23.9</v>
      </c>
      <c r="L561" s="11">
        <v>128.30000000000001</v>
      </c>
      <c r="N561" s="11">
        <v>157.6</v>
      </c>
      <c r="O561" s="11">
        <v>63</v>
      </c>
      <c r="P561" s="13"/>
      <c r="S561" s="11">
        <v>3446.6</v>
      </c>
      <c r="V561" s="13"/>
      <c r="W561" s="13"/>
      <c r="X561" s="13"/>
      <c r="Y561" s="11">
        <v>770.9</v>
      </c>
      <c r="Z561" s="13"/>
      <c r="AA561" s="13"/>
      <c r="AB561" s="13"/>
      <c r="AC561" s="13"/>
      <c r="AD561" s="13"/>
      <c r="AE561" s="13"/>
      <c r="AF561" s="13"/>
      <c r="AJ561" s="11">
        <v>12506</v>
      </c>
      <c r="AK561" s="13"/>
      <c r="AL561" s="13">
        <f t="shared" si="22"/>
        <v>12506</v>
      </c>
      <c r="AM561" s="23" t="s">
        <v>764</v>
      </c>
      <c r="AN561" s="13"/>
      <c r="AO561" s="13"/>
      <c r="AP561" s="13"/>
      <c r="AQ561" s="13"/>
      <c r="AR561" s="13"/>
    </row>
    <row r="562" spans="1:44" ht="15.75" customHeight="1">
      <c r="A562" s="9" t="s">
        <v>693</v>
      </c>
      <c r="B562" s="9" t="s">
        <v>150</v>
      </c>
      <c r="C562" s="18" t="s">
        <v>720</v>
      </c>
      <c r="D562" s="11">
        <v>1584.6</v>
      </c>
      <c r="G562" s="9"/>
      <c r="H562" s="9"/>
      <c r="I562" s="9"/>
      <c r="J562" s="9"/>
      <c r="K562" s="9"/>
      <c r="L562" s="9"/>
      <c r="N562" s="9"/>
      <c r="O562" s="9"/>
      <c r="P562" s="13"/>
      <c r="S562" s="9">
        <v>1609.4</v>
      </c>
      <c r="V562" s="13"/>
      <c r="W562" s="13"/>
      <c r="X562" s="13"/>
      <c r="Y562" s="9"/>
      <c r="Z562" s="13"/>
      <c r="AA562" s="13"/>
      <c r="AB562" s="13"/>
      <c r="AC562" s="13"/>
      <c r="AD562" s="13"/>
      <c r="AE562" s="13"/>
      <c r="AF562" s="13"/>
      <c r="AJ562" s="9">
        <v>3194</v>
      </c>
      <c r="AK562" s="13"/>
      <c r="AL562" s="13">
        <f t="shared" si="22"/>
        <v>3194</v>
      </c>
      <c r="AM562" s="28" t="s">
        <v>765</v>
      </c>
      <c r="AN562" s="13"/>
      <c r="AO562" s="13"/>
      <c r="AP562" s="13"/>
      <c r="AQ562" s="13"/>
      <c r="AR562" s="13"/>
    </row>
    <row r="563" spans="1:44" ht="15.75" customHeight="1">
      <c r="A563" s="9" t="s">
        <v>152</v>
      </c>
      <c r="B563" s="9" t="s">
        <v>152</v>
      </c>
      <c r="C563" s="18" t="s">
        <v>720</v>
      </c>
      <c r="D563" s="9"/>
      <c r="G563" s="9"/>
      <c r="H563" s="9"/>
      <c r="I563" s="9"/>
      <c r="J563" s="9"/>
      <c r="K563" s="9"/>
      <c r="L563" s="9"/>
      <c r="N563" s="9"/>
      <c r="O563" s="9"/>
      <c r="P563" s="13"/>
      <c r="V563" s="13"/>
      <c r="W563" s="13"/>
      <c r="X563" s="13"/>
      <c r="Y563" s="11">
        <v>29044.1</v>
      </c>
      <c r="Z563" s="13"/>
      <c r="AA563" s="13"/>
      <c r="AB563" s="13"/>
      <c r="AC563" s="13"/>
      <c r="AD563" s="13"/>
      <c r="AE563" s="13"/>
      <c r="AF563" s="13"/>
      <c r="AJ563" s="9">
        <v>29044.1</v>
      </c>
      <c r="AK563" s="13"/>
      <c r="AL563" s="13">
        <f t="shared" si="22"/>
        <v>29044.1</v>
      </c>
      <c r="AM563" s="28" t="s">
        <v>766</v>
      </c>
      <c r="AN563" s="13"/>
      <c r="AO563" s="13"/>
      <c r="AP563" s="13"/>
      <c r="AQ563" s="13"/>
      <c r="AR563" s="13"/>
    </row>
    <row r="564" spans="1:44" ht="15.75" customHeight="1">
      <c r="A564" s="9" t="s">
        <v>154</v>
      </c>
      <c r="B564" s="9" t="s">
        <v>154</v>
      </c>
      <c r="C564" s="18" t="s">
        <v>720</v>
      </c>
      <c r="D564" s="11">
        <v>1168.8</v>
      </c>
      <c r="G564" s="11">
        <v>107.4</v>
      </c>
      <c r="H564" s="11">
        <v>9.3000000000000007</v>
      </c>
      <c r="I564" s="24">
        <v>7.7</v>
      </c>
      <c r="J564" s="11">
        <v>128.30000000000001</v>
      </c>
      <c r="K564" s="11">
        <v>73.3</v>
      </c>
      <c r="L564" s="11">
        <v>57.9</v>
      </c>
      <c r="N564" s="11">
        <v>13</v>
      </c>
      <c r="O564" s="9">
        <v>6.7</v>
      </c>
      <c r="P564" s="13"/>
      <c r="S564" s="9">
        <v>243.4</v>
      </c>
      <c r="V564" s="13"/>
      <c r="W564" s="13"/>
      <c r="X564" s="13"/>
      <c r="Y564" s="24">
        <v>0</v>
      </c>
      <c r="Z564" s="13"/>
      <c r="AA564" s="13"/>
      <c r="AB564" s="13"/>
      <c r="AC564" s="13"/>
      <c r="AD564" s="13"/>
      <c r="AE564" s="13"/>
      <c r="AF564" s="13"/>
      <c r="AJ564" s="9">
        <v>1815.8</v>
      </c>
      <c r="AK564" s="13"/>
      <c r="AL564" s="13">
        <f t="shared" si="22"/>
        <v>1815.8</v>
      </c>
      <c r="AM564" s="28" t="s">
        <v>767</v>
      </c>
      <c r="AN564" s="13"/>
      <c r="AO564" s="13"/>
      <c r="AP564" s="13"/>
      <c r="AQ564" s="13"/>
      <c r="AR564" s="13"/>
    </row>
    <row r="565" spans="1:44" ht="15.75" customHeight="1">
      <c r="A565" s="9" t="s">
        <v>156</v>
      </c>
      <c r="B565" s="9" t="s">
        <v>156</v>
      </c>
      <c r="C565" s="18" t="s">
        <v>720</v>
      </c>
      <c r="D565" s="11">
        <v>121.4</v>
      </c>
      <c r="G565" s="11">
        <v>16.3</v>
      </c>
      <c r="H565" s="11">
        <v>1.3</v>
      </c>
      <c r="I565" s="24">
        <v>4.3</v>
      </c>
      <c r="J565" s="11">
        <v>17.100000000000001</v>
      </c>
      <c r="K565" s="11">
        <v>31.7</v>
      </c>
      <c r="L565" s="11">
        <v>17.100000000000001</v>
      </c>
      <c r="N565" s="11">
        <v>1.5</v>
      </c>
      <c r="P565" s="13"/>
      <c r="S565" s="9">
        <v>51.4</v>
      </c>
      <c r="V565" s="13"/>
      <c r="W565" s="13"/>
      <c r="X565" s="13"/>
      <c r="Y565" s="9">
        <v>370.5</v>
      </c>
      <c r="Z565" s="13"/>
      <c r="AA565" s="13"/>
      <c r="AB565" s="13"/>
      <c r="AC565" s="13"/>
      <c r="AD565" s="13"/>
      <c r="AE565" s="13"/>
      <c r="AF565" s="13"/>
      <c r="AJ565" s="11">
        <v>632.70000000000005</v>
      </c>
      <c r="AK565" s="13"/>
      <c r="AL565" s="13">
        <f t="shared" si="22"/>
        <v>632.70000000000005</v>
      </c>
      <c r="AM565" s="28" t="s">
        <v>768</v>
      </c>
      <c r="AN565" s="13"/>
      <c r="AO565" s="13"/>
      <c r="AP565" s="13"/>
      <c r="AQ565" s="13"/>
      <c r="AR565" s="13"/>
    </row>
    <row r="566" spans="1:44" ht="15.75" customHeight="1">
      <c r="A566" s="9" t="s">
        <v>158</v>
      </c>
      <c r="B566" s="9" t="s">
        <v>158</v>
      </c>
      <c r="C566" s="18" t="s">
        <v>720</v>
      </c>
      <c r="D566" s="11">
        <v>171</v>
      </c>
      <c r="G566" s="11">
        <v>6.9</v>
      </c>
      <c r="H566" s="11">
        <v>1.2</v>
      </c>
      <c r="I566" s="24">
        <v>1.6</v>
      </c>
      <c r="J566" s="11">
        <v>13.2</v>
      </c>
      <c r="K566" s="11">
        <v>7.2</v>
      </c>
      <c r="L566" s="11">
        <v>12.5</v>
      </c>
      <c r="N566" s="11">
        <v>6.1</v>
      </c>
      <c r="O566" s="11">
        <v>1.2</v>
      </c>
      <c r="P566" s="13"/>
      <c r="S566" s="9">
        <v>160.4</v>
      </c>
      <c r="V566" s="13"/>
      <c r="W566" s="13"/>
      <c r="X566" s="13"/>
      <c r="Z566" s="13"/>
      <c r="AA566" s="13"/>
      <c r="AB566" s="13"/>
      <c r="AC566" s="13"/>
      <c r="AD566" s="13"/>
      <c r="AE566" s="13"/>
      <c r="AF566" s="13"/>
      <c r="AJ566" s="9">
        <v>381.3</v>
      </c>
      <c r="AK566" s="13"/>
      <c r="AL566" s="13">
        <f t="shared" ref="AL566:AL597" si="23">AJ566-AK566</f>
        <v>381.3</v>
      </c>
      <c r="AM566" s="28" t="s">
        <v>769</v>
      </c>
      <c r="AN566" s="13"/>
      <c r="AO566" s="13"/>
      <c r="AP566" s="13"/>
      <c r="AQ566" s="13"/>
      <c r="AR566" s="13"/>
    </row>
    <row r="567" spans="1:44" ht="15.75" customHeight="1">
      <c r="A567" s="9" t="s">
        <v>164</v>
      </c>
      <c r="B567" s="9" t="s">
        <v>164</v>
      </c>
      <c r="C567" s="18" t="s">
        <v>720</v>
      </c>
      <c r="D567" s="11">
        <v>210.8</v>
      </c>
      <c r="G567" s="11">
        <v>22.4</v>
      </c>
      <c r="H567" s="11">
        <v>16.8</v>
      </c>
      <c r="I567" s="24">
        <v>10</v>
      </c>
      <c r="J567" s="11">
        <v>46.9</v>
      </c>
      <c r="K567" s="9">
        <v>7.9</v>
      </c>
      <c r="L567" s="11">
        <v>8.3000000000000007</v>
      </c>
      <c r="N567" s="11">
        <v>6</v>
      </c>
      <c r="O567" s="11">
        <v>0.9</v>
      </c>
      <c r="P567" s="13"/>
      <c r="S567" s="9">
        <v>52.2</v>
      </c>
      <c r="V567" s="13"/>
      <c r="W567" s="13"/>
      <c r="X567" s="13"/>
      <c r="Y567" s="24">
        <v>37.200000000000003</v>
      </c>
      <c r="Z567" s="13"/>
      <c r="AA567" s="13"/>
      <c r="AB567" s="13"/>
      <c r="AC567" s="13"/>
      <c r="AD567" s="13"/>
      <c r="AE567" s="13"/>
      <c r="AF567" s="13"/>
      <c r="AJ567" s="11">
        <v>419.5</v>
      </c>
      <c r="AK567" s="13"/>
      <c r="AL567" s="13">
        <f t="shared" si="23"/>
        <v>419.5</v>
      </c>
      <c r="AM567" s="28" t="s">
        <v>770</v>
      </c>
      <c r="AN567" s="13"/>
      <c r="AO567" s="13"/>
      <c r="AP567" s="13"/>
      <c r="AQ567" s="13"/>
      <c r="AR567" s="13"/>
    </row>
    <row r="568" spans="1:44" ht="15.75" customHeight="1">
      <c r="A568" s="9" t="s">
        <v>700</v>
      </c>
      <c r="B568" s="9" t="s">
        <v>166</v>
      </c>
      <c r="C568" s="18" t="s">
        <v>720</v>
      </c>
      <c r="D568" s="11">
        <v>707.9</v>
      </c>
      <c r="G568" s="11">
        <v>65.8</v>
      </c>
      <c r="H568" s="11">
        <v>21.3</v>
      </c>
      <c r="I568" s="24">
        <v>36.299999999999997</v>
      </c>
      <c r="J568" s="11">
        <v>25.9</v>
      </c>
      <c r="K568" s="11">
        <v>19.399999999999999</v>
      </c>
      <c r="L568" s="11">
        <v>194.8</v>
      </c>
      <c r="N568" s="11">
        <v>7.6</v>
      </c>
      <c r="P568" s="13"/>
      <c r="S568" s="9">
        <v>167.3</v>
      </c>
      <c r="V568" s="13"/>
      <c r="W568" s="13"/>
      <c r="X568" s="13"/>
      <c r="Y568" s="9"/>
      <c r="Z568" s="13"/>
      <c r="AA568" s="13"/>
      <c r="AB568" s="13"/>
      <c r="AC568" s="13"/>
      <c r="AD568" s="13"/>
      <c r="AE568" s="13"/>
      <c r="AF568" s="13"/>
      <c r="AJ568" s="9">
        <v>1246.3</v>
      </c>
      <c r="AK568" s="13"/>
      <c r="AL568" s="13">
        <f t="shared" si="23"/>
        <v>1246.3</v>
      </c>
      <c r="AM568" s="28" t="s">
        <v>771</v>
      </c>
      <c r="AN568" s="13"/>
      <c r="AO568" s="13"/>
      <c r="AP568" s="13"/>
      <c r="AQ568" s="13"/>
      <c r="AR568" s="13"/>
    </row>
    <row r="569" spans="1:44" ht="15.75" customHeight="1">
      <c r="A569" s="9" t="s">
        <v>168</v>
      </c>
      <c r="B569" s="9" t="s">
        <v>168</v>
      </c>
      <c r="C569" s="18" t="s">
        <v>720</v>
      </c>
      <c r="D569" s="11">
        <v>4544.2</v>
      </c>
      <c r="G569" s="9"/>
      <c r="H569" s="9"/>
      <c r="I569" s="9"/>
      <c r="J569" s="9"/>
      <c r="K569" s="9"/>
      <c r="L569" s="9"/>
      <c r="N569" s="9"/>
      <c r="O569" s="9"/>
      <c r="P569" s="13"/>
      <c r="S569" s="11">
        <v>15048.3</v>
      </c>
      <c r="V569" s="13"/>
      <c r="W569" s="13"/>
      <c r="X569" s="13"/>
      <c r="Y569" s="9"/>
      <c r="Z569" s="13"/>
      <c r="AA569" s="13"/>
      <c r="AB569" s="13"/>
      <c r="AC569" s="13"/>
      <c r="AD569" s="13"/>
      <c r="AE569" s="13"/>
      <c r="AF569" s="13"/>
      <c r="AJ569" s="24">
        <v>19592.5</v>
      </c>
      <c r="AK569" s="13"/>
      <c r="AL569" s="13">
        <f t="shared" si="23"/>
        <v>19592.5</v>
      </c>
      <c r="AM569" s="28" t="s">
        <v>772</v>
      </c>
      <c r="AN569" s="13"/>
      <c r="AO569" s="13"/>
      <c r="AP569" s="13"/>
      <c r="AQ569" s="13"/>
      <c r="AR569" s="13"/>
    </row>
    <row r="570" spans="1:44" ht="15.75" customHeight="1">
      <c r="A570" s="9" t="s">
        <v>170</v>
      </c>
      <c r="B570" s="9" t="s">
        <v>170</v>
      </c>
      <c r="C570" s="18" t="s">
        <v>720</v>
      </c>
      <c r="D570" s="11">
        <v>4198.6000000000004</v>
      </c>
      <c r="G570" s="11">
        <v>983.2</v>
      </c>
      <c r="H570" s="11">
        <v>824.3</v>
      </c>
      <c r="I570" s="11">
        <v>107</v>
      </c>
      <c r="J570" s="11">
        <v>271</v>
      </c>
      <c r="K570" s="11">
        <v>211</v>
      </c>
      <c r="L570" s="11">
        <v>217.5</v>
      </c>
      <c r="N570" s="11">
        <v>41.1</v>
      </c>
      <c r="O570" s="11">
        <v>80.599999999999994</v>
      </c>
      <c r="P570" s="13"/>
      <c r="S570" s="9">
        <v>1625.9</v>
      </c>
      <c r="V570" s="13"/>
      <c r="W570" s="13"/>
      <c r="X570" s="13"/>
      <c r="Y570" s="24">
        <v>5</v>
      </c>
      <c r="Z570" s="13"/>
      <c r="AA570" s="13"/>
      <c r="AB570" s="13"/>
      <c r="AC570" s="13"/>
      <c r="AD570" s="13"/>
      <c r="AE570" s="13"/>
      <c r="AF570" s="13"/>
      <c r="AJ570" s="11">
        <v>8565.2000000000007</v>
      </c>
      <c r="AK570" s="13"/>
      <c r="AL570" s="13">
        <f t="shared" si="23"/>
        <v>8565.2000000000007</v>
      </c>
      <c r="AM570" s="28" t="s">
        <v>773</v>
      </c>
      <c r="AN570" s="13"/>
      <c r="AO570" s="13"/>
      <c r="AP570" s="13"/>
      <c r="AQ570" s="13"/>
      <c r="AR570" s="13"/>
    </row>
    <row r="571" spans="1:44" ht="15.75" customHeight="1">
      <c r="A571" s="9" t="s">
        <v>293</v>
      </c>
      <c r="B571" s="9" t="s">
        <v>293</v>
      </c>
      <c r="C571" s="18" t="s">
        <v>720</v>
      </c>
      <c r="D571" s="11">
        <v>9388.9</v>
      </c>
      <c r="G571" s="11">
        <v>3009.6</v>
      </c>
      <c r="H571" s="11">
        <v>1486.5</v>
      </c>
      <c r="I571" s="11">
        <v>43.6</v>
      </c>
      <c r="K571" s="11">
        <v>135.80000000000001</v>
      </c>
      <c r="L571" s="11">
        <v>264.8</v>
      </c>
      <c r="N571" s="11">
        <v>31.9</v>
      </c>
      <c r="O571" s="11">
        <v>16.7</v>
      </c>
      <c r="P571" s="13"/>
      <c r="S571" s="9">
        <v>1414.4</v>
      </c>
      <c r="V571" s="13"/>
      <c r="W571" s="13"/>
      <c r="X571" s="13"/>
      <c r="Y571" s="24">
        <v>5</v>
      </c>
      <c r="Z571" s="13"/>
      <c r="AA571" s="13"/>
      <c r="AB571" s="13"/>
      <c r="AC571" s="13"/>
      <c r="AD571" s="13"/>
      <c r="AE571" s="13"/>
      <c r="AF571" s="13"/>
      <c r="AJ571" s="11">
        <v>15797.2</v>
      </c>
      <c r="AK571" s="13"/>
      <c r="AL571" s="13">
        <f t="shared" si="23"/>
        <v>15797.2</v>
      </c>
      <c r="AM571" s="28" t="s">
        <v>774</v>
      </c>
      <c r="AN571" s="13"/>
      <c r="AO571" s="13"/>
      <c r="AP571" s="13"/>
      <c r="AQ571" s="13"/>
      <c r="AR571" s="13"/>
    </row>
    <row r="572" spans="1:44" ht="15.75" customHeight="1">
      <c r="A572" s="9" t="s">
        <v>176</v>
      </c>
      <c r="B572" s="9" t="s">
        <v>176</v>
      </c>
      <c r="C572" s="18" t="s">
        <v>720</v>
      </c>
      <c r="D572" s="11">
        <v>2.2999999999999998</v>
      </c>
      <c r="G572" s="11">
        <v>46.3</v>
      </c>
      <c r="H572" s="11">
        <v>48.4</v>
      </c>
      <c r="I572" s="11">
        <v>14.4</v>
      </c>
      <c r="J572" s="11">
        <v>10</v>
      </c>
      <c r="K572" s="11">
        <v>145.80000000000001</v>
      </c>
      <c r="L572" s="11">
        <v>100.7</v>
      </c>
      <c r="N572" s="11">
        <v>0.6</v>
      </c>
      <c r="O572" s="11">
        <v>0.5</v>
      </c>
      <c r="P572" s="13"/>
      <c r="S572" s="9">
        <v>54.7</v>
      </c>
      <c r="V572" s="13"/>
      <c r="W572" s="13"/>
      <c r="X572" s="13"/>
      <c r="Y572" s="9"/>
      <c r="Z572" s="13"/>
      <c r="AA572" s="13"/>
      <c r="AB572" s="13"/>
      <c r="AC572" s="13"/>
      <c r="AD572" s="13"/>
      <c r="AE572" s="13"/>
      <c r="AF572" s="13"/>
      <c r="AJ572" s="11">
        <v>423.8</v>
      </c>
      <c r="AK572" s="13"/>
      <c r="AL572" s="13">
        <f t="shared" si="23"/>
        <v>423.8</v>
      </c>
      <c r="AM572" s="23" t="s">
        <v>775</v>
      </c>
      <c r="AN572" s="13"/>
      <c r="AO572" s="13"/>
      <c r="AP572" s="13"/>
      <c r="AQ572" s="13"/>
      <c r="AR572" s="13"/>
    </row>
    <row r="573" spans="1:44" ht="15.75" customHeight="1">
      <c r="A573" s="9" t="s">
        <v>706</v>
      </c>
      <c r="B573" s="9" t="s">
        <v>706</v>
      </c>
      <c r="C573" s="18" t="s">
        <v>720</v>
      </c>
      <c r="D573" s="11">
        <v>155.80000000000001</v>
      </c>
      <c r="G573" s="11">
        <v>10.6</v>
      </c>
      <c r="H573" s="11">
        <v>2.8</v>
      </c>
      <c r="I573" s="9">
        <v>4.5999999999999996</v>
      </c>
      <c r="J573" s="11">
        <v>45</v>
      </c>
      <c r="K573" s="11">
        <v>8.8000000000000007</v>
      </c>
      <c r="L573" s="11">
        <v>14.6</v>
      </c>
      <c r="N573" s="11">
        <v>4.7</v>
      </c>
      <c r="O573" s="11">
        <v>2.2999999999999998</v>
      </c>
      <c r="P573" s="13"/>
      <c r="S573" s="11">
        <v>60.6</v>
      </c>
      <c r="V573" s="13"/>
      <c r="W573" s="13"/>
      <c r="X573" s="13"/>
      <c r="Y573" s="9"/>
      <c r="Z573" s="13"/>
      <c r="AA573" s="13"/>
      <c r="AB573" s="13"/>
      <c r="AC573" s="13"/>
      <c r="AD573" s="13"/>
      <c r="AE573" s="13"/>
      <c r="AF573" s="13"/>
      <c r="AJ573" s="24">
        <v>309.8</v>
      </c>
      <c r="AK573" s="13"/>
      <c r="AL573" s="13">
        <f t="shared" si="23"/>
        <v>309.8</v>
      </c>
      <c r="AM573" s="23" t="s">
        <v>776</v>
      </c>
      <c r="AN573" s="13"/>
      <c r="AO573" s="13"/>
      <c r="AP573" s="13"/>
      <c r="AQ573" s="13"/>
      <c r="AR573" s="13"/>
    </row>
    <row r="574" spans="1:44" ht="15.75" customHeight="1">
      <c r="A574" s="9" t="s">
        <v>181</v>
      </c>
      <c r="B574" s="9" t="s">
        <v>181</v>
      </c>
      <c r="C574" s="18" t="s">
        <v>720</v>
      </c>
      <c r="D574" s="11">
        <v>568.20000000000005</v>
      </c>
      <c r="G574" s="11">
        <v>64.5</v>
      </c>
      <c r="H574" s="11">
        <v>16.2</v>
      </c>
      <c r="I574" s="11">
        <v>30.1</v>
      </c>
      <c r="J574" s="11">
        <v>6.9</v>
      </c>
      <c r="K574" s="11">
        <v>32.1</v>
      </c>
      <c r="L574" s="11">
        <v>55.2</v>
      </c>
      <c r="N574" s="11">
        <v>4.7</v>
      </c>
      <c r="O574" s="11">
        <v>7</v>
      </c>
      <c r="P574" s="13"/>
      <c r="S574" s="11">
        <v>433.3</v>
      </c>
      <c r="V574" s="13"/>
      <c r="W574" s="13"/>
      <c r="X574" s="13"/>
      <c r="Y574" s="11">
        <v>0.3</v>
      </c>
      <c r="Z574" s="13"/>
      <c r="AA574" s="13"/>
      <c r="AB574" s="13"/>
      <c r="AC574" s="13"/>
      <c r="AD574" s="13"/>
      <c r="AE574" s="13"/>
      <c r="AF574" s="13"/>
      <c r="AJ574" s="24">
        <v>1218.5999999999999</v>
      </c>
      <c r="AK574" s="13">
        <v>0.7</v>
      </c>
      <c r="AL574" s="13">
        <f t="shared" si="23"/>
        <v>1217.8999999999999</v>
      </c>
      <c r="AM574" s="23" t="s">
        <v>777</v>
      </c>
      <c r="AN574" s="13"/>
      <c r="AO574" s="13"/>
      <c r="AP574" s="13"/>
      <c r="AQ574" s="13"/>
      <c r="AR574" s="13"/>
    </row>
    <row r="575" spans="1:44" ht="15.75" customHeight="1">
      <c r="A575" s="9" t="s">
        <v>709</v>
      </c>
      <c r="B575" s="9" t="s">
        <v>183</v>
      </c>
      <c r="C575" s="18" t="s">
        <v>720</v>
      </c>
      <c r="D575" s="11">
        <v>258.60000000000002</v>
      </c>
      <c r="G575" s="11">
        <v>23.7</v>
      </c>
      <c r="H575" s="11">
        <v>4.5</v>
      </c>
      <c r="I575" s="11">
        <v>3.9</v>
      </c>
      <c r="J575" s="11">
        <v>28.7</v>
      </c>
      <c r="K575" s="11">
        <v>5.2</v>
      </c>
      <c r="L575" s="11">
        <v>91.8</v>
      </c>
      <c r="N575" s="11">
        <v>2.2000000000000002</v>
      </c>
      <c r="O575" s="11">
        <v>4.0999999999999996</v>
      </c>
      <c r="P575" s="13"/>
      <c r="S575" s="11">
        <v>107.3</v>
      </c>
      <c r="V575" s="13"/>
      <c r="W575" s="13"/>
      <c r="X575" s="13"/>
      <c r="Y575" s="9"/>
      <c r="Z575" s="13"/>
      <c r="AA575" s="13"/>
      <c r="AB575" s="13"/>
      <c r="AC575" s="13"/>
      <c r="AD575" s="13"/>
      <c r="AE575" s="13"/>
      <c r="AF575" s="13"/>
      <c r="AJ575" s="24">
        <v>529.9</v>
      </c>
      <c r="AK575" s="13">
        <v>0.1</v>
      </c>
      <c r="AL575" s="13">
        <f t="shared" si="23"/>
        <v>529.79999999999995</v>
      </c>
      <c r="AM575" s="23" t="s">
        <v>778</v>
      </c>
      <c r="AN575" s="13"/>
      <c r="AO575" s="13"/>
      <c r="AP575" s="13"/>
      <c r="AQ575" s="13"/>
      <c r="AR575" s="13"/>
    </row>
    <row r="576" spans="1:44" ht="15.75" customHeight="1">
      <c r="A576" s="9" t="s">
        <v>185</v>
      </c>
      <c r="B576" s="9" t="s">
        <v>185</v>
      </c>
      <c r="C576" s="18" t="s">
        <v>720</v>
      </c>
      <c r="D576" s="11">
        <v>189555.9</v>
      </c>
      <c r="G576" s="11">
        <v>142.4</v>
      </c>
      <c r="H576" s="11">
        <v>14.4</v>
      </c>
      <c r="I576" s="9">
        <v>9.6</v>
      </c>
      <c r="J576" s="11">
        <v>19.7</v>
      </c>
      <c r="K576" s="11">
        <v>95.7</v>
      </c>
      <c r="L576" s="9">
        <v>27.3</v>
      </c>
      <c r="N576" s="9">
        <v>31.6</v>
      </c>
      <c r="O576" s="11">
        <v>43.8</v>
      </c>
      <c r="P576" s="13"/>
      <c r="S576" s="11">
        <v>983.2</v>
      </c>
      <c r="V576" s="13"/>
      <c r="W576" s="13"/>
      <c r="X576" s="13"/>
      <c r="Z576" s="13"/>
      <c r="AA576" s="13"/>
      <c r="AB576" s="13"/>
      <c r="AC576" s="13"/>
      <c r="AD576" s="13"/>
      <c r="AE576" s="13"/>
      <c r="AF576" s="13"/>
      <c r="AJ576" s="24">
        <v>190923.6</v>
      </c>
      <c r="AK576" s="13">
        <v>521.6</v>
      </c>
      <c r="AL576" s="13">
        <f t="shared" si="23"/>
        <v>190402</v>
      </c>
      <c r="AM576" s="23" t="s">
        <v>779</v>
      </c>
      <c r="AN576" s="13"/>
      <c r="AO576" s="13"/>
      <c r="AP576" s="13"/>
      <c r="AQ576" s="13"/>
      <c r="AR576" s="13"/>
    </row>
    <row r="577" spans="1:44" ht="15.75" customHeight="1">
      <c r="A577" s="9" t="s">
        <v>187</v>
      </c>
      <c r="B577" s="9" t="s">
        <v>187</v>
      </c>
      <c r="C577" s="18" t="s">
        <v>720</v>
      </c>
      <c r="D577" s="11">
        <v>199.7</v>
      </c>
      <c r="G577" s="11">
        <v>38.9</v>
      </c>
      <c r="H577" s="9" t="s">
        <v>41</v>
      </c>
      <c r="I577" s="11">
        <v>2.9</v>
      </c>
      <c r="J577" s="11">
        <v>56.2</v>
      </c>
      <c r="K577" s="11">
        <v>4.8</v>
      </c>
      <c r="L577" s="9">
        <v>26.8</v>
      </c>
      <c r="N577" s="9">
        <v>13.8</v>
      </c>
      <c r="O577" s="11">
        <v>1.9</v>
      </c>
      <c r="P577" s="13"/>
      <c r="S577" s="11">
        <v>80.400000000000006</v>
      </c>
      <c r="V577" s="13"/>
      <c r="W577" s="13"/>
      <c r="X577" s="13"/>
      <c r="Y577" s="11">
        <v>425.3</v>
      </c>
      <c r="Z577" s="13"/>
      <c r="AA577" s="13"/>
      <c r="AB577" s="13"/>
      <c r="AC577" s="13"/>
      <c r="AD577" s="13"/>
      <c r="AE577" s="13"/>
      <c r="AF577" s="13"/>
      <c r="AJ577" s="24">
        <v>425.3</v>
      </c>
      <c r="AK577" s="13"/>
      <c r="AL577" s="13">
        <f t="shared" si="23"/>
        <v>425.3</v>
      </c>
      <c r="AM577" s="23" t="s">
        <v>780</v>
      </c>
      <c r="AN577" s="13"/>
      <c r="AO577" s="13"/>
      <c r="AP577" s="13"/>
      <c r="AQ577" s="13"/>
      <c r="AR577" s="13"/>
    </row>
    <row r="578" spans="1:44" ht="15.75" customHeight="1">
      <c r="A578" s="9" t="s">
        <v>188</v>
      </c>
      <c r="B578" s="9" t="s">
        <v>188</v>
      </c>
      <c r="C578" s="18" t="s">
        <v>720</v>
      </c>
      <c r="D578" s="11">
        <v>2522.6999999999998</v>
      </c>
      <c r="G578" s="11">
        <v>354.9</v>
      </c>
      <c r="H578" s="11">
        <v>44.6</v>
      </c>
      <c r="I578" s="11">
        <v>12.7</v>
      </c>
      <c r="J578" s="11">
        <v>168.3</v>
      </c>
      <c r="K578" s="11">
        <v>96</v>
      </c>
      <c r="L578" s="9">
        <v>23.5</v>
      </c>
      <c r="N578" s="9">
        <v>23.8</v>
      </c>
      <c r="O578" s="11">
        <v>11.8</v>
      </c>
      <c r="P578" s="13"/>
      <c r="S578" s="11">
        <v>742.1</v>
      </c>
      <c r="V578" s="13"/>
      <c r="W578" s="13"/>
      <c r="X578" s="13"/>
      <c r="Z578" s="13"/>
      <c r="AA578" s="13"/>
      <c r="AB578" s="13"/>
      <c r="AC578" s="13"/>
      <c r="AD578" s="13"/>
      <c r="AE578" s="13"/>
      <c r="AF578" s="13"/>
      <c r="AJ578" s="24">
        <v>4000.4</v>
      </c>
      <c r="AK578" s="13">
        <v>204</v>
      </c>
      <c r="AL578" s="13">
        <f t="shared" si="23"/>
        <v>3796.4</v>
      </c>
      <c r="AM578" s="23" t="s">
        <v>781</v>
      </c>
      <c r="AN578" s="13"/>
      <c r="AO578" s="13"/>
      <c r="AP578" s="13"/>
      <c r="AQ578" s="13"/>
      <c r="AR578" s="13"/>
    </row>
    <row r="579" spans="1:44" ht="15.75" customHeight="1">
      <c r="A579" s="9" t="s">
        <v>190</v>
      </c>
      <c r="B579" s="9" t="s">
        <v>190</v>
      </c>
      <c r="C579" s="18" t="s">
        <v>720</v>
      </c>
      <c r="D579" s="11">
        <v>240.3</v>
      </c>
      <c r="G579" s="11">
        <v>14.9</v>
      </c>
      <c r="H579" s="11">
        <v>3.7</v>
      </c>
      <c r="I579" s="11">
        <v>62.1</v>
      </c>
      <c r="J579" s="11">
        <v>1.9</v>
      </c>
      <c r="K579" s="11">
        <v>15.9</v>
      </c>
      <c r="L579" s="9">
        <v>12.8</v>
      </c>
      <c r="N579" s="9">
        <v>4.5999999999999996</v>
      </c>
      <c r="O579" s="11">
        <v>1.6</v>
      </c>
      <c r="P579" s="13"/>
      <c r="S579" s="11">
        <v>136.30000000000001</v>
      </c>
      <c r="V579" s="13"/>
      <c r="W579" s="13"/>
      <c r="X579" s="13"/>
      <c r="Z579" s="13"/>
      <c r="AA579" s="13"/>
      <c r="AB579" s="13"/>
      <c r="AC579" s="13"/>
      <c r="AD579" s="13"/>
      <c r="AE579" s="13"/>
      <c r="AF579" s="13"/>
      <c r="AJ579" s="24">
        <v>494</v>
      </c>
      <c r="AK579" s="13"/>
      <c r="AL579" s="13">
        <f t="shared" si="23"/>
        <v>494</v>
      </c>
      <c r="AM579" s="23" t="s">
        <v>782</v>
      </c>
      <c r="AN579" s="13"/>
      <c r="AO579" s="13"/>
      <c r="AP579" s="13"/>
      <c r="AQ579" s="13"/>
      <c r="AR579" s="13"/>
    </row>
    <row r="580" spans="1:44" ht="15.75" customHeight="1">
      <c r="A580" s="9" t="s">
        <v>192</v>
      </c>
      <c r="B580" s="9" t="s">
        <v>192</v>
      </c>
      <c r="C580" s="18" t="s">
        <v>720</v>
      </c>
      <c r="D580" s="11">
        <v>212.7</v>
      </c>
      <c r="G580" s="11">
        <v>10.3</v>
      </c>
      <c r="H580" s="9">
        <v>4.4000000000000004</v>
      </c>
      <c r="I580" s="9">
        <v>5.9</v>
      </c>
      <c r="J580" s="11">
        <v>45.4</v>
      </c>
      <c r="K580" s="9">
        <v>12.9</v>
      </c>
      <c r="L580" s="9">
        <v>5</v>
      </c>
      <c r="N580" s="9">
        <v>3.9</v>
      </c>
      <c r="O580" s="11">
        <v>2.7</v>
      </c>
      <c r="P580" s="13"/>
      <c r="S580" s="11">
        <v>116.1</v>
      </c>
      <c r="V580" s="13"/>
      <c r="W580" s="13"/>
      <c r="X580" s="13"/>
      <c r="Z580" s="13"/>
      <c r="AA580" s="13"/>
      <c r="AB580" s="13"/>
      <c r="AC580" s="13"/>
      <c r="AD580" s="13"/>
      <c r="AE580" s="13"/>
      <c r="AF580" s="13"/>
      <c r="AJ580" s="24">
        <v>419.1</v>
      </c>
      <c r="AK580" s="13"/>
      <c r="AL580" s="13">
        <f t="shared" si="23"/>
        <v>419.1</v>
      </c>
      <c r="AM580" s="23" t="s">
        <v>783</v>
      </c>
      <c r="AN580" s="13"/>
      <c r="AO580" s="13"/>
      <c r="AP580" s="13"/>
      <c r="AQ580" s="13"/>
      <c r="AR580" s="13"/>
    </row>
    <row r="581" spans="1:44" ht="15.75" customHeight="1">
      <c r="A581" s="9" t="s">
        <v>716</v>
      </c>
      <c r="B581" s="9" t="s">
        <v>305</v>
      </c>
      <c r="C581" s="18" t="s">
        <v>720</v>
      </c>
      <c r="D581" s="11">
        <v>144.4</v>
      </c>
      <c r="G581" s="11">
        <v>30.3</v>
      </c>
      <c r="H581" s="11">
        <v>8</v>
      </c>
      <c r="I581" s="11">
        <v>5.3</v>
      </c>
      <c r="J581" s="11">
        <v>41.5</v>
      </c>
      <c r="K581" s="11">
        <v>29.1</v>
      </c>
      <c r="L581" s="9">
        <v>7.6</v>
      </c>
      <c r="N581" s="9">
        <v>5.4</v>
      </c>
      <c r="O581" s="11">
        <v>1</v>
      </c>
      <c r="P581" s="13"/>
      <c r="S581" s="11">
        <v>108.5</v>
      </c>
      <c r="V581" s="13"/>
      <c r="W581" s="13"/>
      <c r="X581" s="13"/>
      <c r="Z581" s="13"/>
      <c r="AA581" s="13"/>
      <c r="AB581" s="13"/>
      <c r="AC581" s="13"/>
      <c r="AD581" s="13"/>
      <c r="AE581" s="13"/>
      <c r="AF581" s="13"/>
      <c r="AJ581" s="24">
        <v>381.2</v>
      </c>
      <c r="AK581" s="13"/>
      <c r="AL581" s="13">
        <f t="shared" si="23"/>
        <v>381.2</v>
      </c>
      <c r="AM581" s="23" t="s">
        <v>784</v>
      </c>
      <c r="AN581" s="13"/>
      <c r="AO581" s="13"/>
      <c r="AP581" s="13"/>
      <c r="AQ581" s="13"/>
      <c r="AR581" s="13"/>
    </row>
    <row r="582" spans="1:44" ht="15.75" customHeight="1">
      <c r="A582" s="9" t="s">
        <v>195</v>
      </c>
      <c r="B582" s="9" t="s">
        <v>195</v>
      </c>
      <c r="C582" s="18" t="s">
        <v>720</v>
      </c>
      <c r="D582" s="11">
        <v>222.8</v>
      </c>
      <c r="G582" s="11">
        <v>33.6</v>
      </c>
      <c r="H582" s="11">
        <v>1.5</v>
      </c>
      <c r="I582" s="11">
        <v>3.6</v>
      </c>
      <c r="J582" s="11">
        <v>38.1</v>
      </c>
      <c r="K582" s="11">
        <v>3.9</v>
      </c>
      <c r="L582" s="9">
        <v>28.9</v>
      </c>
      <c r="N582" s="9">
        <v>2.8</v>
      </c>
      <c r="O582" s="11">
        <v>2.4</v>
      </c>
      <c r="P582" s="13"/>
      <c r="S582" s="11">
        <v>95.9</v>
      </c>
      <c r="V582" s="13"/>
      <c r="W582" s="13"/>
      <c r="X582" s="13"/>
      <c r="Z582" s="13"/>
      <c r="AA582" s="13"/>
      <c r="AB582" s="13"/>
      <c r="AC582" s="13"/>
      <c r="AD582" s="13"/>
      <c r="AE582" s="13"/>
      <c r="AF582" s="13"/>
      <c r="AJ582" s="24">
        <v>433.4</v>
      </c>
      <c r="AK582" s="13"/>
      <c r="AL582" s="13">
        <f t="shared" si="23"/>
        <v>433.4</v>
      </c>
      <c r="AM582" s="23" t="s">
        <v>785</v>
      </c>
      <c r="AN582" s="13"/>
      <c r="AO582" s="13"/>
      <c r="AP582" s="13"/>
      <c r="AQ582" s="13"/>
      <c r="AR582" s="13"/>
    </row>
    <row r="583" spans="1:44" ht="15.75" customHeight="1">
      <c r="A583" s="10" t="s">
        <v>196</v>
      </c>
      <c r="B583" s="9" t="s">
        <v>196</v>
      </c>
      <c r="C583" s="17"/>
      <c r="D583" s="17">
        <f>SUM(D518:D582)</f>
        <v>329759.30000000005</v>
      </c>
      <c r="G583" s="17">
        <f t="shared" ref="G583:L583" si="24">SUM(G518:G582)</f>
        <v>9481.5999999999967</v>
      </c>
      <c r="H583" s="17">
        <f t="shared" si="24"/>
        <v>6091.4000000000005</v>
      </c>
      <c r="I583" s="17">
        <f t="shared" si="24"/>
        <v>2523</v>
      </c>
      <c r="J583" s="17">
        <f t="shared" si="24"/>
        <v>5434.0999999999985</v>
      </c>
      <c r="K583" s="17">
        <f t="shared" si="24"/>
        <v>3996.9</v>
      </c>
      <c r="L583" s="17">
        <f t="shared" si="24"/>
        <v>5753.6000000000013</v>
      </c>
      <c r="N583" s="17">
        <f>SUM(N518:N582)</f>
        <v>2242.4999999999995</v>
      </c>
      <c r="O583" s="17">
        <f>SUM(O518:O582)</f>
        <v>1255.7999999999995</v>
      </c>
      <c r="P583" s="17"/>
      <c r="S583" s="17">
        <f>SUM(S518:S582)</f>
        <v>150383.19999999992</v>
      </c>
      <c r="V583" s="18"/>
      <c r="W583" s="18"/>
      <c r="X583" s="18"/>
      <c r="Y583" s="17">
        <f>SUM(Y518:Y582)</f>
        <v>341852.89999999997</v>
      </c>
      <c r="Z583" s="18"/>
      <c r="AA583" s="18"/>
      <c r="AB583" s="18"/>
      <c r="AC583" s="18"/>
      <c r="AD583" s="18"/>
      <c r="AE583" s="18"/>
      <c r="AF583" s="18"/>
      <c r="AJ583" s="17">
        <f>SUM(AJ518:AJ582)</f>
        <v>858348.50000000058</v>
      </c>
      <c r="AK583" s="17">
        <f>SUM(AK518:AK582)</f>
        <v>69828.600000000035</v>
      </c>
      <c r="AL583" s="17">
        <f>SUM(AL518:AL582)</f>
        <v>788519.90000000026</v>
      </c>
      <c r="AM583" s="27" t="s">
        <v>786</v>
      </c>
      <c r="AN583" s="13"/>
      <c r="AO583" s="13"/>
      <c r="AP583" s="13"/>
      <c r="AQ583" s="13"/>
      <c r="AR583" s="13"/>
    </row>
    <row r="584" spans="1:44" ht="15.75" customHeight="1">
      <c r="A584" s="9" t="s">
        <v>469</v>
      </c>
      <c r="B584" s="9" t="s">
        <v>39</v>
      </c>
      <c r="C584" s="18" t="s">
        <v>787</v>
      </c>
      <c r="D584" s="11">
        <v>1582.1</v>
      </c>
      <c r="G584" s="11">
        <v>529.20000000000005</v>
      </c>
      <c r="H584" s="11">
        <v>240.7</v>
      </c>
      <c r="I584" s="11">
        <v>7.1</v>
      </c>
      <c r="J584" s="11">
        <v>74.3</v>
      </c>
      <c r="K584" s="11">
        <v>28.7</v>
      </c>
      <c r="L584" s="9">
        <v>1410.7</v>
      </c>
      <c r="N584" s="11">
        <v>180.2</v>
      </c>
      <c r="O584" s="11">
        <v>49.7</v>
      </c>
      <c r="P584" s="13"/>
      <c r="Q584" s="13"/>
      <c r="S584" s="11">
        <v>3206.5</v>
      </c>
      <c r="T584" s="13"/>
      <c r="U584" s="13"/>
      <c r="V584" s="13"/>
      <c r="W584" s="13"/>
      <c r="X584" s="13"/>
      <c r="Y584" s="11">
        <v>293</v>
      </c>
      <c r="Z584" s="13"/>
      <c r="AA584" s="13"/>
      <c r="AB584" s="13"/>
      <c r="AC584" s="13"/>
      <c r="AD584" s="13"/>
      <c r="AE584" s="13"/>
      <c r="AF584" s="13"/>
      <c r="AG584" s="13"/>
      <c r="AK584" s="11">
        <v>13.7</v>
      </c>
      <c r="AL584" s="13">
        <f t="shared" ref="AL584:AL615" si="25">SUM(D584:S584)-AK584</f>
        <v>7295.5</v>
      </c>
      <c r="AM584" s="23" t="s">
        <v>788</v>
      </c>
      <c r="AN584" s="13"/>
      <c r="AO584" s="13"/>
      <c r="AP584" s="13"/>
      <c r="AQ584" s="13"/>
      <c r="AR584" s="13"/>
    </row>
    <row r="585" spans="1:44" ht="15.75" customHeight="1">
      <c r="A585" s="9" t="s">
        <v>202</v>
      </c>
      <c r="B585" s="9" t="s">
        <v>202</v>
      </c>
      <c r="C585" s="18" t="s">
        <v>787</v>
      </c>
      <c r="D585" s="11">
        <v>57422.1</v>
      </c>
      <c r="G585" s="11">
        <v>978.7</v>
      </c>
      <c r="H585" s="11">
        <v>64.099999999999994</v>
      </c>
      <c r="I585" s="11">
        <v>26.2</v>
      </c>
      <c r="J585" s="11">
        <v>926.5</v>
      </c>
      <c r="K585" s="11">
        <v>132.5</v>
      </c>
      <c r="L585" s="11">
        <v>132.5</v>
      </c>
      <c r="N585" s="11">
        <v>885.5</v>
      </c>
      <c r="O585" s="11">
        <v>309.39999999999998</v>
      </c>
      <c r="P585" s="13"/>
      <c r="Q585" s="13"/>
      <c r="S585" s="11">
        <v>26423.9</v>
      </c>
      <c r="T585" s="13"/>
      <c r="U585" s="13"/>
      <c r="V585" s="13"/>
      <c r="W585" s="13"/>
      <c r="X585" s="13"/>
      <c r="Y585" s="11">
        <v>603.1</v>
      </c>
      <c r="Z585" s="13"/>
      <c r="AA585" s="13"/>
      <c r="AB585" s="13"/>
      <c r="AC585" s="13"/>
      <c r="AD585" s="13"/>
      <c r="AE585" s="13"/>
      <c r="AF585" s="13"/>
      <c r="AG585" s="13"/>
      <c r="AK585" s="11">
        <v>0</v>
      </c>
      <c r="AL585" s="13">
        <f t="shared" si="25"/>
        <v>87301.4</v>
      </c>
      <c r="AM585" s="23" t="s">
        <v>789</v>
      </c>
      <c r="AN585" s="13"/>
      <c r="AO585" s="13"/>
      <c r="AP585" s="13"/>
      <c r="AQ585" s="13"/>
      <c r="AR585" s="13"/>
    </row>
    <row r="586" spans="1:44" ht="15.75" customHeight="1">
      <c r="A586" s="9" t="s">
        <v>790</v>
      </c>
      <c r="B586" s="9" t="s">
        <v>790</v>
      </c>
      <c r="C586" s="18" t="s">
        <v>787</v>
      </c>
      <c r="D586" s="11">
        <v>10182.200000000001</v>
      </c>
      <c r="G586" s="11">
        <v>93.5</v>
      </c>
      <c r="H586" s="11">
        <v>13.7</v>
      </c>
      <c r="I586" s="11">
        <v>5.9</v>
      </c>
      <c r="J586" s="11">
        <v>66.8</v>
      </c>
      <c r="K586" s="11">
        <v>281.3</v>
      </c>
      <c r="L586" s="11">
        <v>49.5</v>
      </c>
      <c r="N586" s="11">
        <v>58.4</v>
      </c>
      <c r="O586" s="11">
        <v>5.8</v>
      </c>
      <c r="P586" s="13"/>
      <c r="Q586" s="13"/>
      <c r="S586" s="11">
        <v>5350.1</v>
      </c>
      <c r="T586" s="13"/>
      <c r="U586" s="13"/>
      <c r="V586" s="13"/>
      <c r="W586" s="13"/>
      <c r="X586" s="13"/>
      <c r="Y586" s="11">
        <v>2.5</v>
      </c>
      <c r="Z586" s="13"/>
      <c r="AA586" s="13"/>
      <c r="AB586" s="13"/>
      <c r="AC586" s="13"/>
      <c r="AD586" s="13"/>
      <c r="AE586" s="13"/>
      <c r="AF586" s="13"/>
      <c r="AG586" s="13"/>
      <c r="AK586" s="9">
        <v>0</v>
      </c>
      <c r="AL586" s="13">
        <f t="shared" si="25"/>
        <v>16107.199999999999</v>
      </c>
      <c r="AM586" s="23" t="s">
        <v>791</v>
      </c>
      <c r="AN586" s="18"/>
      <c r="AO586" s="18"/>
      <c r="AP586" s="18"/>
      <c r="AQ586" s="18"/>
      <c r="AR586" s="13"/>
    </row>
    <row r="587" spans="1:44" ht="15.75" customHeight="1">
      <c r="A587" s="9" t="s">
        <v>323</v>
      </c>
      <c r="B587" s="9" t="s">
        <v>323</v>
      </c>
      <c r="C587" s="18" t="s">
        <v>787</v>
      </c>
      <c r="D587" s="11">
        <v>5736.1</v>
      </c>
      <c r="G587" s="11">
        <v>123.5</v>
      </c>
      <c r="H587" s="11">
        <v>67.900000000000006</v>
      </c>
      <c r="I587" s="11">
        <v>36.200000000000003</v>
      </c>
      <c r="J587" s="11">
        <v>157.6</v>
      </c>
      <c r="K587" s="11">
        <v>637.6</v>
      </c>
      <c r="L587" s="11">
        <v>194.2</v>
      </c>
      <c r="N587" s="11">
        <v>42</v>
      </c>
      <c r="O587" s="11">
        <v>150</v>
      </c>
      <c r="P587" s="13"/>
      <c r="Q587" s="13"/>
      <c r="S587" s="11">
        <v>5694.1</v>
      </c>
      <c r="T587" s="13"/>
      <c r="U587" s="13"/>
      <c r="V587" s="13"/>
      <c r="W587" s="13"/>
      <c r="X587" s="13"/>
      <c r="Y587" s="11">
        <v>3420.6</v>
      </c>
      <c r="Z587" s="13"/>
      <c r="AA587" s="13"/>
      <c r="AB587" s="13"/>
      <c r="AC587" s="13"/>
      <c r="AD587" s="13"/>
      <c r="AE587" s="13"/>
      <c r="AF587" s="13"/>
      <c r="AG587" s="13"/>
      <c r="AK587" s="9">
        <v>21</v>
      </c>
      <c r="AL587" s="13">
        <f t="shared" si="25"/>
        <v>12818.2</v>
      </c>
      <c r="AM587" s="23" t="s">
        <v>792</v>
      </c>
      <c r="AN587" s="13"/>
      <c r="AP587" s="13"/>
      <c r="AQ587" s="13"/>
      <c r="AR587" s="13"/>
    </row>
    <row r="588" spans="1:44" ht="15.75" customHeight="1">
      <c r="A588" s="9" t="s">
        <v>207</v>
      </c>
      <c r="B588" s="9" t="s">
        <v>207</v>
      </c>
      <c r="C588" s="18" t="s">
        <v>787</v>
      </c>
      <c r="D588" s="11">
        <v>535.6</v>
      </c>
      <c r="G588" s="11">
        <v>32</v>
      </c>
      <c r="H588" s="11">
        <v>12.7</v>
      </c>
      <c r="I588" s="11">
        <v>4.3</v>
      </c>
      <c r="J588" s="11">
        <v>137.69999999999999</v>
      </c>
      <c r="K588" s="11">
        <v>7.2</v>
      </c>
      <c r="L588" s="11">
        <v>35.4</v>
      </c>
      <c r="N588" s="11">
        <v>9.4</v>
      </c>
      <c r="O588" s="11">
        <v>16.399999999999999</v>
      </c>
      <c r="P588" s="13"/>
      <c r="Q588" s="13"/>
      <c r="S588" s="11">
        <v>488.4</v>
      </c>
      <c r="T588" s="13"/>
      <c r="U588" s="13"/>
      <c r="V588" s="13"/>
      <c r="W588" s="13"/>
      <c r="X588" s="13"/>
      <c r="Y588" s="11">
        <v>1138.9000000000001</v>
      </c>
      <c r="Z588" s="13"/>
      <c r="AA588" s="13"/>
      <c r="AB588" s="13"/>
      <c r="AC588" s="13"/>
      <c r="AD588" s="13"/>
      <c r="AE588" s="13"/>
      <c r="AF588" s="13"/>
      <c r="AG588" s="13"/>
      <c r="AK588" s="11">
        <v>0</v>
      </c>
      <c r="AL588" s="13">
        <f t="shared" si="25"/>
        <v>1279.0999999999999</v>
      </c>
      <c r="AM588" s="23" t="s">
        <v>793</v>
      </c>
      <c r="AN588" s="13"/>
      <c r="AP588" s="13"/>
      <c r="AQ588" s="13"/>
      <c r="AR588" s="13"/>
    </row>
    <row r="589" spans="1:44" ht="15.75" customHeight="1">
      <c r="A589" s="9" t="s">
        <v>66</v>
      </c>
      <c r="B589" s="9" t="s">
        <v>66</v>
      </c>
      <c r="C589" s="18" t="s">
        <v>787</v>
      </c>
      <c r="D589" s="11">
        <v>757</v>
      </c>
      <c r="G589" s="11">
        <v>38.6</v>
      </c>
      <c r="H589" s="11">
        <v>16.600000000000001</v>
      </c>
      <c r="I589" s="11">
        <v>2.9</v>
      </c>
      <c r="J589" s="11">
        <v>0</v>
      </c>
      <c r="K589" s="11">
        <v>25.1</v>
      </c>
      <c r="L589" s="11">
        <v>14.9</v>
      </c>
      <c r="N589" s="11">
        <v>7.7</v>
      </c>
      <c r="O589" s="11">
        <v>10.6</v>
      </c>
      <c r="P589" s="13"/>
      <c r="Q589" s="13"/>
      <c r="S589" s="11">
        <v>158.6</v>
      </c>
      <c r="T589" s="13"/>
      <c r="U589" s="13"/>
      <c r="V589" s="13"/>
      <c r="W589" s="13"/>
      <c r="X589" s="13"/>
      <c r="Y589" s="11">
        <v>91177.1</v>
      </c>
      <c r="Z589" s="13"/>
      <c r="AA589" s="13"/>
      <c r="AB589" s="13"/>
      <c r="AC589" s="13"/>
      <c r="AD589" s="13"/>
      <c r="AE589" s="13"/>
      <c r="AF589" s="13"/>
      <c r="AG589" s="13"/>
      <c r="AK589" s="11">
        <v>0</v>
      </c>
      <c r="AL589" s="13">
        <f t="shared" si="25"/>
        <v>1032</v>
      </c>
      <c r="AM589" s="23" t="s">
        <v>794</v>
      </c>
      <c r="AN589" s="13"/>
      <c r="AP589" s="13"/>
      <c r="AQ589" s="13"/>
      <c r="AR589" s="13"/>
    </row>
    <row r="590" spans="1:44" ht="15.75" customHeight="1">
      <c r="A590" s="9" t="s">
        <v>639</v>
      </c>
      <c r="B590" s="9" t="s">
        <v>212</v>
      </c>
      <c r="C590" s="18" t="s">
        <v>787</v>
      </c>
      <c r="D590" s="11">
        <v>3045.1</v>
      </c>
      <c r="G590" s="11">
        <v>166.3</v>
      </c>
      <c r="H590" s="11">
        <v>1948</v>
      </c>
      <c r="I590" s="11">
        <v>235.5</v>
      </c>
      <c r="J590" s="11">
        <v>1102.8</v>
      </c>
      <c r="K590" s="11">
        <v>11.6</v>
      </c>
      <c r="L590" s="11">
        <v>570.4</v>
      </c>
      <c r="N590" s="11">
        <v>28.1</v>
      </c>
      <c r="O590" s="11">
        <v>28</v>
      </c>
      <c r="P590" s="13"/>
      <c r="Q590" s="13"/>
      <c r="S590" s="11">
        <v>1474.9</v>
      </c>
      <c r="T590" s="13"/>
      <c r="U590" s="13"/>
      <c r="V590" s="13"/>
      <c r="W590" s="13"/>
      <c r="X590" s="13"/>
      <c r="Y590" s="11">
        <v>0</v>
      </c>
      <c r="Z590" s="13"/>
      <c r="AA590" s="13"/>
      <c r="AB590" s="13"/>
      <c r="AC590" s="13"/>
      <c r="AD590" s="13"/>
      <c r="AE590" s="13"/>
      <c r="AF590" s="13"/>
      <c r="AG590" s="13"/>
      <c r="AK590" s="11">
        <v>407.3</v>
      </c>
      <c r="AL590" s="13">
        <f t="shared" si="25"/>
        <v>8203.4000000000015</v>
      </c>
      <c r="AM590" s="23" t="s">
        <v>795</v>
      </c>
      <c r="AN590" s="13"/>
      <c r="AP590" s="13"/>
      <c r="AQ590" s="13"/>
      <c r="AR590" s="13"/>
    </row>
    <row r="591" spans="1:44" ht="15.75" customHeight="1">
      <c r="A591" s="9" t="s">
        <v>796</v>
      </c>
      <c r="B591" s="9" t="s">
        <v>796</v>
      </c>
      <c r="C591" s="18" t="s">
        <v>787</v>
      </c>
      <c r="D591" s="11">
        <v>1878.4</v>
      </c>
      <c r="G591" s="11">
        <v>100</v>
      </c>
      <c r="H591" s="11">
        <v>28</v>
      </c>
      <c r="I591" s="11">
        <v>8.1999999999999993</v>
      </c>
      <c r="J591" s="11">
        <v>31</v>
      </c>
      <c r="K591" s="11">
        <v>57.6</v>
      </c>
      <c r="L591" s="11">
        <v>45.1</v>
      </c>
      <c r="N591" s="11">
        <v>30.5</v>
      </c>
      <c r="O591" s="11">
        <v>28.5</v>
      </c>
      <c r="P591" s="13"/>
      <c r="Q591" s="13"/>
      <c r="S591" s="11">
        <v>34545.1</v>
      </c>
      <c r="T591" s="13"/>
      <c r="U591" s="13"/>
      <c r="V591" s="13"/>
      <c r="W591" s="13"/>
      <c r="X591" s="13"/>
      <c r="Y591" s="11">
        <v>16353.9</v>
      </c>
      <c r="Z591" s="13"/>
      <c r="AA591" s="13"/>
      <c r="AB591" s="13"/>
      <c r="AC591" s="13"/>
      <c r="AD591" s="13"/>
      <c r="AE591" s="13"/>
      <c r="AF591" s="13"/>
      <c r="AG591" s="13"/>
      <c r="AK591" s="11">
        <v>49.9</v>
      </c>
      <c r="AL591" s="13">
        <f t="shared" si="25"/>
        <v>36702.5</v>
      </c>
      <c r="AM591" s="23" t="s">
        <v>797</v>
      </c>
      <c r="AN591" s="13"/>
      <c r="AP591" s="13"/>
      <c r="AQ591" s="13"/>
      <c r="AR591" s="13"/>
    </row>
    <row r="592" spans="1:44" ht="15.75" customHeight="1">
      <c r="A592" s="9" t="s">
        <v>798</v>
      </c>
      <c r="B592" s="9" t="s">
        <v>798</v>
      </c>
      <c r="C592" s="18" t="s">
        <v>787</v>
      </c>
      <c r="D592" s="11">
        <v>519.4</v>
      </c>
      <c r="G592" s="11">
        <v>45</v>
      </c>
      <c r="H592" s="11">
        <v>16.3</v>
      </c>
      <c r="I592" s="9">
        <v>4.2</v>
      </c>
      <c r="J592" s="11">
        <v>136.6</v>
      </c>
      <c r="K592" s="11">
        <v>15.4</v>
      </c>
      <c r="L592" s="11">
        <v>13.4</v>
      </c>
      <c r="N592" s="11">
        <v>19.399999999999999</v>
      </c>
      <c r="O592" s="11">
        <v>20.6</v>
      </c>
      <c r="P592" s="13"/>
      <c r="Q592" s="13"/>
      <c r="S592" s="11">
        <v>7273.8</v>
      </c>
      <c r="T592" s="13"/>
      <c r="U592" s="13"/>
      <c r="V592" s="13"/>
      <c r="W592" s="13"/>
      <c r="X592" s="13"/>
      <c r="Y592" s="11">
        <v>34762.400000000001</v>
      </c>
      <c r="Z592" s="13"/>
      <c r="AA592" s="13"/>
      <c r="AB592" s="13"/>
      <c r="AC592" s="13"/>
      <c r="AD592" s="13"/>
      <c r="AE592" s="13"/>
      <c r="AF592" s="13"/>
      <c r="AG592" s="13"/>
      <c r="AK592" s="11">
        <v>0</v>
      </c>
      <c r="AL592" s="13">
        <f t="shared" si="25"/>
        <v>8064.1</v>
      </c>
      <c r="AM592" s="23" t="s">
        <v>799</v>
      </c>
      <c r="AN592" s="13"/>
      <c r="AP592" s="13"/>
      <c r="AQ592" s="13"/>
      <c r="AR592" s="13"/>
    </row>
    <row r="593" spans="1:44" ht="15.75" customHeight="1">
      <c r="A593" s="9" t="s">
        <v>77</v>
      </c>
      <c r="B593" s="9" t="s">
        <v>77</v>
      </c>
      <c r="C593" s="18" t="s">
        <v>787</v>
      </c>
      <c r="D593" s="11">
        <v>2191.6</v>
      </c>
      <c r="G593" s="11">
        <v>27.5</v>
      </c>
      <c r="H593" s="11">
        <v>70.599999999999994</v>
      </c>
      <c r="I593" s="11">
        <v>0.9</v>
      </c>
      <c r="J593" s="11">
        <v>20.100000000000001</v>
      </c>
      <c r="K593" s="11">
        <v>48.6</v>
      </c>
      <c r="L593" s="11">
        <v>482.2</v>
      </c>
      <c r="N593" s="11">
        <v>10.5</v>
      </c>
      <c r="O593" s="11">
        <v>22.9</v>
      </c>
      <c r="P593" s="13"/>
      <c r="Q593" s="13"/>
      <c r="S593" s="11">
        <v>10867.6</v>
      </c>
      <c r="T593" s="13"/>
      <c r="U593" s="13"/>
      <c r="V593" s="13"/>
      <c r="W593" s="13"/>
      <c r="X593" s="13"/>
      <c r="Y593" s="11">
        <v>24680.3</v>
      </c>
      <c r="Z593" s="13"/>
      <c r="AA593" s="13"/>
      <c r="AB593" s="13"/>
      <c r="AC593" s="13"/>
      <c r="AD593" s="13"/>
      <c r="AE593" s="13"/>
      <c r="AF593" s="13"/>
      <c r="AG593" s="13"/>
      <c r="AK593" s="11">
        <v>0</v>
      </c>
      <c r="AL593" s="13">
        <f t="shared" si="25"/>
        <v>13742.5</v>
      </c>
      <c r="AM593" s="23" t="s">
        <v>800</v>
      </c>
      <c r="AN593" s="13"/>
      <c r="AP593" s="13"/>
      <c r="AQ593" s="13"/>
      <c r="AR593" s="13"/>
    </row>
    <row r="594" spans="1:44" ht="15.75" customHeight="1">
      <c r="A594" s="9" t="s">
        <v>228</v>
      </c>
      <c r="B594" s="9" t="s">
        <v>228</v>
      </c>
      <c r="C594" s="18" t="s">
        <v>787</v>
      </c>
      <c r="D594" s="11">
        <v>5193.6000000000004</v>
      </c>
      <c r="G594" s="11">
        <v>60.5</v>
      </c>
      <c r="H594" s="11">
        <v>5.7</v>
      </c>
      <c r="I594" s="11">
        <v>9.4</v>
      </c>
      <c r="J594" s="11">
        <v>0</v>
      </c>
      <c r="K594" s="11">
        <v>251.6</v>
      </c>
      <c r="L594" s="11">
        <v>42.2</v>
      </c>
      <c r="N594" s="11">
        <v>21.7</v>
      </c>
      <c r="O594" s="11">
        <v>77.2</v>
      </c>
      <c r="P594" s="13"/>
      <c r="Q594" s="13"/>
      <c r="S594" s="11">
        <v>2676.5</v>
      </c>
      <c r="T594" s="13"/>
      <c r="U594" s="13"/>
      <c r="V594" s="13"/>
      <c r="W594" s="13"/>
      <c r="X594" s="13"/>
      <c r="Y594" s="11">
        <v>16861</v>
      </c>
      <c r="Z594" s="13"/>
      <c r="AA594" s="13"/>
      <c r="AB594" s="13"/>
      <c r="AC594" s="13"/>
      <c r="AD594" s="13"/>
      <c r="AE594" s="13"/>
      <c r="AF594" s="13"/>
      <c r="AG594" s="13"/>
      <c r="AK594" s="11">
        <v>0</v>
      </c>
      <c r="AL594" s="13">
        <f t="shared" si="25"/>
        <v>8338.4</v>
      </c>
      <c r="AM594" s="23" t="s">
        <v>801</v>
      </c>
      <c r="AN594" s="13"/>
      <c r="AP594" s="13"/>
      <c r="AQ594" s="13"/>
      <c r="AR594" s="13"/>
    </row>
    <row r="595" spans="1:44" ht="15.75" customHeight="1">
      <c r="A595" s="9" t="s">
        <v>325</v>
      </c>
      <c r="B595" s="9" t="s">
        <v>325</v>
      </c>
      <c r="C595" s="18" t="s">
        <v>787</v>
      </c>
      <c r="D595" s="11">
        <v>935.9</v>
      </c>
      <c r="G595" s="11">
        <v>20.3</v>
      </c>
      <c r="H595" s="11">
        <v>5.2</v>
      </c>
      <c r="I595" s="11">
        <v>2.4</v>
      </c>
      <c r="J595" s="11">
        <v>0</v>
      </c>
      <c r="K595" s="11">
        <v>16.7</v>
      </c>
      <c r="L595" s="11">
        <v>34.4</v>
      </c>
      <c r="N595" s="11">
        <v>14.5</v>
      </c>
      <c r="O595" s="11">
        <v>27</v>
      </c>
      <c r="P595" s="13"/>
      <c r="Q595" s="13"/>
      <c r="S595" s="11">
        <v>191</v>
      </c>
      <c r="T595" s="13"/>
      <c r="U595" s="13"/>
      <c r="V595" s="13"/>
      <c r="W595" s="13"/>
      <c r="X595" s="13"/>
      <c r="Y595" s="11">
        <v>32868.9</v>
      </c>
      <c r="Z595" s="13"/>
      <c r="AA595" s="13"/>
      <c r="AB595" s="13"/>
      <c r="AC595" s="13"/>
      <c r="AD595" s="13"/>
      <c r="AE595" s="13"/>
      <c r="AF595" s="13"/>
      <c r="AG595" s="13"/>
      <c r="AK595" s="9">
        <v>24592.3</v>
      </c>
      <c r="AL595" s="13">
        <f t="shared" si="25"/>
        <v>-23344.899999999998</v>
      </c>
      <c r="AM595" s="23" t="s">
        <v>802</v>
      </c>
      <c r="AN595" s="13"/>
      <c r="AP595" s="13"/>
      <c r="AQ595" s="13"/>
      <c r="AR595" s="13"/>
    </row>
    <row r="596" spans="1:44" ht="15.75" customHeight="1">
      <c r="A596" s="9" t="s">
        <v>327</v>
      </c>
      <c r="B596" s="9" t="s">
        <v>327</v>
      </c>
      <c r="C596" s="18" t="s">
        <v>787</v>
      </c>
      <c r="D596" s="11">
        <v>134.80000000000001</v>
      </c>
      <c r="G596" s="11">
        <v>25.7</v>
      </c>
      <c r="H596" s="11">
        <v>12.3</v>
      </c>
      <c r="I596" s="11">
        <v>2.2000000000000002</v>
      </c>
      <c r="J596" s="11">
        <v>8.5</v>
      </c>
      <c r="K596" s="11">
        <v>7.5</v>
      </c>
      <c r="L596" s="11">
        <v>14.5</v>
      </c>
      <c r="N596" s="11">
        <v>8</v>
      </c>
      <c r="O596" s="11">
        <v>28.7</v>
      </c>
      <c r="P596" s="13"/>
      <c r="Q596" s="13"/>
      <c r="S596" s="11">
        <v>556.29999999999995</v>
      </c>
      <c r="T596" s="13"/>
      <c r="U596" s="13"/>
      <c r="V596" s="13"/>
      <c r="W596" s="13"/>
      <c r="X596" s="13"/>
      <c r="Y596" s="11">
        <v>5198.5</v>
      </c>
      <c r="Z596" s="13"/>
      <c r="AA596" s="13"/>
      <c r="AB596" s="13"/>
      <c r="AC596" s="13"/>
      <c r="AD596" s="13"/>
      <c r="AE596" s="13"/>
      <c r="AF596" s="13"/>
      <c r="AG596" s="13"/>
      <c r="AK596" s="9">
        <v>4720.8999999999996</v>
      </c>
      <c r="AL596" s="13">
        <f t="shared" si="25"/>
        <v>-3922.3999999999996</v>
      </c>
      <c r="AM596" s="23" t="s">
        <v>803</v>
      </c>
      <c r="AN596" s="13"/>
      <c r="AP596" s="13"/>
      <c r="AQ596" s="13"/>
      <c r="AR596" s="13"/>
    </row>
    <row r="597" spans="1:44" ht="15.75" customHeight="1">
      <c r="A597" s="9" t="s">
        <v>804</v>
      </c>
      <c r="B597" s="9" t="s">
        <v>160</v>
      </c>
      <c r="C597" s="18" t="s">
        <v>787</v>
      </c>
      <c r="D597" s="11">
        <v>1287.8</v>
      </c>
      <c r="G597" s="11">
        <v>21.2</v>
      </c>
      <c r="H597" s="11">
        <v>32.4</v>
      </c>
      <c r="I597" s="11">
        <v>1.6</v>
      </c>
      <c r="J597" s="11">
        <v>96.3</v>
      </c>
      <c r="K597" s="11">
        <v>12.3</v>
      </c>
      <c r="L597" s="11">
        <v>43.1</v>
      </c>
      <c r="N597" s="11">
        <v>7.8</v>
      </c>
      <c r="O597" s="11">
        <v>8.5</v>
      </c>
      <c r="P597" s="13"/>
      <c r="Q597" s="13"/>
      <c r="S597" s="11">
        <v>582.5</v>
      </c>
      <c r="T597" s="13"/>
      <c r="U597" s="13"/>
      <c r="V597" s="13"/>
      <c r="W597" s="13"/>
      <c r="X597" s="13"/>
      <c r="Y597" s="11">
        <v>4242</v>
      </c>
      <c r="Z597" s="13"/>
      <c r="AA597" s="13"/>
      <c r="AB597" s="13"/>
      <c r="AC597" s="13"/>
      <c r="AD597" s="13"/>
      <c r="AE597" s="13"/>
      <c r="AF597" s="13"/>
      <c r="AG597" s="13"/>
      <c r="AK597" s="11">
        <v>3.7</v>
      </c>
      <c r="AL597" s="13">
        <f t="shared" si="25"/>
        <v>2089.8000000000002</v>
      </c>
      <c r="AM597" s="23" t="s">
        <v>805</v>
      </c>
      <c r="AN597" s="13"/>
      <c r="AP597" s="13"/>
      <c r="AQ597" s="13"/>
      <c r="AR597" s="13"/>
    </row>
    <row r="598" spans="1:44" ht="15.75" customHeight="1">
      <c r="A598" s="9" t="s">
        <v>806</v>
      </c>
      <c r="B598" s="9" t="s">
        <v>806</v>
      </c>
      <c r="C598" s="18" t="s">
        <v>787</v>
      </c>
      <c r="D598" s="11">
        <v>653.5</v>
      </c>
      <c r="G598" s="11">
        <v>22.1</v>
      </c>
      <c r="H598" s="11">
        <v>5.5</v>
      </c>
      <c r="I598" s="11">
        <v>1.9</v>
      </c>
      <c r="J598" s="11">
        <v>42</v>
      </c>
      <c r="K598" s="11">
        <v>9.4</v>
      </c>
      <c r="L598" s="11">
        <v>4.9000000000000004</v>
      </c>
      <c r="N598" s="11">
        <v>7.6</v>
      </c>
      <c r="O598" s="11">
        <v>7.4</v>
      </c>
      <c r="P598" s="13"/>
      <c r="Q598" s="13"/>
      <c r="S598" s="11">
        <v>127.5</v>
      </c>
      <c r="T598" s="13"/>
      <c r="U598" s="13"/>
      <c r="V598" s="13"/>
      <c r="W598" s="13"/>
      <c r="X598" s="13"/>
      <c r="Y598" s="11">
        <v>1043.4000000000001</v>
      </c>
      <c r="Z598" s="13"/>
      <c r="AA598" s="13"/>
      <c r="AB598" s="13"/>
      <c r="AC598" s="13"/>
      <c r="AD598" s="13"/>
      <c r="AE598" s="13"/>
      <c r="AF598" s="13"/>
      <c r="AG598" s="13"/>
      <c r="AK598" s="9">
        <v>1449.1</v>
      </c>
      <c r="AL598" s="13">
        <f t="shared" si="25"/>
        <v>-567.29999999999995</v>
      </c>
      <c r="AM598" s="23" t="s">
        <v>807</v>
      </c>
      <c r="AN598" s="13"/>
      <c r="AP598" s="13"/>
      <c r="AQ598" s="13"/>
      <c r="AR598" s="13"/>
    </row>
    <row r="599" spans="1:44" ht="15.75" customHeight="1">
      <c r="A599" s="9" t="s">
        <v>808</v>
      </c>
      <c r="B599" s="9" t="s">
        <v>244</v>
      </c>
      <c r="C599" s="18" t="s">
        <v>787</v>
      </c>
      <c r="D599" s="11">
        <v>2787</v>
      </c>
      <c r="G599" s="11">
        <v>47.6</v>
      </c>
      <c r="H599" s="11">
        <v>10.199999999999999</v>
      </c>
      <c r="I599" s="11">
        <v>8.6</v>
      </c>
      <c r="J599" s="11">
        <v>107.9</v>
      </c>
      <c r="K599" s="11">
        <v>18</v>
      </c>
      <c r="L599" s="11">
        <v>25.6</v>
      </c>
      <c r="N599" s="11">
        <v>20.5</v>
      </c>
      <c r="O599" s="11">
        <v>42.2</v>
      </c>
      <c r="P599" s="13"/>
      <c r="Q599" s="13"/>
      <c r="S599" s="11">
        <v>323.7</v>
      </c>
      <c r="T599" s="13"/>
      <c r="U599" s="13"/>
      <c r="V599" s="13"/>
      <c r="W599" s="13"/>
      <c r="X599" s="13"/>
      <c r="Y599" s="11">
        <v>160</v>
      </c>
      <c r="Z599" s="13"/>
      <c r="AA599" s="13"/>
      <c r="AB599" s="13"/>
      <c r="AC599" s="13"/>
      <c r="AD599" s="13"/>
      <c r="AE599" s="13"/>
      <c r="AF599" s="13"/>
      <c r="AG599" s="13"/>
      <c r="AK599" s="11">
        <v>0</v>
      </c>
      <c r="AL599" s="13">
        <f t="shared" si="25"/>
        <v>3391.2999999999993</v>
      </c>
      <c r="AM599" s="23" t="s">
        <v>809</v>
      </c>
      <c r="AN599" s="13"/>
      <c r="AP599" s="13"/>
      <c r="AQ599" s="13"/>
      <c r="AR599" s="13"/>
    </row>
    <row r="600" spans="1:44" ht="15.75" customHeight="1">
      <c r="A600" s="9" t="s">
        <v>810</v>
      </c>
      <c r="B600" s="9" t="s">
        <v>810</v>
      </c>
      <c r="C600" s="18" t="s">
        <v>787</v>
      </c>
      <c r="D600" s="11">
        <v>416.9</v>
      </c>
      <c r="G600" s="11">
        <v>70.5</v>
      </c>
      <c r="H600" s="11">
        <v>33.9</v>
      </c>
      <c r="I600" s="11">
        <v>349.5</v>
      </c>
      <c r="J600" s="11">
        <v>95.6</v>
      </c>
      <c r="K600" s="11">
        <v>181.1</v>
      </c>
      <c r="L600" s="11">
        <v>69.599999999999994</v>
      </c>
      <c r="N600" s="11">
        <v>17.7</v>
      </c>
      <c r="O600" s="11">
        <v>5.9</v>
      </c>
      <c r="P600" s="13"/>
      <c r="Q600" s="13"/>
      <c r="S600" s="11">
        <v>412.6</v>
      </c>
      <c r="T600" s="13"/>
      <c r="U600" s="13"/>
      <c r="V600" s="13"/>
      <c r="W600" s="13"/>
      <c r="X600" s="13"/>
      <c r="Y600" s="11">
        <v>1193.2</v>
      </c>
      <c r="Z600" s="13"/>
      <c r="AA600" s="13"/>
      <c r="AB600" s="13"/>
      <c r="AC600" s="13"/>
      <c r="AD600" s="13"/>
      <c r="AE600" s="13"/>
      <c r="AF600" s="13"/>
      <c r="AG600" s="13"/>
      <c r="AK600" s="11">
        <v>84</v>
      </c>
      <c r="AL600" s="13">
        <f t="shared" si="25"/>
        <v>1569.3000000000002</v>
      </c>
      <c r="AM600" s="23" t="s">
        <v>811</v>
      </c>
      <c r="AN600" s="13"/>
      <c r="AP600" s="13"/>
      <c r="AQ600" s="13"/>
      <c r="AR600" s="13"/>
    </row>
    <row r="601" spans="1:44" ht="15.75" customHeight="1">
      <c r="A601" s="9" t="s">
        <v>812</v>
      </c>
      <c r="B601" s="9" t="s">
        <v>812</v>
      </c>
      <c r="C601" s="18" t="s">
        <v>787</v>
      </c>
      <c r="D601" s="11">
        <v>412.4</v>
      </c>
      <c r="G601" s="11">
        <v>186.4</v>
      </c>
      <c r="H601" s="11">
        <v>483.5</v>
      </c>
      <c r="I601" s="11">
        <v>102.8</v>
      </c>
      <c r="J601" s="11">
        <v>37.6</v>
      </c>
      <c r="K601" s="11">
        <v>6.9</v>
      </c>
      <c r="L601" s="11">
        <v>176.4</v>
      </c>
      <c r="N601" s="11">
        <v>11.8</v>
      </c>
      <c r="O601" s="11">
        <v>7.2</v>
      </c>
      <c r="P601" s="9"/>
      <c r="Q601" s="9"/>
      <c r="S601" s="11">
        <v>211</v>
      </c>
      <c r="T601" s="13"/>
      <c r="U601" s="13"/>
      <c r="V601" s="13"/>
      <c r="W601" s="13"/>
      <c r="X601" s="13"/>
      <c r="Y601" s="11">
        <v>2764.2</v>
      </c>
      <c r="Z601" s="13"/>
      <c r="AA601" s="13"/>
      <c r="AB601" s="13"/>
      <c r="AC601" s="13"/>
      <c r="AD601" s="13"/>
      <c r="AE601" s="13"/>
      <c r="AF601" s="13"/>
      <c r="AG601" s="13"/>
      <c r="AK601" s="11">
        <v>10</v>
      </c>
      <c r="AL601" s="13">
        <f t="shared" si="25"/>
        <v>1626</v>
      </c>
      <c r="AM601" s="23" t="s">
        <v>813</v>
      </c>
      <c r="AN601" s="13"/>
      <c r="AP601" s="13"/>
      <c r="AQ601" s="13"/>
      <c r="AR601" s="13"/>
    </row>
    <row r="602" spans="1:44" ht="15.75" customHeight="1">
      <c r="A602" s="9" t="s">
        <v>814</v>
      </c>
      <c r="B602" s="9" t="s">
        <v>814</v>
      </c>
      <c r="C602" s="18" t="s">
        <v>787</v>
      </c>
      <c r="D602" s="11">
        <v>1229.8</v>
      </c>
      <c r="G602" s="11">
        <v>212.5</v>
      </c>
      <c r="H602" s="11">
        <v>13.2</v>
      </c>
      <c r="I602" s="11">
        <v>12.3</v>
      </c>
      <c r="J602" s="11">
        <v>200.9</v>
      </c>
      <c r="K602" s="11">
        <v>38.700000000000003</v>
      </c>
      <c r="L602" s="11">
        <v>165.7</v>
      </c>
      <c r="N602" s="11">
        <v>47.2</v>
      </c>
      <c r="O602" s="11">
        <v>41.2</v>
      </c>
      <c r="P602" s="9"/>
      <c r="Q602" s="9"/>
      <c r="S602" s="11">
        <v>490.8</v>
      </c>
      <c r="T602" s="13"/>
      <c r="U602" s="13"/>
      <c r="V602" s="13"/>
      <c r="W602" s="13"/>
      <c r="X602" s="13"/>
      <c r="Y602" s="11">
        <v>5326.4</v>
      </c>
      <c r="Z602" s="13"/>
      <c r="AA602" s="13"/>
      <c r="AB602" s="13"/>
      <c r="AC602" s="13"/>
      <c r="AD602" s="13"/>
      <c r="AE602" s="13"/>
      <c r="AF602" s="13"/>
      <c r="AG602" s="13"/>
      <c r="AK602" s="11">
        <v>5.5</v>
      </c>
      <c r="AL602" s="13">
        <f t="shared" si="25"/>
        <v>2446.8000000000002</v>
      </c>
      <c r="AM602" s="23" t="s">
        <v>815</v>
      </c>
      <c r="AN602" s="13"/>
      <c r="AP602" s="13"/>
      <c r="AQ602" s="13"/>
      <c r="AR602" s="13"/>
    </row>
    <row r="603" spans="1:44" ht="15.75" customHeight="1">
      <c r="A603" s="9" t="s">
        <v>816</v>
      </c>
      <c r="B603" s="9" t="s">
        <v>345</v>
      </c>
      <c r="C603" s="18" t="s">
        <v>787</v>
      </c>
      <c r="D603" s="11">
        <v>290</v>
      </c>
      <c r="G603" s="11">
        <v>23</v>
      </c>
      <c r="H603" s="11">
        <v>7.5</v>
      </c>
      <c r="I603" s="11">
        <v>2.2999999999999998</v>
      </c>
      <c r="J603" s="11">
        <v>9.3000000000000007</v>
      </c>
      <c r="K603" s="11">
        <v>17.5</v>
      </c>
      <c r="L603" s="11">
        <v>12.7</v>
      </c>
      <c r="N603" s="11">
        <v>7.9</v>
      </c>
      <c r="O603" s="11">
        <v>6.5</v>
      </c>
      <c r="P603" s="9"/>
      <c r="Q603" s="9"/>
      <c r="S603" s="11">
        <v>284.89999999999998</v>
      </c>
      <c r="T603" s="13"/>
      <c r="U603" s="13"/>
      <c r="V603" s="13"/>
      <c r="W603" s="13"/>
      <c r="X603" s="13"/>
      <c r="Y603" s="11">
        <v>1526.6</v>
      </c>
      <c r="Z603" s="13"/>
      <c r="AA603" s="13"/>
      <c r="AB603" s="13"/>
      <c r="AC603" s="13"/>
      <c r="AD603" s="13"/>
      <c r="AE603" s="13"/>
      <c r="AF603" s="13"/>
      <c r="AG603" s="13"/>
      <c r="AK603" s="11">
        <v>223.5</v>
      </c>
      <c r="AL603" s="13">
        <f t="shared" si="25"/>
        <v>438.09999999999991</v>
      </c>
      <c r="AM603" s="23" t="s">
        <v>817</v>
      </c>
      <c r="AN603" s="13"/>
      <c r="AP603" s="13"/>
      <c r="AQ603" s="13"/>
      <c r="AR603" s="13"/>
    </row>
    <row r="604" spans="1:44" ht="15.75" customHeight="1">
      <c r="A604" s="9" t="s">
        <v>671</v>
      </c>
      <c r="B604" s="9" t="s">
        <v>506</v>
      </c>
      <c r="C604" s="18" t="s">
        <v>787</v>
      </c>
      <c r="D604" s="11">
        <v>884.8</v>
      </c>
      <c r="G604" s="11">
        <v>44.2</v>
      </c>
      <c r="H604" s="11">
        <v>21.8</v>
      </c>
      <c r="I604" s="11">
        <v>10.9</v>
      </c>
      <c r="J604" s="11">
        <v>17.7</v>
      </c>
      <c r="K604" s="11">
        <v>10.5</v>
      </c>
      <c r="L604" s="11">
        <v>6.9</v>
      </c>
      <c r="N604" s="11">
        <v>10.1</v>
      </c>
      <c r="O604" s="11">
        <v>6.6</v>
      </c>
      <c r="P604" s="9"/>
      <c r="Q604" s="9"/>
      <c r="S604" s="11">
        <v>1453.6</v>
      </c>
      <c r="T604" s="13"/>
      <c r="U604" s="13"/>
      <c r="V604" s="13"/>
      <c r="W604" s="13"/>
      <c r="X604" s="13"/>
      <c r="Y604" s="11">
        <v>3186.4</v>
      </c>
      <c r="Z604" s="13"/>
      <c r="AA604" s="13"/>
      <c r="AB604" s="13"/>
      <c r="AC604" s="13"/>
      <c r="AD604" s="13"/>
      <c r="AE604" s="13"/>
      <c r="AF604" s="13"/>
      <c r="AG604" s="13"/>
      <c r="AK604" s="11">
        <v>3.5</v>
      </c>
      <c r="AL604" s="13">
        <f t="shared" si="25"/>
        <v>2463.6</v>
      </c>
      <c r="AM604" s="23" t="s">
        <v>818</v>
      </c>
      <c r="AN604" s="13"/>
      <c r="AP604" s="13"/>
      <c r="AQ604" s="13"/>
      <c r="AR604" s="13"/>
    </row>
    <row r="605" spans="1:44" ht="15.75" customHeight="1">
      <c r="A605" s="9" t="s">
        <v>252</v>
      </c>
      <c r="B605" s="9" t="s">
        <v>252</v>
      </c>
      <c r="C605" s="18" t="s">
        <v>787</v>
      </c>
      <c r="D605" s="11">
        <v>1081.8</v>
      </c>
      <c r="G605" s="11">
        <v>18.399999999999999</v>
      </c>
      <c r="H605" s="11">
        <v>1.9</v>
      </c>
      <c r="I605" s="11">
        <v>0.9</v>
      </c>
      <c r="J605" s="11">
        <v>35.4</v>
      </c>
      <c r="K605" s="11">
        <v>4.3</v>
      </c>
      <c r="L605" s="11">
        <v>8.3000000000000007</v>
      </c>
      <c r="N605" s="11">
        <v>10.7</v>
      </c>
      <c r="O605" s="11">
        <v>4.4000000000000004</v>
      </c>
      <c r="P605" s="9"/>
      <c r="Q605" s="9"/>
      <c r="S605" s="11">
        <v>366.4</v>
      </c>
      <c r="T605" s="13"/>
      <c r="U605" s="13"/>
      <c r="V605" s="13"/>
      <c r="W605" s="13"/>
      <c r="X605" s="13"/>
      <c r="Y605" s="11">
        <v>151.9</v>
      </c>
      <c r="Z605" s="13"/>
      <c r="AA605" s="13"/>
      <c r="AB605" s="13"/>
      <c r="AC605" s="13"/>
      <c r="AD605" s="13"/>
      <c r="AE605" s="13"/>
      <c r="AF605" s="13"/>
      <c r="AG605" s="13"/>
      <c r="AK605" s="11">
        <v>3.4</v>
      </c>
      <c r="AL605" s="13">
        <f t="shared" si="25"/>
        <v>1529.1000000000004</v>
      </c>
      <c r="AM605" s="23" t="s">
        <v>819</v>
      </c>
      <c r="AN605" s="13"/>
      <c r="AP605" s="13"/>
      <c r="AQ605" s="13"/>
      <c r="AR605" s="13"/>
    </row>
    <row r="606" spans="1:44" ht="15.75" customHeight="1">
      <c r="A606" s="9" t="s">
        <v>820</v>
      </c>
      <c r="B606" s="9" t="s">
        <v>255</v>
      </c>
      <c r="C606" s="18" t="s">
        <v>787</v>
      </c>
      <c r="D606" s="11">
        <v>219.9</v>
      </c>
      <c r="G606" s="11">
        <v>14.2</v>
      </c>
      <c r="H606" s="11">
        <v>20.5</v>
      </c>
      <c r="I606" s="11">
        <v>1.7</v>
      </c>
      <c r="J606" s="11">
        <v>0</v>
      </c>
      <c r="K606" s="11">
        <v>13.4</v>
      </c>
      <c r="L606" s="11">
        <v>5.7</v>
      </c>
      <c r="N606" s="11">
        <v>5.3</v>
      </c>
      <c r="O606" s="11">
        <v>0.8</v>
      </c>
      <c r="P606" s="9"/>
      <c r="Q606" s="9"/>
      <c r="S606" s="11">
        <v>83.6</v>
      </c>
      <c r="T606" s="13"/>
      <c r="U606" s="13"/>
      <c r="V606" s="13"/>
      <c r="W606" s="13"/>
      <c r="X606" s="13"/>
      <c r="Y606" s="11">
        <v>885.6</v>
      </c>
      <c r="Z606" s="13"/>
      <c r="AA606" s="13"/>
      <c r="AB606" s="13"/>
      <c r="AC606" s="13"/>
      <c r="AD606" s="13"/>
      <c r="AE606" s="13"/>
      <c r="AF606" s="13"/>
      <c r="AG606" s="13"/>
      <c r="AK606" s="11">
        <v>0</v>
      </c>
      <c r="AL606" s="13">
        <f t="shared" si="25"/>
        <v>365.1</v>
      </c>
      <c r="AM606" s="23" t="s">
        <v>821</v>
      </c>
      <c r="AN606" s="13"/>
      <c r="AP606" s="13"/>
      <c r="AQ606" s="13"/>
      <c r="AR606" s="13"/>
    </row>
    <row r="607" spans="1:44" ht="15.75" customHeight="1">
      <c r="A607" s="9" t="s">
        <v>822</v>
      </c>
      <c r="B607" s="9" t="s">
        <v>822</v>
      </c>
      <c r="C607" s="18" t="s">
        <v>787</v>
      </c>
      <c r="D607" s="11">
        <v>537.70000000000005</v>
      </c>
      <c r="G607" s="11">
        <v>36.5</v>
      </c>
      <c r="H607" s="11">
        <v>21.7</v>
      </c>
      <c r="I607" s="11">
        <v>13.7</v>
      </c>
      <c r="J607" s="11">
        <v>115.6</v>
      </c>
      <c r="K607" s="11">
        <v>22</v>
      </c>
      <c r="L607" s="11">
        <v>23</v>
      </c>
      <c r="N607" s="11">
        <v>12.8</v>
      </c>
      <c r="O607" s="11">
        <v>12.8</v>
      </c>
      <c r="P607" s="9"/>
      <c r="Q607" s="9"/>
      <c r="S607" s="11">
        <v>707.7</v>
      </c>
      <c r="T607" s="13"/>
      <c r="U607" s="13"/>
      <c r="V607" s="13"/>
      <c r="W607" s="13"/>
      <c r="X607" s="13"/>
      <c r="Y607" s="11">
        <v>1369</v>
      </c>
      <c r="Z607" s="13"/>
      <c r="AA607" s="13"/>
      <c r="AB607" s="13"/>
      <c r="AC607" s="13"/>
      <c r="AD607" s="13"/>
      <c r="AE607" s="13"/>
      <c r="AF607" s="13"/>
      <c r="AG607" s="13"/>
      <c r="AK607" s="9">
        <v>26.4</v>
      </c>
      <c r="AL607" s="13">
        <f t="shared" si="25"/>
        <v>1477.1</v>
      </c>
      <c r="AM607" s="23" t="s">
        <v>823</v>
      </c>
      <c r="AN607" s="13"/>
      <c r="AP607" s="13"/>
      <c r="AQ607" s="13"/>
      <c r="AR607" s="13"/>
    </row>
    <row r="608" spans="1:44" ht="15.75" customHeight="1">
      <c r="A608" s="9" t="s">
        <v>824</v>
      </c>
      <c r="B608" s="9" t="s">
        <v>824</v>
      </c>
      <c r="C608" s="18" t="s">
        <v>787</v>
      </c>
      <c r="D608" s="11">
        <v>369.3</v>
      </c>
      <c r="G608" s="11">
        <v>41.6</v>
      </c>
      <c r="H608" s="11">
        <v>67.900000000000006</v>
      </c>
      <c r="I608" s="11">
        <v>6.1</v>
      </c>
      <c r="J608" s="11">
        <v>121.6</v>
      </c>
      <c r="K608" s="11">
        <v>14</v>
      </c>
      <c r="L608" s="11">
        <v>43.2</v>
      </c>
      <c r="N608" s="11">
        <v>12.4</v>
      </c>
      <c r="O608" s="11">
        <v>7</v>
      </c>
      <c r="P608" s="9"/>
      <c r="Q608" s="9"/>
      <c r="S608" s="11">
        <v>188.7</v>
      </c>
      <c r="T608" s="13"/>
      <c r="U608" s="13"/>
      <c r="V608" s="13"/>
      <c r="W608" s="13"/>
      <c r="X608" s="13"/>
      <c r="Y608" s="11">
        <v>1862.8</v>
      </c>
      <c r="Z608" s="13"/>
      <c r="AA608" s="13"/>
      <c r="AB608" s="13"/>
      <c r="AC608" s="13"/>
      <c r="AD608" s="13"/>
      <c r="AE608" s="13"/>
      <c r="AF608" s="13"/>
      <c r="AG608" s="13"/>
      <c r="AK608" s="11">
        <v>46.9</v>
      </c>
      <c r="AL608" s="13">
        <f t="shared" si="25"/>
        <v>824.9000000000002</v>
      </c>
      <c r="AM608" s="23" t="s">
        <v>825</v>
      </c>
      <c r="AN608" s="13"/>
      <c r="AP608" s="13"/>
      <c r="AQ608" s="13"/>
      <c r="AR608" s="13"/>
    </row>
    <row r="609" spans="1:44" ht="15.75" customHeight="1">
      <c r="A609" s="9" t="s">
        <v>826</v>
      </c>
      <c r="B609" s="9" t="s">
        <v>826</v>
      </c>
      <c r="C609" s="18" t="s">
        <v>787</v>
      </c>
      <c r="D609" s="11">
        <v>166.6</v>
      </c>
      <c r="G609" s="11">
        <v>35.200000000000003</v>
      </c>
      <c r="H609" s="11">
        <v>83.1</v>
      </c>
      <c r="I609" s="11">
        <v>9.9</v>
      </c>
      <c r="J609" s="11">
        <v>40.299999999999997</v>
      </c>
      <c r="K609" s="11">
        <v>16.7</v>
      </c>
      <c r="L609" s="11">
        <v>44.3</v>
      </c>
      <c r="N609" s="11">
        <v>6.7</v>
      </c>
      <c r="O609" s="11">
        <v>0</v>
      </c>
      <c r="P609" s="9"/>
      <c r="Q609" s="9"/>
      <c r="S609" s="11">
        <v>1095.0999999999999</v>
      </c>
      <c r="T609" s="13"/>
      <c r="U609" s="13"/>
      <c r="V609" s="13"/>
      <c r="W609" s="13"/>
      <c r="X609" s="13"/>
      <c r="Y609" s="11">
        <v>0</v>
      </c>
      <c r="Z609" s="13"/>
      <c r="AA609" s="13"/>
      <c r="AB609" s="13"/>
      <c r="AC609" s="13"/>
      <c r="AD609" s="13"/>
      <c r="AE609" s="13"/>
      <c r="AF609" s="13"/>
      <c r="AG609" s="13"/>
      <c r="AK609" s="11">
        <v>0</v>
      </c>
      <c r="AL609" s="13">
        <f t="shared" si="25"/>
        <v>1497.8999999999999</v>
      </c>
      <c r="AM609" s="23" t="s">
        <v>827</v>
      </c>
      <c r="AN609" s="13"/>
      <c r="AP609" s="13"/>
      <c r="AQ609" s="13"/>
      <c r="AR609" s="13"/>
    </row>
    <row r="610" spans="1:44" ht="15.75" customHeight="1">
      <c r="A610" s="9" t="s">
        <v>684</v>
      </c>
      <c r="B610" s="9" t="s">
        <v>267</v>
      </c>
      <c r="C610" s="18" t="s">
        <v>787</v>
      </c>
      <c r="D610" s="11">
        <v>319</v>
      </c>
      <c r="G610" s="11">
        <v>39</v>
      </c>
      <c r="H610" s="11">
        <v>11.7</v>
      </c>
      <c r="I610" s="11">
        <v>5.0999999999999996</v>
      </c>
      <c r="J610" s="11">
        <v>2</v>
      </c>
      <c r="K610" s="11">
        <v>16.3</v>
      </c>
      <c r="L610" s="11">
        <v>13</v>
      </c>
      <c r="N610" s="11">
        <v>10.1</v>
      </c>
      <c r="O610" s="11">
        <v>4.5</v>
      </c>
      <c r="P610" s="9"/>
      <c r="Q610" s="9"/>
      <c r="S610" s="11">
        <v>242.2</v>
      </c>
      <c r="T610" s="13"/>
      <c r="U610" s="13"/>
      <c r="V610" s="13"/>
      <c r="W610" s="13"/>
      <c r="X610" s="13"/>
      <c r="Y610" s="11">
        <v>0</v>
      </c>
      <c r="Z610" s="13"/>
      <c r="AA610" s="13"/>
      <c r="AB610" s="13"/>
      <c r="AC610" s="13"/>
      <c r="AD610" s="13"/>
      <c r="AE610" s="13"/>
      <c r="AF610" s="13"/>
      <c r="AG610" s="13"/>
      <c r="AK610" s="11">
        <v>19</v>
      </c>
      <c r="AL610" s="13">
        <f t="shared" si="25"/>
        <v>643.90000000000009</v>
      </c>
      <c r="AM610" s="23" t="s">
        <v>828</v>
      </c>
      <c r="AN610" s="13"/>
      <c r="AP610" s="13"/>
      <c r="AQ610" s="13"/>
      <c r="AR610" s="13"/>
    </row>
    <row r="611" spans="1:44" ht="15.75" customHeight="1">
      <c r="A611" s="9" t="s">
        <v>829</v>
      </c>
      <c r="B611" s="9" t="s">
        <v>829</v>
      </c>
      <c r="C611" s="18" t="s">
        <v>787</v>
      </c>
      <c r="D611" s="11">
        <v>961</v>
      </c>
      <c r="G611" s="11">
        <v>72</v>
      </c>
      <c r="H611" s="11">
        <v>91.3</v>
      </c>
      <c r="I611" s="11">
        <v>32.9</v>
      </c>
      <c r="J611" s="11">
        <v>96.1</v>
      </c>
      <c r="K611" s="11">
        <v>30.8</v>
      </c>
      <c r="L611" s="11">
        <v>108</v>
      </c>
      <c r="N611" s="11">
        <v>6.6</v>
      </c>
      <c r="O611" s="11">
        <v>16</v>
      </c>
      <c r="P611" s="9"/>
      <c r="Q611" s="9"/>
      <c r="S611" s="11">
        <v>174</v>
      </c>
      <c r="T611" s="13"/>
      <c r="U611" s="13"/>
      <c r="V611" s="13"/>
      <c r="W611" s="13"/>
      <c r="X611" s="13"/>
      <c r="Y611" s="11">
        <v>1418.6</v>
      </c>
      <c r="Z611" s="13"/>
      <c r="AA611" s="13"/>
      <c r="AB611" s="13"/>
      <c r="AC611" s="13"/>
      <c r="AD611" s="13"/>
      <c r="AE611" s="13"/>
      <c r="AF611" s="13"/>
      <c r="AG611" s="13"/>
      <c r="AK611" s="11">
        <v>0</v>
      </c>
      <c r="AL611" s="13">
        <f t="shared" si="25"/>
        <v>1588.6999999999998</v>
      </c>
      <c r="AM611" s="23" t="s">
        <v>830</v>
      </c>
      <c r="AN611" s="13"/>
      <c r="AP611" s="13"/>
      <c r="AQ611" s="13"/>
      <c r="AR611" s="13"/>
    </row>
    <row r="612" spans="1:44" ht="15.75" customHeight="1">
      <c r="A612" s="9" t="s">
        <v>148</v>
      </c>
      <c r="B612" s="9" t="s">
        <v>148</v>
      </c>
      <c r="C612" s="18" t="s">
        <v>787</v>
      </c>
      <c r="D612" s="11">
        <v>6324.9</v>
      </c>
      <c r="G612" s="11">
        <v>453.4</v>
      </c>
      <c r="H612" s="11">
        <v>51.9</v>
      </c>
      <c r="I612" s="11">
        <v>44.7</v>
      </c>
      <c r="J612" s="11">
        <v>13.4</v>
      </c>
      <c r="K612" s="11">
        <v>17.899999999999999</v>
      </c>
      <c r="L612" s="11">
        <v>121.5</v>
      </c>
      <c r="N612" s="11">
        <v>153.30000000000001</v>
      </c>
      <c r="O612" s="11">
        <v>60.5</v>
      </c>
      <c r="P612" s="9"/>
      <c r="Q612" s="9"/>
      <c r="S612" s="11">
        <v>3239.6</v>
      </c>
      <c r="T612" s="13"/>
      <c r="U612" s="13"/>
      <c r="V612" s="13"/>
      <c r="W612" s="13"/>
      <c r="X612" s="13"/>
      <c r="Y612" s="11">
        <v>778.5</v>
      </c>
      <c r="Z612" s="13"/>
      <c r="AA612" s="13"/>
      <c r="AB612" s="13"/>
      <c r="AC612" s="13"/>
      <c r="AD612" s="13"/>
      <c r="AE612" s="13"/>
      <c r="AF612" s="13"/>
      <c r="AG612" s="13"/>
      <c r="AK612" s="11">
        <v>0</v>
      </c>
      <c r="AL612" s="13">
        <f t="shared" si="25"/>
        <v>10481.099999999999</v>
      </c>
      <c r="AM612" s="23" t="s">
        <v>831</v>
      </c>
      <c r="AN612" s="13"/>
      <c r="AP612" s="13"/>
      <c r="AQ612" s="13"/>
      <c r="AR612" s="13"/>
    </row>
    <row r="613" spans="1:44" ht="15.75" customHeight="1">
      <c r="A613" s="9" t="s">
        <v>693</v>
      </c>
      <c r="B613" s="9" t="s">
        <v>150</v>
      </c>
      <c r="C613" s="18" t="s">
        <v>787</v>
      </c>
      <c r="D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N613" s="11">
        <v>0</v>
      </c>
      <c r="O613" s="11">
        <v>0</v>
      </c>
      <c r="P613" s="9"/>
      <c r="Q613" s="9"/>
      <c r="S613" s="11">
        <v>0</v>
      </c>
      <c r="T613" s="13"/>
      <c r="U613" s="13"/>
      <c r="V613" s="13"/>
      <c r="W613" s="13"/>
      <c r="X613" s="13"/>
      <c r="Y613" s="11">
        <v>2495.3000000000002</v>
      </c>
      <c r="Z613" s="13"/>
      <c r="AA613" s="13"/>
      <c r="AB613" s="13"/>
      <c r="AC613" s="13"/>
      <c r="AD613" s="13"/>
      <c r="AE613" s="13"/>
      <c r="AF613" s="13"/>
      <c r="AG613" s="13"/>
      <c r="AK613" s="11">
        <v>0</v>
      </c>
      <c r="AL613" s="13">
        <f t="shared" si="25"/>
        <v>0</v>
      </c>
      <c r="AM613" s="23" t="s">
        <v>832</v>
      </c>
      <c r="AN613" s="13"/>
      <c r="AP613" s="13"/>
      <c r="AQ613" s="13"/>
      <c r="AR613" s="13"/>
    </row>
    <row r="614" spans="1:44" ht="15.75" customHeight="1">
      <c r="A614" s="9" t="s">
        <v>152</v>
      </c>
      <c r="B614" s="9" t="s">
        <v>152</v>
      </c>
      <c r="C614" s="18" t="s">
        <v>787</v>
      </c>
      <c r="D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N614" s="11">
        <v>0</v>
      </c>
      <c r="O614" s="11">
        <v>0</v>
      </c>
      <c r="P614" s="9"/>
      <c r="Q614" s="9"/>
      <c r="S614" s="11">
        <v>0</v>
      </c>
      <c r="T614" s="13"/>
      <c r="U614" s="13"/>
      <c r="V614" s="13"/>
      <c r="W614" s="13"/>
      <c r="X614" s="13"/>
      <c r="Y614" s="11">
        <v>21486.3</v>
      </c>
      <c r="Z614" s="13"/>
      <c r="AA614" s="13"/>
      <c r="AB614" s="13"/>
      <c r="AC614" s="13"/>
      <c r="AD614" s="13"/>
      <c r="AE614" s="13"/>
      <c r="AF614" s="13"/>
      <c r="AG614" s="13"/>
      <c r="AK614" s="11">
        <v>0</v>
      </c>
      <c r="AL614" s="13">
        <f t="shared" si="25"/>
        <v>0</v>
      </c>
      <c r="AM614" s="23" t="s">
        <v>833</v>
      </c>
      <c r="AN614" s="13"/>
      <c r="AP614" s="13"/>
      <c r="AQ614" s="13"/>
      <c r="AR614" s="13"/>
    </row>
    <row r="615" spans="1:44" ht="15.75" customHeight="1">
      <c r="A615" s="9" t="s">
        <v>834</v>
      </c>
      <c r="B615" s="9" t="s">
        <v>834</v>
      </c>
      <c r="C615" s="18" t="s">
        <v>787</v>
      </c>
      <c r="D615" s="11">
        <v>1107.9000000000001</v>
      </c>
      <c r="G615" s="11">
        <v>149.69999999999999</v>
      </c>
      <c r="H615" s="11">
        <v>13.9</v>
      </c>
      <c r="I615" s="11">
        <v>9.1999999999999993</v>
      </c>
      <c r="J615" s="11">
        <v>136.6</v>
      </c>
      <c r="K615" s="11">
        <v>144.4</v>
      </c>
      <c r="L615" s="11">
        <v>65.2</v>
      </c>
      <c r="N615" s="11">
        <v>14.7</v>
      </c>
      <c r="O615" s="11">
        <v>9</v>
      </c>
      <c r="P615" s="9"/>
      <c r="Q615" s="9"/>
      <c r="S615" s="11">
        <v>488.4</v>
      </c>
      <c r="T615" s="13"/>
      <c r="U615" s="13"/>
      <c r="V615" s="13"/>
      <c r="W615" s="13"/>
      <c r="X615" s="13"/>
      <c r="Y615" s="11">
        <v>0</v>
      </c>
      <c r="Z615" s="13"/>
      <c r="AA615" s="13"/>
      <c r="AB615" s="13"/>
      <c r="AC615" s="13"/>
      <c r="AD615" s="13"/>
      <c r="AE615" s="13"/>
      <c r="AF615" s="13"/>
      <c r="AG615" s="13"/>
      <c r="AK615" s="11">
        <v>0.1</v>
      </c>
      <c r="AL615" s="13">
        <f t="shared" si="25"/>
        <v>2138.9000000000005</v>
      </c>
      <c r="AM615" s="23" t="s">
        <v>835</v>
      </c>
      <c r="AN615" s="13"/>
      <c r="AP615" s="13"/>
      <c r="AQ615" s="13"/>
      <c r="AR615" s="13"/>
    </row>
    <row r="616" spans="1:44" ht="15.75" customHeight="1">
      <c r="A616" s="9" t="s">
        <v>836</v>
      </c>
      <c r="B616" s="9" t="s">
        <v>836</v>
      </c>
      <c r="C616" s="18" t="s">
        <v>787</v>
      </c>
      <c r="D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N616" s="11">
        <v>0</v>
      </c>
      <c r="O616" s="11">
        <v>0</v>
      </c>
      <c r="P616" s="9"/>
      <c r="Q616" s="9"/>
      <c r="S616" s="11">
        <v>0</v>
      </c>
      <c r="T616" s="13"/>
      <c r="U616" s="13"/>
      <c r="V616" s="13"/>
      <c r="W616" s="13"/>
      <c r="X616" s="13"/>
      <c r="Y616" s="11">
        <v>295.10000000000002</v>
      </c>
      <c r="Z616" s="13"/>
      <c r="AA616" s="13"/>
      <c r="AB616" s="13"/>
      <c r="AC616" s="13"/>
      <c r="AD616" s="13"/>
      <c r="AE616" s="13"/>
      <c r="AF616" s="13"/>
      <c r="AG616" s="13"/>
      <c r="AK616" s="11">
        <v>0</v>
      </c>
      <c r="AL616" s="13">
        <f t="shared" ref="AL616:AL647" si="26">SUM(D616:S616)-AK616</f>
        <v>0</v>
      </c>
      <c r="AM616" s="23" t="s">
        <v>837</v>
      </c>
      <c r="AN616" s="13"/>
      <c r="AP616" s="13"/>
      <c r="AQ616" s="13"/>
      <c r="AR616" s="13"/>
    </row>
    <row r="617" spans="1:44" ht="15.75" customHeight="1">
      <c r="A617" s="9" t="s">
        <v>838</v>
      </c>
      <c r="B617" s="9" t="s">
        <v>838</v>
      </c>
      <c r="C617" s="18" t="s">
        <v>787</v>
      </c>
      <c r="D617" s="11">
        <v>79.8</v>
      </c>
      <c r="G617" s="11">
        <v>7.3</v>
      </c>
      <c r="H617" s="11">
        <v>0.8</v>
      </c>
      <c r="I617" s="11">
        <v>0.9</v>
      </c>
      <c r="J617" s="11">
        <v>16.3</v>
      </c>
      <c r="K617" s="11">
        <v>1.4</v>
      </c>
      <c r="L617" s="11">
        <v>4.3</v>
      </c>
      <c r="N617" s="11">
        <v>1.5</v>
      </c>
      <c r="O617" s="11">
        <v>1.3</v>
      </c>
      <c r="P617" s="9"/>
      <c r="Q617" s="9"/>
      <c r="S617" s="11">
        <v>40.200000000000003</v>
      </c>
      <c r="T617" s="13"/>
      <c r="U617" s="13"/>
      <c r="V617" s="13"/>
      <c r="W617" s="13"/>
      <c r="X617" s="13"/>
      <c r="Y617" s="11">
        <v>367.2</v>
      </c>
      <c r="Z617" s="13"/>
      <c r="AA617" s="13"/>
      <c r="AB617" s="13"/>
      <c r="AC617" s="13"/>
      <c r="AD617" s="13"/>
      <c r="AE617" s="13"/>
      <c r="AF617" s="13"/>
      <c r="AG617" s="13"/>
      <c r="AK617" s="9">
        <v>3.4</v>
      </c>
      <c r="AL617" s="13">
        <f t="shared" si="26"/>
        <v>150.4</v>
      </c>
      <c r="AM617" s="23" t="s">
        <v>839</v>
      </c>
      <c r="AN617" s="13"/>
      <c r="AP617" s="13"/>
      <c r="AQ617" s="13"/>
      <c r="AR617" s="13"/>
    </row>
    <row r="618" spans="1:44" ht="15.75" customHeight="1">
      <c r="A618" s="9" t="s">
        <v>158</v>
      </c>
      <c r="B618" s="9" t="s">
        <v>158</v>
      </c>
      <c r="C618" s="18" t="s">
        <v>787</v>
      </c>
      <c r="D618" s="11">
        <v>162.4</v>
      </c>
      <c r="G618" s="11">
        <v>6.8</v>
      </c>
      <c r="H618" s="11">
        <v>1</v>
      </c>
      <c r="I618" s="11">
        <v>1.1000000000000001</v>
      </c>
      <c r="J618" s="11">
        <v>13.2</v>
      </c>
      <c r="K618" s="11">
        <v>7.2</v>
      </c>
      <c r="L618" s="11">
        <v>12.8</v>
      </c>
      <c r="N618" s="11">
        <v>4.9000000000000004</v>
      </c>
      <c r="O618" s="11">
        <v>1</v>
      </c>
      <c r="P618" s="9"/>
      <c r="Q618" s="9"/>
      <c r="S618" s="11">
        <v>151.1</v>
      </c>
      <c r="T618" s="13"/>
      <c r="U618" s="13"/>
      <c r="V618" s="13"/>
      <c r="W618" s="13"/>
      <c r="X618" s="13"/>
      <c r="Y618" s="11">
        <v>0</v>
      </c>
      <c r="Z618" s="13"/>
      <c r="AA618" s="13"/>
      <c r="AB618" s="13"/>
      <c r="AC618" s="13"/>
      <c r="AD618" s="13"/>
      <c r="AE618" s="13"/>
      <c r="AF618" s="13"/>
      <c r="AG618" s="13"/>
      <c r="AK618" s="11">
        <v>0</v>
      </c>
      <c r="AL618" s="13">
        <f t="shared" si="26"/>
        <v>361.5</v>
      </c>
      <c r="AM618" s="23" t="s">
        <v>840</v>
      </c>
      <c r="AN618" s="13"/>
      <c r="AP618" s="13"/>
      <c r="AQ618" s="13"/>
      <c r="AR618" s="13"/>
    </row>
    <row r="619" spans="1:44" ht="15.75" customHeight="1">
      <c r="A619" s="9" t="s">
        <v>164</v>
      </c>
      <c r="B619" s="9" t="s">
        <v>164</v>
      </c>
      <c r="C619" s="18" t="s">
        <v>787</v>
      </c>
      <c r="D619" s="11">
        <v>190.8</v>
      </c>
      <c r="G619" s="11">
        <v>34.700000000000003</v>
      </c>
      <c r="H619" s="11">
        <v>18.2</v>
      </c>
      <c r="I619" s="11">
        <v>10.3</v>
      </c>
      <c r="J619" s="11">
        <v>44.9</v>
      </c>
      <c r="K619" s="9">
        <v>4</v>
      </c>
      <c r="L619" s="11">
        <v>4.8</v>
      </c>
      <c r="N619" s="11">
        <v>5.4</v>
      </c>
      <c r="O619" s="11">
        <v>0.6</v>
      </c>
      <c r="P619" s="9"/>
      <c r="Q619" s="9"/>
      <c r="S619" s="11">
        <v>126.6</v>
      </c>
      <c r="T619" s="13"/>
      <c r="U619" s="13"/>
      <c r="V619" s="13"/>
      <c r="W619" s="13"/>
      <c r="X619" s="13"/>
      <c r="Y619" s="11">
        <v>0</v>
      </c>
      <c r="Z619" s="13"/>
      <c r="AA619" s="13"/>
      <c r="AB619" s="13"/>
      <c r="AC619" s="13"/>
      <c r="AD619" s="13"/>
      <c r="AE619" s="13"/>
      <c r="AF619" s="13"/>
      <c r="AG619" s="13"/>
      <c r="AK619" s="11">
        <v>0</v>
      </c>
      <c r="AL619" s="13">
        <f t="shared" si="26"/>
        <v>440.29999999999995</v>
      </c>
      <c r="AM619" s="23" t="s">
        <v>841</v>
      </c>
      <c r="AN619" s="13"/>
      <c r="AP619" s="13"/>
      <c r="AQ619" s="13"/>
      <c r="AR619" s="13"/>
    </row>
    <row r="620" spans="1:44" ht="15.75" customHeight="1">
      <c r="A620" s="9" t="s">
        <v>700</v>
      </c>
      <c r="B620" s="9" t="s">
        <v>166</v>
      </c>
      <c r="C620" s="18" t="s">
        <v>787</v>
      </c>
      <c r="D620" s="11">
        <v>673</v>
      </c>
      <c r="G620" s="11">
        <v>80.099999999999994</v>
      </c>
      <c r="H620" s="11">
        <v>14.2</v>
      </c>
      <c r="I620" s="11">
        <v>73.099999999999994</v>
      </c>
      <c r="J620" s="11">
        <v>17.8</v>
      </c>
      <c r="K620" s="11">
        <v>18.399999999999999</v>
      </c>
      <c r="L620" s="11">
        <v>108.6</v>
      </c>
      <c r="N620" s="11">
        <v>3.5</v>
      </c>
      <c r="O620" s="11">
        <v>0.9</v>
      </c>
      <c r="P620" s="9"/>
      <c r="Q620" s="9"/>
      <c r="S620" s="11">
        <v>159.19999999999999</v>
      </c>
      <c r="T620" s="13"/>
      <c r="U620" s="13"/>
      <c r="V620" s="13"/>
      <c r="W620" s="13"/>
      <c r="X620" s="13"/>
      <c r="Y620" s="11">
        <v>0</v>
      </c>
      <c r="Z620" s="13"/>
      <c r="AA620" s="13"/>
      <c r="AB620" s="13"/>
      <c r="AC620" s="13"/>
      <c r="AD620" s="13"/>
      <c r="AE620" s="13"/>
      <c r="AF620" s="13"/>
      <c r="AG620" s="13"/>
      <c r="AK620" s="11">
        <v>0.3</v>
      </c>
      <c r="AL620" s="13">
        <f t="shared" si="26"/>
        <v>1148.5</v>
      </c>
      <c r="AM620" s="23" t="s">
        <v>842</v>
      </c>
      <c r="AN620" s="13"/>
      <c r="AP620" s="13"/>
      <c r="AQ620" s="13"/>
      <c r="AR620" s="13"/>
    </row>
    <row r="621" spans="1:44" ht="15.75" customHeight="1">
      <c r="A621" s="9" t="s">
        <v>168</v>
      </c>
      <c r="B621" s="9" t="s">
        <v>168</v>
      </c>
      <c r="C621" s="18" t="s">
        <v>787</v>
      </c>
      <c r="D621" s="11">
        <v>2229.8000000000002</v>
      </c>
      <c r="G621" s="11">
        <v>264.39999999999998</v>
      </c>
      <c r="H621" s="11">
        <v>29.2</v>
      </c>
      <c r="I621" s="11">
        <v>18.7</v>
      </c>
      <c r="J621" s="11">
        <v>427.8</v>
      </c>
      <c r="K621" s="11">
        <v>23.9</v>
      </c>
      <c r="L621" s="11">
        <v>212.6</v>
      </c>
      <c r="N621" s="11">
        <v>16.7</v>
      </c>
      <c r="O621" s="11">
        <v>5</v>
      </c>
      <c r="P621" s="9"/>
      <c r="Q621" s="9"/>
      <c r="S621" s="11">
        <v>920.5</v>
      </c>
      <c r="T621" s="13"/>
      <c r="U621" s="13"/>
      <c r="V621" s="13"/>
      <c r="W621" s="13"/>
      <c r="X621" s="13"/>
      <c r="Y621" s="11">
        <v>0</v>
      </c>
      <c r="Z621" s="13"/>
      <c r="AA621" s="13"/>
      <c r="AB621" s="13"/>
      <c r="AC621" s="13"/>
      <c r="AD621" s="13"/>
      <c r="AE621" s="13"/>
      <c r="AF621" s="13"/>
      <c r="AG621" s="13"/>
      <c r="AK621" s="11">
        <v>1.9</v>
      </c>
      <c r="AL621" s="13">
        <f t="shared" si="26"/>
        <v>4146.7000000000007</v>
      </c>
      <c r="AM621" s="23" t="s">
        <v>843</v>
      </c>
      <c r="AN621" s="13"/>
      <c r="AP621" s="13"/>
      <c r="AQ621" s="13"/>
      <c r="AR621" s="13"/>
    </row>
    <row r="622" spans="1:44" ht="15.75" customHeight="1">
      <c r="A622" s="9" t="s">
        <v>170</v>
      </c>
      <c r="B622" s="9" t="s">
        <v>170</v>
      </c>
      <c r="C622" s="18" t="s">
        <v>787</v>
      </c>
      <c r="D622" s="11">
        <v>3223.5</v>
      </c>
      <c r="G622" s="11">
        <v>853.5</v>
      </c>
      <c r="H622" s="11">
        <v>835.7</v>
      </c>
      <c r="I622" s="11">
        <v>116</v>
      </c>
      <c r="J622" s="11">
        <v>302.3</v>
      </c>
      <c r="K622" s="11">
        <v>314.5</v>
      </c>
      <c r="L622" s="11">
        <v>270.89999999999998</v>
      </c>
      <c r="N622" s="11">
        <v>39.5</v>
      </c>
      <c r="O622" s="11">
        <v>87.7</v>
      </c>
      <c r="P622" s="9"/>
      <c r="Q622" s="9"/>
      <c r="S622" s="11">
        <v>1553.3</v>
      </c>
      <c r="T622" s="13"/>
      <c r="U622" s="13"/>
      <c r="V622" s="13"/>
      <c r="W622" s="13"/>
      <c r="X622" s="13"/>
      <c r="Y622" s="11">
        <v>-58.2</v>
      </c>
      <c r="Z622" s="13"/>
      <c r="AA622" s="13"/>
      <c r="AB622" s="13"/>
      <c r="AC622" s="13"/>
      <c r="AD622" s="13"/>
      <c r="AE622" s="13"/>
      <c r="AF622" s="13"/>
      <c r="AG622" s="13"/>
      <c r="AK622" s="11">
        <v>0</v>
      </c>
      <c r="AL622" s="13">
        <f t="shared" si="26"/>
        <v>7596.9</v>
      </c>
      <c r="AM622" s="23" t="s">
        <v>844</v>
      </c>
      <c r="AN622" s="13"/>
      <c r="AP622" s="13"/>
      <c r="AQ622" s="13"/>
      <c r="AR622" s="13"/>
    </row>
    <row r="623" spans="1:44" ht="15.75" customHeight="1">
      <c r="A623" s="9" t="s">
        <v>293</v>
      </c>
      <c r="B623" s="9" t="s">
        <v>293</v>
      </c>
      <c r="C623" s="18" t="s">
        <v>787</v>
      </c>
      <c r="D623" s="11">
        <v>8075.9</v>
      </c>
      <c r="G623" s="11">
        <v>2875.7</v>
      </c>
      <c r="H623" s="11">
        <v>766.5</v>
      </c>
      <c r="I623" s="11">
        <v>37.799999999999997</v>
      </c>
      <c r="J623" s="11">
        <v>0</v>
      </c>
      <c r="K623" s="11">
        <v>70.3</v>
      </c>
      <c r="L623" s="11">
        <v>259.89999999999998</v>
      </c>
      <c r="N623" s="11">
        <v>0</v>
      </c>
      <c r="O623" s="11">
        <v>16.600000000000001</v>
      </c>
      <c r="P623" s="9"/>
      <c r="Q623" s="9"/>
      <c r="S623" s="9">
        <v>1194.9000000000001</v>
      </c>
      <c r="T623" s="13"/>
      <c r="U623" s="13"/>
      <c r="V623" s="13"/>
      <c r="W623" s="13"/>
      <c r="X623" s="13"/>
      <c r="Y623" s="11">
        <v>0</v>
      </c>
      <c r="Z623" s="13"/>
      <c r="AA623" s="13"/>
      <c r="AB623" s="13"/>
      <c r="AC623" s="13"/>
      <c r="AD623" s="13"/>
      <c r="AE623" s="13"/>
      <c r="AF623" s="13"/>
      <c r="AG623" s="13"/>
      <c r="AK623" s="11">
        <v>0</v>
      </c>
      <c r="AL623" s="13">
        <f t="shared" si="26"/>
        <v>13297.599999999997</v>
      </c>
      <c r="AM623" s="23" t="s">
        <v>845</v>
      </c>
      <c r="AN623" s="13"/>
      <c r="AP623" s="13"/>
      <c r="AQ623" s="13"/>
      <c r="AR623" s="13"/>
    </row>
    <row r="624" spans="1:44" ht="15.75" customHeight="1">
      <c r="A624" s="9" t="s">
        <v>176</v>
      </c>
      <c r="B624" s="9" t="s">
        <v>176</v>
      </c>
      <c r="C624" s="18" t="s">
        <v>787</v>
      </c>
      <c r="D624" s="11">
        <v>0.4</v>
      </c>
      <c r="G624" s="11">
        <v>34.200000000000003</v>
      </c>
      <c r="H624" s="11">
        <v>57.8</v>
      </c>
      <c r="I624" s="11">
        <v>18.100000000000001</v>
      </c>
      <c r="J624" s="11">
        <v>6.5</v>
      </c>
      <c r="K624" s="11">
        <v>125.4</v>
      </c>
      <c r="L624" s="11">
        <v>103.5</v>
      </c>
      <c r="N624" s="11">
        <v>0</v>
      </c>
      <c r="O624" s="11">
        <v>0.8</v>
      </c>
      <c r="P624" s="9"/>
      <c r="Q624" s="9"/>
      <c r="S624" s="11">
        <v>56.3</v>
      </c>
      <c r="T624" s="13"/>
      <c r="U624" s="13"/>
      <c r="V624" s="13"/>
      <c r="W624" s="13"/>
      <c r="X624" s="13"/>
      <c r="Y624" s="11">
        <v>0</v>
      </c>
      <c r="Z624" s="13"/>
      <c r="AA624" s="13"/>
      <c r="AB624" s="13"/>
      <c r="AC624" s="13"/>
      <c r="AD624" s="13"/>
      <c r="AE624" s="13"/>
      <c r="AF624" s="13"/>
      <c r="AG624" s="13"/>
      <c r="AK624" s="11">
        <v>0</v>
      </c>
      <c r="AL624" s="13">
        <f t="shared" si="26"/>
        <v>403</v>
      </c>
      <c r="AM624" s="23" t="s">
        <v>846</v>
      </c>
      <c r="AN624" s="13"/>
      <c r="AP624" s="13"/>
      <c r="AQ624" s="13"/>
      <c r="AR624" s="13"/>
    </row>
    <row r="625" spans="1:44" ht="15.75" customHeight="1">
      <c r="A625" s="9" t="s">
        <v>178</v>
      </c>
      <c r="B625" s="9" t="s">
        <v>178</v>
      </c>
      <c r="C625" s="18" t="s">
        <v>787</v>
      </c>
      <c r="D625" s="11">
        <v>151.1</v>
      </c>
      <c r="G625" s="11">
        <v>21.5</v>
      </c>
      <c r="H625" s="11">
        <v>5.6</v>
      </c>
      <c r="I625" s="11">
        <v>3.6</v>
      </c>
      <c r="J625" s="11">
        <v>42.1</v>
      </c>
      <c r="K625" s="11">
        <v>10.4</v>
      </c>
      <c r="L625" s="11">
        <v>16.5</v>
      </c>
      <c r="N625" s="11">
        <v>5.5</v>
      </c>
      <c r="O625" s="11">
        <v>0.8</v>
      </c>
      <c r="P625" s="9"/>
      <c r="Q625" s="9"/>
      <c r="S625" s="11">
        <v>41.5</v>
      </c>
      <c r="T625" s="13"/>
      <c r="U625" s="13"/>
      <c r="V625" s="13"/>
      <c r="W625" s="13"/>
      <c r="X625" s="13"/>
      <c r="Y625" s="11">
        <v>0</v>
      </c>
      <c r="Z625" s="13"/>
      <c r="AA625" s="13"/>
      <c r="AB625" s="13"/>
      <c r="AC625" s="13"/>
      <c r="AD625" s="13"/>
      <c r="AE625" s="13"/>
      <c r="AF625" s="13"/>
      <c r="AG625" s="13"/>
      <c r="AK625" s="11">
        <v>1.8</v>
      </c>
      <c r="AL625" s="13">
        <f t="shared" si="26"/>
        <v>296.79999999999995</v>
      </c>
      <c r="AM625" s="23" t="s">
        <v>847</v>
      </c>
      <c r="AN625" s="13"/>
      <c r="AP625" s="13"/>
      <c r="AQ625" s="13"/>
      <c r="AR625" s="13"/>
    </row>
    <row r="626" spans="1:44" ht="15.75" customHeight="1">
      <c r="A626" s="9" t="s">
        <v>181</v>
      </c>
      <c r="B626" s="9" t="s">
        <v>181</v>
      </c>
      <c r="C626" s="18" t="s">
        <v>787</v>
      </c>
      <c r="D626" s="11">
        <v>535.70000000000005</v>
      </c>
      <c r="G626" s="11">
        <v>53.4</v>
      </c>
      <c r="H626" s="11">
        <v>8.9</v>
      </c>
      <c r="I626" s="11">
        <v>30.6</v>
      </c>
      <c r="J626" s="11">
        <v>7.6</v>
      </c>
      <c r="K626" s="11">
        <v>36.4</v>
      </c>
      <c r="L626" s="11">
        <v>54.6</v>
      </c>
      <c r="N626" s="11">
        <v>5.5</v>
      </c>
      <c r="O626" s="11">
        <v>7.3</v>
      </c>
      <c r="P626" s="9"/>
      <c r="Q626" s="9"/>
      <c r="S626" s="11">
        <v>335.3</v>
      </c>
      <c r="T626" s="13"/>
      <c r="U626" s="13"/>
      <c r="V626" s="13"/>
      <c r="W626" s="13"/>
      <c r="X626" s="13"/>
      <c r="Y626" s="11">
        <v>1.7</v>
      </c>
      <c r="Z626" s="13"/>
      <c r="AA626" s="13"/>
      <c r="AB626" s="13"/>
      <c r="AC626" s="13"/>
      <c r="AD626" s="13"/>
      <c r="AE626" s="13"/>
      <c r="AF626" s="13"/>
      <c r="AG626" s="13"/>
      <c r="AK626" s="11">
        <v>0</v>
      </c>
      <c r="AL626" s="13">
        <f t="shared" si="26"/>
        <v>1075.3</v>
      </c>
      <c r="AM626" s="23" t="s">
        <v>848</v>
      </c>
      <c r="AN626" s="13"/>
      <c r="AP626" s="13"/>
      <c r="AQ626" s="13"/>
      <c r="AR626" s="13"/>
    </row>
    <row r="627" spans="1:44" ht="15.75" customHeight="1">
      <c r="A627" s="9" t="s">
        <v>709</v>
      </c>
      <c r="B627" s="9" t="s">
        <v>183</v>
      </c>
      <c r="C627" s="18" t="s">
        <v>787</v>
      </c>
      <c r="D627" s="11">
        <v>192.3</v>
      </c>
      <c r="G627" s="11">
        <v>44.2</v>
      </c>
      <c r="H627" s="11">
        <v>4.3</v>
      </c>
      <c r="I627" s="9">
        <v>4.5999999999999996</v>
      </c>
      <c r="J627" s="11">
        <v>39.200000000000003</v>
      </c>
      <c r="K627" s="11">
        <v>5.0999999999999996</v>
      </c>
      <c r="L627" s="11">
        <v>110.9</v>
      </c>
      <c r="N627" s="11">
        <v>2.1</v>
      </c>
      <c r="O627" s="11">
        <v>6.7</v>
      </c>
      <c r="P627" s="9"/>
      <c r="Q627" s="9"/>
      <c r="S627" s="11">
        <v>346.5</v>
      </c>
      <c r="T627" s="13"/>
      <c r="U627" s="13"/>
      <c r="V627" s="13"/>
      <c r="W627" s="13"/>
      <c r="X627" s="13"/>
      <c r="Y627" s="11">
        <v>0</v>
      </c>
      <c r="Z627" s="13"/>
      <c r="AA627" s="13"/>
      <c r="AB627" s="13"/>
      <c r="AC627" s="13"/>
      <c r="AD627" s="13"/>
      <c r="AE627" s="13"/>
      <c r="AF627" s="13"/>
      <c r="AG627" s="13"/>
      <c r="AK627" s="11">
        <v>0</v>
      </c>
      <c r="AL627" s="13">
        <f t="shared" si="26"/>
        <v>755.90000000000009</v>
      </c>
      <c r="AM627" s="23" t="s">
        <v>849</v>
      </c>
      <c r="AN627" s="13"/>
      <c r="AP627" s="13"/>
      <c r="AQ627" s="13"/>
      <c r="AR627" s="13"/>
    </row>
    <row r="628" spans="1:44" ht="15.75" customHeight="1">
      <c r="A628" s="9" t="s">
        <v>185</v>
      </c>
      <c r="B628" s="9" t="s">
        <v>185</v>
      </c>
      <c r="C628" s="18" t="s">
        <v>787</v>
      </c>
      <c r="D628" s="11">
        <v>184020.3</v>
      </c>
      <c r="G628" s="11">
        <v>125.6</v>
      </c>
      <c r="H628" s="11">
        <v>10.8</v>
      </c>
      <c r="I628" s="11">
        <v>9.1999999999999993</v>
      </c>
      <c r="J628" s="11">
        <v>9.3000000000000007</v>
      </c>
      <c r="K628" s="11">
        <v>43.9</v>
      </c>
      <c r="L628" s="11">
        <v>28.9</v>
      </c>
      <c r="N628" s="11">
        <v>28.6</v>
      </c>
      <c r="O628" s="11">
        <v>30.7</v>
      </c>
      <c r="P628" s="9"/>
      <c r="Q628" s="9"/>
      <c r="S628" s="11">
        <v>1508.1</v>
      </c>
      <c r="T628" s="13"/>
      <c r="U628" s="13"/>
      <c r="V628" s="13"/>
      <c r="W628" s="13"/>
      <c r="X628" s="13"/>
      <c r="Y628" s="11">
        <v>0</v>
      </c>
      <c r="Z628" s="13"/>
      <c r="AA628" s="13"/>
      <c r="AB628" s="13"/>
      <c r="AC628" s="13"/>
      <c r="AD628" s="13"/>
      <c r="AE628" s="13"/>
      <c r="AF628" s="13"/>
      <c r="AG628" s="13"/>
      <c r="AK628" s="11">
        <v>0</v>
      </c>
      <c r="AL628" s="13">
        <f t="shared" si="26"/>
        <v>185815.4</v>
      </c>
      <c r="AM628" s="23" t="s">
        <v>850</v>
      </c>
      <c r="AN628" s="13"/>
      <c r="AP628" s="13"/>
      <c r="AQ628" s="13"/>
      <c r="AR628" s="13"/>
    </row>
    <row r="629" spans="1:44" ht="15.75" customHeight="1">
      <c r="A629" s="9" t="s">
        <v>187</v>
      </c>
      <c r="B629" s="9" t="s">
        <v>187</v>
      </c>
      <c r="C629" s="18" t="s">
        <v>787</v>
      </c>
      <c r="D629" s="11">
        <v>194</v>
      </c>
      <c r="G629" s="11">
        <v>57.4</v>
      </c>
      <c r="H629" s="11">
        <v>0</v>
      </c>
      <c r="I629" s="11">
        <v>11.1</v>
      </c>
      <c r="J629" s="11">
        <v>58.7</v>
      </c>
      <c r="K629" s="11">
        <v>2</v>
      </c>
      <c r="L629" s="11">
        <v>38.9</v>
      </c>
      <c r="N629" s="11">
        <v>12.4</v>
      </c>
      <c r="O629" s="11">
        <v>1.3</v>
      </c>
      <c r="P629" s="9"/>
      <c r="Q629" s="9"/>
      <c r="S629" s="11">
        <v>85.4</v>
      </c>
      <c r="T629" s="13"/>
      <c r="U629" s="13"/>
      <c r="V629" s="13"/>
      <c r="W629" s="13"/>
      <c r="X629" s="13"/>
      <c r="Y629" s="11">
        <v>0</v>
      </c>
      <c r="Z629" s="13"/>
      <c r="AA629" s="13"/>
      <c r="AB629" s="13"/>
      <c r="AC629" s="13"/>
      <c r="AD629" s="13"/>
      <c r="AE629" s="13"/>
      <c r="AF629" s="13"/>
      <c r="AG629" s="13"/>
      <c r="AK629" s="11">
        <v>0</v>
      </c>
      <c r="AL629" s="13">
        <f t="shared" si="26"/>
        <v>461.19999999999993</v>
      </c>
      <c r="AM629" s="23" t="s">
        <v>851</v>
      </c>
      <c r="AN629" s="13"/>
      <c r="AP629" s="13"/>
      <c r="AQ629" s="13"/>
      <c r="AR629" s="13"/>
    </row>
    <row r="630" spans="1:44" ht="15.75" customHeight="1">
      <c r="A630" s="9" t="s">
        <v>188</v>
      </c>
      <c r="B630" s="9" t="s">
        <v>188</v>
      </c>
      <c r="C630" s="18" t="s">
        <v>787</v>
      </c>
      <c r="D630" s="11">
        <v>2119.6</v>
      </c>
      <c r="G630" s="11">
        <v>374.6</v>
      </c>
      <c r="H630" s="11">
        <v>51.6</v>
      </c>
      <c r="I630" s="11">
        <v>9.1999999999999993</v>
      </c>
      <c r="J630" s="11">
        <v>148.19999999999999</v>
      </c>
      <c r="K630" s="11">
        <v>77.400000000000006</v>
      </c>
      <c r="L630" s="11">
        <v>10.199999999999999</v>
      </c>
      <c r="N630" s="11">
        <v>12.1</v>
      </c>
      <c r="O630" s="11">
        <v>4.3</v>
      </c>
      <c r="P630" s="9"/>
      <c r="Q630" s="9"/>
      <c r="S630" s="11">
        <v>837.9</v>
      </c>
      <c r="T630" s="13"/>
      <c r="U630" s="13"/>
      <c r="V630" s="13"/>
      <c r="W630" s="13"/>
      <c r="X630" s="13"/>
      <c r="Y630" s="11">
        <v>0</v>
      </c>
      <c r="Z630" s="13"/>
      <c r="AA630" s="13"/>
      <c r="AB630" s="13"/>
      <c r="AC630" s="13"/>
      <c r="AD630" s="13"/>
      <c r="AE630" s="13"/>
      <c r="AF630" s="13"/>
      <c r="AG630" s="13"/>
      <c r="AK630" s="11">
        <v>190</v>
      </c>
      <c r="AL630" s="13">
        <f t="shared" si="26"/>
        <v>3455.0999999999995</v>
      </c>
      <c r="AM630" s="23" t="s">
        <v>852</v>
      </c>
      <c r="AN630" s="13"/>
      <c r="AP630" s="13"/>
      <c r="AQ630" s="13"/>
      <c r="AR630" s="13"/>
    </row>
    <row r="631" spans="1:44" ht="15.75" customHeight="1">
      <c r="A631" s="9" t="s">
        <v>190</v>
      </c>
      <c r="B631" s="9" t="s">
        <v>190</v>
      </c>
      <c r="C631" s="18" t="s">
        <v>787</v>
      </c>
      <c r="D631" s="11">
        <v>214.2</v>
      </c>
      <c r="G631" s="11">
        <v>19.399999999999999</v>
      </c>
      <c r="H631" s="11">
        <v>2.2999999999999998</v>
      </c>
      <c r="I631" s="11">
        <v>56.5</v>
      </c>
      <c r="J631" s="11">
        <v>1.8</v>
      </c>
      <c r="K631" s="11">
        <v>15.4</v>
      </c>
      <c r="L631" s="11">
        <v>9.9</v>
      </c>
      <c r="N631" s="11">
        <v>4.3</v>
      </c>
      <c r="O631" s="11">
        <v>1.6</v>
      </c>
      <c r="P631" s="9"/>
      <c r="Q631" s="9"/>
      <c r="S631" s="11">
        <v>160.1</v>
      </c>
      <c r="T631" s="13"/>
      <c r="U631" s="13"/>
      <c r="V631" s="13"/>
      <c r="W631" s="13"/>
      <c r="X631" s="13"/>
      <c r="Y631" s="11">
        <v>0</v>
      </c>
      <c r="Z631" s="13"/>
      <c r="AA631" s="13"/>
      <c r="AB631" s="13"/>
      <c r="AC631" s="13"/>
      <c r="AD631" s="13"/>
      <c r="AE631" s="13"/>
      <c r="AF631" s="13"/>
      <c r="AG631" s="13"/>
      <c r="AK631" s="11">
        <v>0</v>
      </c>
      <c r="AL631" s="13">
        <f t="shared" si="26"/>
        <v>485.5</v>
      </c>
      <c r="AM631" s="23" t="s">
        <v>853</v>
      </c>
      <c r="AN631" s="13"/>
      <c r="AP631" s="13"/>
      <c r="AQ631" s="13"/>
      <c r="AR631" s="13"/>
    </row>
    <row r="632" spans="1:44" ht="15.75" customHeight="1">
      <c r="A632" s="9" t="s">
        <v>192</v>
      </c>
      <c r="B632" s="9" t="s">
        <v>192</v>
      </c>
      <c r="C632" s="18" t="s">
        <v>787</v>
      </c>
      <c r="D632" s="11">
        <v>210.8</v>
      </c>
      <c r="G632" s="11">
        <v>11</v>
      </c>
      <c r="H632" s="11">
        <v>5.6</v>
      </c>
      <c r="I632" s="11">
        <v>6.2</v>
      </c>
      <c r="J632" s="11">
        <v>45.9</v>
      </c>
      <c r="K632" s="11">
        <v>6.5</v>
      </c>
      <c r="L632" s="11">
        <v>4.2</v>
      </c>
      <c r="N632" s="11">
        <v>0</v>
      </c>
      <c r="O632" s="11">
        <v>0</v>
      </c>
      <c r="P632" s="9"/>
      <c r="Q632" s="9"/>
      <c r="S632" s="11">
        <v>137.9</v>
      </c>
      <c r="T632" s="13"/>
      <c r="U632" s="13"/>
      <c r="V632" s="13"/>
      <c r="W632" s="13"/>
      <c r="X632" s="13"/>
      <c r="Y632" s="11">
        <v>0</v>
      </c>
      <c r="Z632" s="13"/>
      <c r="AA632" s="13"/>
      <c r="AB632" s="13"/>
      <c r="AC632" s="13"/>
      <c r="AD632" s="13"/>
      <c r="AE632" s="13"/>
      <c r="AF632" s="13"/>
      <c r="AG632" s="13"/>
      <c r="AK632" s="11">
        <v>0</v>
      </c>
      <c r="AL632" s="13">
        <f t="shared" si="26"/>
        <v>428.1</v>
      </c>
      <c r="AM632" s="23" t="s">
        <v>854</v>
      </c>
      <c r="AN632" s="13"/>
      <c r="AP632" s="13"/>
      <c r="AQ632" s="13"/>
      <c r="AR632" s="13"/>
    </row>
    <row r="633" spans="1:44" ht="15.75" customHeight="1">
      <c r="A633" s="9" t="s">
        <v>716</v>
      </c>
      <c r="B633" s="9" t="s">
        <v>305</v>
      </c>
      <c r="C633" s="18" t="s">
        <v>787</v>
      </c>
      <c r="D633" s="11">
        <v>110.3</v>
      </c>
      <c r="G633" s="11">
        <v>23.6</v>
      </c>
      <c r="H633" s="11">
        <v>7.9</v>
      </c>
      <c r="I633" s="11">
        <v>3.6</v>
      </c>
      <c r="J633" s="11">
        <v>47.7</v>
      </c>
      <c r="K633" s="11">
        <v>12.5</v>
      </c>
      <c r="L633" s="11">
        <v>4.5</v>
      </c>
      <c r="N633" s="11">
        <v>3.2</v>
      </c>
      <c r="O633" s="11">
        <v>0.9</v>
      </c>
      <c r="P633" s="9"/>
      <c r="Q633" s="9"/>
      <c r="S633" s="11">
        <v>90.1</v>
      </c>
      <c r="T633" s="13"/>
      <c r="U633" s="13"/>
      <c r="V633" s="13"/>
      <c r="W633" s="13"/>
      <c r="X633" s="13"/>
      <c r="Y633" s="11">
        <v>0</v>
      </c>
      <c r="Z633" s="13"/>
      <c r="AA633" s="13"/>
      <c r="AB633" s="13"/>
      <c r="AC633" s="13"/>
      <c r="AD633" s="13"/>
      <c r="AE633" s="13"/>
      <c r="AF633" s="13"/>
      <c r="AG633" s="13"/>
      <c r="AK633" s="11">
        <v>0</v>
      </c>
      <c r="AL633" s="13">
        <f t="shared" si="26"/>
        <v>304.3</v>
      </c>
      <c r="AM633" s="23" t="s">
        <v>855</v>
      </c>
      <c r="AN633" s="13"/>
      <c r="AP633" s="13"/>
      <c r="AQ633" s="13"/>
      <c r="AR633" s="13"/>
    </row>
    <row r="634" spans="1:44" ht="15.75" customHeight="1">
      <c r="A634" s="9" t="s">
        <v>195</v>
      </c>
      <c r="B634" s="9" t="s">
        <v>195</v>
      </c>
      <c r="C634" s="18" t="s">
        <v>787</v>
      </c>
      <c r="D634" s="11">
        <v>208.8</v>
      </c>
      <c r="G634" s="11">
        <v>26.8</v>
      </c>
      <c r="H634" s="11">
        <v>2.9</v>
      </c>
      <c r="I634" s="11">
        <v>2.9</v>
      </c>
      <c r="J634" s="11">
        <v>28.1</v>
      </c>
      <c r="K634" s="11">
        <v>4.2</v>
      </c>
      <c r="L634" s="11">
        <v>6.5</v>
      </c>
      <c r="N634" s="11">
        <v>2.7</v>
      </c>
      <c r="O634" s="11">
        <v>0.4</v>
      </c>
      <c r="P634" s="9"/>
      <c r="Q634" s="9"/>
      <c r="S634" s="11">
        <v>79.099999999999994</v>
      </c>
      <c r="T634" s="13"/>
      <c r="U634" s="13"/>
      <c r="V634" s="13"/>
      <c r="W634" s="13"/>
      <c r="X634" s="13"/>
      <c r="Y634" s="11">
        <v>0</v>
      </c>
      <c r="Z634" s="13"/>
      <c r="AA634" s="13"/>
      <c r="AB634" s="13"/>
      <c r="AC634" s="13"/>
      <c r="AD634" s="13"/>
      <c r="AE634" s="13"/>
      <c r="AF634" s="13"/>
      <c r="AG634" s="13"/>
      <c r="AK634" s="11">
        <v>0</v>
      </c>
      <c r="AL634" s="13">
        <f t="shared" si="26"/>
        <v>362.4</v>
      </c>
      <c r="AM634" s="23" t="s">
        <v>856</v>
      </c>
      <c r="AN634" s="13"/>
      <c r="AP634" s="13"/>
      <c r="AQ634" s="13"/>
      <c r="AR634" s="13"/>
    </row>
    <row r="635" spans="1:44" ht="15.75" customHeight="1">
      <c r="A635" s="10" t="s">
        <v>196</v>
      </c>
      <c r="B635" s="9" t="s">
        <v>196</v>
      </c>
      <c r="C635" s="17"/>
      <c r="D635" s="17">
        <f>SUM(D584:D634)</f>
        <v>311756.89999999991</v>
      </c>
      <c r="G635" s="17">
        <f t="shared" ref="G635:L635" si="27">SUM(G584:G634)</f>
        <v>8642.4999999999982</v>
      </c>
      <c r="H635" s="17">
        <f t="shared" si="27"/>
        <v>5297</v>
      </c>
      <c r="I635" s="17">
        <f t="shared" si="27"/>
        <v>1372.9999999999995</v>
      </c>
      <c r="J635" s="17">
        <f t="shared" si="27"/>
        <v>5087.6000000000004</v>
      </c>
      <c r="K635" s="17">
        <f t="shared" si="27"/>
        <v>2874.5000000000005</v>
      </c>
      <c r="L635" s="17">
        <f t="shared" si="27"/>
        <v>5238.9999999999982</v>
      </c>
      <c r="N635" s="17">
        <f>SUM(N584:N634)</f>
        <v>1827.0000000000002</v>
      </c>
      <c r="O635" s="17">
        <f>SUM(O584:O634)</f>
        <v>1183.1999999999998</v>
      </c>
      <c r="P635" s="17"/>
      <c r="Q635" s="17"/>
      <c r="S635" s="17">
        <f>SUM(S584:S634)</f>
        <v>117203.10000000003</v>
      </c>
      <c r="T635" s="18"/>
      <c r="U635" s="18"/>
      <c r="V635" s="18"/>
      <c r="W635" s="18"/>
      <c r="X635" s="18"/>
      <c r="Y635" s="17">
        <f>SUM(Y584:Y634)</f>
        <v>277856.19999999995</v>
      </c>
      <c r="Z635" s="18"/>
      <c r="AA635" s="18"/>
      <c r="AB635" s="18"/>
      <c r="AC635" s="18"/>
      <c r="AD635" s="18"/>
      <c r="AE635" s="18"/>
      <c r="AF635" s="18"/>
      <c r="AG635" s="18"/>
      <c r="AK635" s="17">
        <f>SUM(AK584:AK634)</f>
        <v>31877.600000000002</v>
      </c>
      <c r="AL635" s="17">
        <f>SUM(AL584:AL634)</f>
        <v>428606.19999999995</v>
      </c>
      <c r="AM635" s="27" t="s">
        <v>857</v>
      </c>
      <c r="AN635" s="13"/>
      <c r="AP635" s="13"/>
      <c r="AQ635" s="13"/>
      <c r="AR635" s="13"/>
    </row>
    <row r="636" spans="1:44" ht="15.75" customHeight="1">
      <c r="A636" s="9" t="s">
        <v>469</v>
      </c>
      <c r="B636" s="9" t="s">
        <v>39</v>
      </c>
      <c r="C636" s="18" t="s">
        <v>858</v>
      </c>
      <c r="D636" s="11">
        <v>1224.2</v>
      </c>
      <c r="G636" s="13">
        <v>428.9</v>
      </c>
      <c r="H636" s="11">
        <v>203.4</v>
      </c>
      <c r="I636" s="9">
        <v>1486.6</v>
      </c>
      <c r="J636" s="11">
        <v>45.5</v>
      </c>
      <c r="K636" s="11">
        <v>21.9</v>
      </c>
      <c r="L636" s="11">
        <v>100.7</v>
      </c>
      <c r="N636" s="11">
        <v>201.9</v>
      </c>
      <c r="O636" s="11">
        <v>56</v>
      </c>
      <c r="P636" s="9"/>
      <c r="R636" s="13"/>
      <c r="S636" s="11">
        <v>2034.5</v>
      </c>
      <c r="T636" s="13"/>
      <c r="U636" s="13"/>
      <c r="V636" s="13"/>
      <c r="W636" s="13"/>
      <c r="X636" s="13"/>
      <c r="Y636" s="11">
        <v>527.70000000000005</v>
      </c>
      <c r="Z636" s="13"/>
      <c r="AA636" s="13"/>
      <c r="AB636" s="13"/>
      <c r="AC636" s="13"/>
      <c r="AD636" s="13"/>
      <c r="AE636" s="13"/>
      <c r="AF636" s="13"/>
      <c r="AG636" s="13"/>
      <c r="AK636" s="13"/>
      <c r="AL636" s="13">
        <f t="shared" ref="AL636:AL649" si="28">SUM(D636:S636)</f>
        <v>5803.6</v>
      </c>
      <c r="AM636" s="23" t="s">
        <v>859</v>
      </c>
      <c r="AN636" s="13"/>
      <c r="AP636" s="13"/>
      <c r="AQ636" s="13"/>
      <c r="AR636" s="13"/>
    </row>
    <row r="637" spans="1:44" ht="15.75" customHeight="1">
      <c r="A637" s="9" t="s">
        <v>66</v>
      </c>
      <c r="B637" s="9" t="s">
        <v>66</v>
      </c>
      <c r="C637" s="18" t="s">
        <v>858</v>
      </c>
      <c r="D637" s="11">
        <v>719.4</v>
      </c>
      <c r="G637" s="13">
        <v>35.200000000000003</v>
      </c>
      <c r="H637" s="11">
        <v>18.5</v>
      </c>
      <c r="I637" s="9">
        <v>12.4</v>
      </c>
      <c r="J637" s="11">
        <v>38.9</v>
      </c>
      <c r="K637" s="11">
        <v>2.6</v>
      </c>
      <c r="L637" s="9"/>
      <c r="N637" s="11">
        <v>10</v>
      </c>
      <c r="O637" s="11">
        <v>6</v>
      </c>
      <c r="P637" s="9"/>
      <c r="R637" s="13"/>
      <c r="S637" s="11">
        <v>77820.600000000006</v>
      </c>
      <c r="T637" s="13"/>
      <c r="U637" s="13"/>
      <c r="V637" s="13"/>
      <c r="W637" s="13"/>
      <c r="X637" s="13"/>
      <c r="Y637" s="11">
        <v>31.2</v>
      </c>
      <c r="Z637" s="13"/>
      <c r="AA637" s="13"/>
      <c r="AB637" s="13"/>
      <c r="AC637" s="13"/>
      <c r="AD637" s="13"/>
      <c r="AE637" s="13"/>
      <c r="AF637" s="13"/>
      <c r="AG637" s="13"/>
      <c r="AK637" s="13"/>
      <c r="AL637" s="13">
        <f t="shared" si="28"/>
        <v>78663.600000000006</v>
      </c>
      <c r="AM637" s="23" t="s">
        <v>860</v>
      </c>
      <c r="AN637" s="18"/>
      <c r="AP637" s="13"/>
      <c r="AQ637" s="13"/>
      <c r="AR637" s="13"/>
    </row>
    <row r="638" spans="1:44" ht="15.75" customHeight="1">
      <c r="A638" s="9" t="s">
        <v>639</v>
      </c>
      <c r="B638" s="9" t="s">
        <v>212</v>
      </c>
      <c r="C638" s="18" t="s">
        <v>858</v>
      </c>
      <c r="D638" s="11">
        <v>3570.5</v>
      </c>
      <c r="G638" s="13">
        <v>136.30000000000001</v>
      </c>
      <c r="H638" s="11">
        <v>1572.8</v>
      </c>
      <c r="I638" s="9">
        <v>174</v>
      </c>
      <c r="J638" s="11">
        <v>14.9</v>
      </c>
      <c r="K638" s="11">
        <v>18.899999999999999</v>
      </c>
      <c r="L638" s="11">
        <v>352.8</v>
      </c>
      <c r="N638" s="11">
        <v>38.1</v>
      </c>
      <c r="O638" s="11">
        <v>41.3</v>
      </c>
      <c r="P638" s="9"/>
      <c r="R638" s="13"/>
      <c r="S638" s="11">
        <v>1716.8</v>
      </c>
      <c r="T638" s="13"/>
      <c r="U638" s="13"/>
      <c r="V638" s="13"/>
      <c r="W638" s="13"/>
      <c r="X638" s="13"/>
      <c r="Y638" s="11">
        <v>653.70000000000005</v>
      </c>
      <c r="Z638" s="13"/>
      <c r="AA638" s="13"/>
      <c r="AB638" s="13"/>
      <c r="AC638" s="13"/>
      <c r="AD638" s="13"/>
      <c r="AE638" s="13"/>
      <c r="AF638" s="13"/>
      <c r="AG638" s="13"/>
      <c r="AK638" s="13"/>
      <c r="AL638" s="13">
        <f t="shared" si="28"/>
        <v>7636.4000000000005</v>
      </c>
      <c r="AM638" s="23" t="s">
        <v>861</v>
      </c>
      <c r="AN638" s="13"/>
      <c r="AP638" s="18"/>
      <c r="AQ638" s="18"/>
      <c r="AR638" s="18"/>
    </row>
    <row r="639" spans="1:44" ht="15.75" customHeight="1">
      <c r="A639" s="9" t="s">
        <v>77</v>
      </c>
      <c r="B639" s="9" t="s">
        <v>77</v>
      </c>
      <c r="C639" s="18" t="s">
        <v>858</v>
      </c>
      <c r="D639" s="11">
        <v>2040.8</v>
      </c>
      <c r="G639" s="24">
        <v>36.299999999999997</v>
      </c>
      <c r="H639" s="11">
        <v>68.099999999999994</v>
      </c>
      <c r="I639" s="9">
        <v>241.7</v>
      </c>
      <c r="J639" s="11">
        <v>47.1</v>
      </c>
      <c r="K639" s="11">
        <v>3.9</v>
      </c>
      <c r="L639" s="11">
        <v>26.2</v>
      </c>
      <c r="N639" s="11">
        <v>26.5</v>
      </c>
      <c r="O639" s="11">
        <v>47</v>
      </c>
      <c r="P639" s="9"/>
      <c r="R639" s="13"/>
      <c r="S639" s="11">
        <v>6969.3</v>
      </c>
      <c r="T639" s="13"/>
      <c r="U639" s="13"/>
      <c r="V639" s="13"/>
      <c r="W639" s="13"/>
      <c r="X639" s="13"/>
      <c r="Y639" s="11">
        <v>18565.8</v>
      </c>
      <c r="Z639" s="13"/>
      <c r="AA639" s="13"/>
      <c r="AB639" s="13"/>
      <c r="AC639" s="13"/>
      <c r="AD639" s="13"/>
      <c r="AE639" s="13"/>
      <c r="AF639" s="13"/>
      <c r="AG639" s="13"/>
      <c r="AK639" s="13"/>
      <c r="AL639" s="13">
        <f t="shared" si="28"/>
        <v>9506.9</v>
      </c>
      <c r="AM639" s="23" t="s">
        <v>862</v>
      </c>
      <c r="AN639" s="13"/>
      <c r="AP639" s="13"/>
      <c r="AQ639" s="13"/>
      <c r="AR639" s="13"/>
    </row>
    <row r="640" spans="1:44" ht="15.75" customHeight="1">
      <c r="A640" s="9" t="s">
        <v>228</v>
      </c>
      <c r="B640" s="9" t="s">
        <v>228</v>
      </c>
      <c r="C640" s="18" t="s">
        <v>858</v>
      </c>
      <c r="D640" s="11">
        <v>5519.3</v>
      </c>
      <c r="G640" s="13">
        <v>52.4</v>
      </c>
      <c r="H640" s="11">
        <v>4.5999999999999996</v>
      </c>
      <c r="I640" s="9">
        <v>34.200000000000003</v>
      </c>
      <c r="J640" s="11">
        <v>245.2</v>
      </c>
      <c r="K640" s="11">
        <v>33</v>
      </c>
      <c r="L640" s="11">
        <v>72.8</v>
      </c>
      <c r="N640" s="11">
        <v>17.5</v>
      </c>
      <c r="O640" s="11">
        <v>9.8000000000000007</v>
      </c>
      <c r="P640" s="9"/>
      <c r="R640" s="13"/>
      <c r="S640" s="11">
        <v>2049.6999999999998</v>
      </c>
      <c r="T640" s="13"/>
      <c r="U640" s="13"/>
      <c r="V640" s="13"/>
      <c r="W640" s="13"/>
      <c r="X640" s="13"/>
      <c r="Y640" s="11">
        <v>16688.7</v>
      </c>
      <c r="Z640" s="13"/>
      <c r="AA640" s="13"/>
      <c r="AB640" s="13"/>
      <c r="AC640" s="13"/>
      <c r="AD640" s="13"/>
      <c r="AE640" s="13"/>
      <c r="AF640" s="13"/>
      <c r="AG640" s="13"/>
      <c r="AK640" s="13"/>
      <c r="AL640" s="13">
        <f t="shared" si="28"/>
        <v>8038.5</v>
      </c>
      <c r="AM640" s="23" t="s">
        <v>863</v>
      </c>
      <c r="AN640" s="13"/>
      <c r="AP640" s="13"/>
      <c r="AQ640" s="13"/>
      <c r="AR640" s="13"/>
    </row>
    <row r="641" spans="1:44" ht="15.75" customHeight="1">
      <c r="A641" s="9" t="s">
        <v>864</v>
      </c>
      <c r="B641" s="9" t="s">
        <v>244</v>
      </c>
      <c r="C641" s="18" t="s">
        <v>858</v>
      </c>
      <c r="D641" s="11">
        <v>2637.5</v>
      </c>
      <c r="G641" s="13">
        <v>49.7</v>
      </c>
      <c r="H641" s="11">
        <v>10.3</v>
      </c>
      <c r="I641" s="9">
        <v>20.6</v>
      </c>
      <c r="J641" s="11">
        <v>24.5</v>
      </c>
      <c r="K641" s="11">
        <v>9.3000000000000007</v>
      </c>
      <c r="L641" s="11">
        <v>129.4</v>
      </c>
      <c r="N641" s="11">
        <v>19.600000000000001</v>
      </c>
      <c r="O641" s="11">
        <v>39.5</v>
      </c>
      <c r="P641" s="9"/>
      <c r="R641" s="13"/>
      <c r="S641" s="11">
        <v>667.2</v>
      </c>
      <c r="T641" s="13"/>
      <c r="U641" s="13"/>
      <c r="V641" s="13"/>
      <c r="W641" s="13"/>
      <c r="X641" s="13"/>
      <c r="Y641" s="11">
        <v>703.5</v>
      </c>
      <c r="Z641" s="13"/>
      <c r="AA641" s="13"/>
      <c r="AB641" s="13"/>
      <c r="AC641" s="13"/>
      <c r="AD641" s="13"/>
      <c r="AE641" s="13"/>
      <c r="AF641" s="13"/>
      <c r="AG641" s="13"/>
      <c r="AK641" s="13"/>
      <c r="AL641" s="13">
        <f t="shared" si="28"/>
        <v>3607.6000000000004</v>
      </c>
      <c r="AM641" s="23" t="s">
        <v>865</v>
      </c>
      <c r="AN641" s="13"/>
      <c r="AP641" s="13"/>
      <c r="AQ641" s="13"/>
      <c r="AR641" s="13"/>
    </row>
    <row r="642" spans="1:44" ht="15.75" customHeight="1">
      <c r="A642" s="9" t="s">
        <v>810</v>
      </c>
      <c r="B642" s="9" t="s">
        <v>810</v>
      </c>
      <c r="C642" s="18" t="s">
        <v>858</v>
      </c>
      <c r="D642" s="11">
        <v>496</v>
      </c>
      <c r="G642" s="13">
        <v>44</v>
      </c>
      <c r="H642" s="11">
        <v>22.1</v>
      </c>
      <c r="I642" s="9">
        <v>40.799999999999997</v>
      </c>
      <c r="J642" s="11">
        <v>12.6</v>
      </c>
      <c r="K642" s="11">
        <v>15.5</v>
      </c>
      <c r="L642" s="11">
        <v>84.8</v>
      </c>
      <c r="N642" s="11">
        <v>12.4</v>
      </c>
      <c r="O642" s="11">
        <v>4.3</v>
      </c>
      <c r="P642" s="9"/>
      <c r="R642" s="13"/>
      <c r="S642" s="11">
        <v>516.70000000000005</v>
      </c>
      <c r="T642" s="13"/>
      <c r="U642" s="13"/>
      <c r="V642" s="13"/>
      <c r="W642" s="13"/>
      <c r="X642" s="13"/>
      <c r="Y642" s="11">
        <v>901.2</v>
      </c>
      <c r="Z642" s="13"/>
      <c r="AA642" s="13"/>
      <c r="AB642" s="13"/>
      <c r="AC642" s="13"/>
      <c r="AD642" s="13"/>
      <c r="AE642" s="13"/>
      <c r="AF642" s="13"/>
      <c r="AG642" s="13"/>
      <c r="AK642" s="13"/>
      <c r="AL642" s="13">
        <f t="shared" si="28"/>
        <v>1249.1999999999998</v>
      </c>
      <c r="AM642" s="23" t="s">
        <v>866</v>
      </c>
      <c r="AN642" s="13"/>
      <c r="AP642" s="13"/>
      <c r="AQ642" s="13"/>
      <c r="AR642" s="13"/>
    </row>
    <row r="643" spans="1:44" ht="15.75" customHeight="1">
      <c r="A643" s="9" t="s">
        <v>812</v>
      </c>
      <c r="B643" s="9" t="s">
        <v>812</v>
      </c>
      <c r="C643" s="18" t="s">
        <v>858</v>
      </c>
      <c r="D643" s="11">
        <v>401.9</v>
      </c>
      <c r="G643" s="13">
        <v>68.099999999999994</v>
      </c>
      <c r="H643" s="11">
        <v>425.4</v>
      </c>
      <c r="I643" s="9">
        <v>32.6</v>
      </c>
      <c r="J643" s="11">
        <v>9.4</v>
      </c>
      <c r="K643" s="11">
        <v>10.4</v>
      </c>
      <c r="L643" s="11">
        <v>38.1</v>
      </c>
      <c r="N643" s="11">
        <v>6.1</v>
      </c>
      <c r="O643" s="11">
        <v>7.3</v>
      </c>
      <c r="P643" s="9"/>
      <c r="R643" s="13"/>
      <c r="S643" s="11">
        <v>165.9</v>
      </c>
      <c r="T643" s="13"/>
      <c r="U643" s="13"/>
      <c r="V643" s="13"/>
      <c r="W643" s="13"/>
      <c r="X643" s="13"/>
      <c r="Y643" s="11">
        <v>1558.9</v>
      </c>
      <c r="Z643" s="13"/>
      <c r="AA643" s="13"/>
      <c r="AB643" s="13"/>
      <c r="AC643" s="13"/>
      <c r="AD643" s="13"/>
      <c r="AE643" s="13"/>
      <c r="AF643" s="13"/>
      <c r="AG643" s="13"/>
      <c r="AK643" s="13"/>
      <c r="AL643" s="13">
        <f t="shared" si="28"/>
        <v>1165.2</v>
      </c>
      <c r="AM643" s="23" t="s">
        <v>867</v>
      </c>
      <c r="AN643" s="13"/>
      <c r="AP643" s="13"/>
      <c r="AQ643" s="13"/>
      <c r="AR643" s="13"/>
    </row>
    <row r="644" spans="1:44" ht="15.75" customHeight="1">
      <c r="A644" s="9" t="s">
        <v>814</v>
      </c>
      <c r="B644" s="9" t="s">
        <v>814</v>
      </c>
      <c r="C644" s="18" t="s">
        <v>858</v>
      </c>
      <c r="D644" s="11">
        <v>1469.5</v>
      </c>
      <c r="G644" s="13">
        <v>112.4</v>
      </c>
      <c r="H644" s="11">
        <v>12.8</v>
      </c>
      <c r="I644" s="9">
        <v>48.6</v>
      </c>
      <c r="J644" s="11">
        <v>47.2</v>
      </c>
      <c r="K644" s="11">
        <v>22.1</v>
      </c>
      <c r="L644" s="11">
        <v>195</v>
      </c>
      <c r="N644" s="11">
        <v>19.7</v>
      </c>
      <c r="O644" s="11">
        <v>15.5</v>
      </c>
      <c r="P644" s="9"/>
      <c r="R644" s="13"/>
      <c r="S644" s="11">
        <v>3078.2</v>
      </c>
      <c r="T644" s="13"/>
      <c r="U644" s="13"/>
      <c r="V644" s="13"/>
      <c r="W644" s="13"/>
      <c r="X644" s="13"/>
      <c r="Y644" s="11">
        <v>1597.8</v>
      </c>
      <c r="Z644" s="13"/>
      <c r="AA644" s="13"/>
      <c r="AB644" s="13"/>
      <c r="AC644" s="13"/>
      <c r="AD644" s="13"/>
      <c r="AE644" s="13"/>
      <c r="AF644" s="13"/>
      <c r="AG644" s="13"/>
      <c r="AK644" s="13"/>
      <c r="AL644" s="13">
        <f t="shared" si="28"/>
        <v>5021</v>
      </c>
      <c r="AM644" s="23" t="s">
        <v>868</v>
      </c>
      <c r="AN644" s="13"/>
      <c r="AP644" s="13"/>
      <c r="AQ644" s="13"/>
      <c r="AR644" s="13"/>
    </row>
    <row r="645" spans="1:44" ht="15.75" customHeight="1">
      <c r="A645" s="9" t="s">
        <v>816</v>
      </c>
      <c r="B645" s="9" t="s">
        <v>345</v>
      </c>
      <c r="C645" s="18" t="s">
        <v>858</v>
      </c>
      <c r="D645" s="11">
        <v>298.8</v>
      </c>
      <c r="G645" s="13">
        <v>16.5</v>
      </c>
      <c r="H645" s="11">
        <v>8.4</v>
      </c>
      <c r="I645" s="9">
        <v>10.9</v>
      </c>
      <c r="J645" s="11">
        <v>20.5</v>
      </c>
      <c r="K645" s="11">
        <v>2.5</v>
      </c>
      <c r="L645" s="11">
        <v>8.5</v>
      </c>
      <c r="N645" s="11">
        <v>13</v>
      </c>
      <c r="O645" s="11">
        <v>12.5</v>
      </c>
      <c r="P645" s="9"/>
      <c r="R645" s="13"/>
      <c r="S645" s="11">
        <v>85.1</v>
      </c>
      <c r="T645" s="13"/>
      <c r="U645" s="13"/>
      <c r="V645" s="13"/>
      <c r="W645" s="13"/>
      <c r="X645" s="13"/>
      <c r="Y645" s="11">
        <v>1276.3</v>
      </c>
      <c r="Z645" s="13"/>
      <c r="AA645" s="13"/>
      <c r="AB645" s="13"/>
      <c r="AC645" s="13"/>
      <c r="AD645" s="13"/>
      <c r="AE645" s="13"/>
      <c r="AF645" s="13"/>
      <c r="AG645" s="13"/>
      <c r="AK645" s="13"/>
      <c r="AL645" s="13">
        <f t="shared" si="28"/>
        <v>476.69999999999993</v>
      </c>
      <c r="AM645" s="23" t="s">
        <v>869</v>
      </c>
      <c r="AN645" s="13"/>
      <c r="AP645" s="13"/>
      <c r="AQ645" s="13"/>
      <c r="AR645" s="13"/>
    </row>
    <row r="646" spans="1:44" ht="15.75" customHeight="1">
      <c r="A646" s="9" t="s">
        <v>822</v>
      </c>
      <c r="B646" s="9" t="s">
        <v>822</v>
      </c>
      <c r="C646" s="18" t="s">
        <v>858</v>
      </c>
      <c r="D646" s="11">
        <v>517.4</v>
      </c>
      <c r="G646" s="13">
        <v>36.9</v>
      </c>
      <c r="H646" s="11">
        <v>17.7</v>
      </c>
      <c r="I646" s="9">
        <v>19.7</v>
      </c>
      <c r="J646" s="11">
        <v>19.5</v>
      </c>
      <c r="K646" s="11">
        <v>9.6999999999999993</v>
      </c>
      <c r="L646" s="11">
        <v>114.1</v>
      </c>
      <c r="N646" s="11">
        <v>12</v>
      </c>
      <c r="O646" s="11">
        <v>10.199999999999999</v>
      </c>
      <c r="P646" s="9"/>
      <c r="R646" s="13"/>
      <c r="S646" s="11">
        <v>184.9</v>
      </c>
      <c r="T646" s="13"/>
      <c r="U646" s="13"/>
      <c r="V646" s="13"/>
      <c r="W646" s="13"/>
      <c r="X646" s="13"/>
      <c r="Y646" s="11">
        <v>2088.6999999999998</v>
      </c>
      <c r="Z646" s="13"/>
      <c r="AA646" s="13"/>
      <c r="AB646" s="13"/>
      <c r="AC646" s="13"/>
      <c r="AD646" s="13"/>
      <c r="AE646" s="13"/>
      <c r="AF646" s="13"/>
      <c r="AG646" s="13"/>
      <c r="AK646" s="13"/>
      <c r="AL646" s="13">
        <f t="shared" si="28"/>
        <v>942.10000000000014</v>
      </c>
      <c r="AM646" s="23" t="s">
        <v>870</v>
      </c>
      <c r="AN646" s="13"/>
      <c r="AP646" s="13"/>
      <c r="AQ646" s="13"/>
      <c r="AR646" s="13"/>
    </row>
    <row r="647" spans="1:44" ht="15.75" customHeight="1">
      <c r="A647" s="9" t="s">
        <v>684</v>
      </c>
      <c r="B647" s="9" t="s">
        <v>267</v>
      </c>
      <c r="C647" s="18" t="s">
        <v>858</v>
      </c>
      <c r="D647" s="11">
        <v>322</v>
      </c>
      <c r="G647" s="13">
        <v>31.1</v>
      </c>
      <c r="H647" s="11">
        <v>9.9</v>
      </c>
      <c r="I647" s="11">
        <v>12.5</v>
      </c>
      <c r="J647" s="11">
        <v>3.8</v>
      </c>
      <c r="K647" s="11">
        <v>5.3</v>
      </c>
      <c r="L647" s="11">
        <v>1.8</v>
      </c>
      <c r="N647" s="11">
        <v>14.4</v>
      </c>
      <c r="O647" s="11">
        <v>19.100000000000001</v>
      </c>
      <c r="P647" s="9"/>
      <c r="R647" s="13"/>
      <c r="S647" s="11">
        <v>254.8</v>
      </c>
      <c r="T647" s="13"/>
      <c r="U647" s="13"/>
      <c r="V647" s="13"/>
      <c r="W647" s="13"/>
      <c r="X647" s="13"/>
      <c r="Y647" s="11">
        <v>15.6</v>
      </c>
      <c r="Z647" s="13"/>
      <c r="AA647" s="13"/>
      <c r="AB647" s="13"/>
      <c r="AC647" s="13"/>
      <c r="AD647" s="13"/>
      <c r="AE647" s="13"/>
      <c r="AF647" s="13"/>
      <c r="AG647" s="13"/>
      <c r="AK647" s="13"/>
      <c r="AL647" s="13">
        <f t="shared" si="28"/>
        <v>674.7</v>
      </c>
      <c r="AM647" s="23" t="s">
        <v>871</v>
      </c>
      <c r="AN647" s="13"/>
      <c r="AP647" s="13"/>
      <c r="AQ647" s="13"/>
      <c r="AR647" s="13"/>
    </row>
    <row r="648" spans="1:44" ht="15.75" customHeight="1">
      <c r="A648" s="9" t="s">
        <v>829</v>
      </c>
      <c r="B648" s="9" t="s">
        <v>829</v>
      </c>
      <c r="C648" s="18" t="s">
        <v>858</v>
      </c>
      <c r="D648" s="11">
        <v>803.8</v>
      </c>
      <c r="G648" s="13">
        <v>47.5</v>
      </c>
      <c r="H648" s="11">
        <v>69.2</v>
      </c>
      <c r="I648" s="11">
        <v>32.6</v>
      </c>
      <c r="J648" s="11">
        <v>15.6</v>
      </c>
      <c r="K648" s="11">
        <v>23.2</v>
      </c>
      <c r="L648" s="11">
        <v>71.5</v>
      </c>
      <c r="N648" s="11">
        <v>7.4</v>
      </c>
      <c r="O648" s="11">
        <v>5.4</v>
      </c>
      <c r="P648" s="9"/>
      <c r="R648" s="13"/>
      <c r="S648" s="11">
        <v>273.5</v>
      </c>
      <c r="T648" s="13"/>
      <c r="U648" s="13"/>
      <c r="V648" s="13"/>
      <c r="W648" s="13"/>
      <c r="X648" s="13"/>
      <c r="Y648" s="11">
        <v>1576.4</v>
      </c>
      <c r="Z648" s="13"/>
      <c r="AA648" s="13"/>
      <c r="AB648" s="13"/>
      <c r="AC648" s="13"/>
      <c r="AD648" s="13"/>
      <c r="AE648" s="13"/>
      <c r="AF648" s="13"/>
      <c r="AG648" s="13"/>
      <c r="AK648" s="13"/>
      <c r="AL648" s="13">
        <f t="shared" si="28"/>
        <v>1349.7000000000003</v>
      </c>
      <c r="AM648" s="23" t="s">
        <v>872</v>
      </c>
      <c r="AN648" s="13"/>
      <c r="AP648" s="13"/>
      <c r="AQ648" s="13"/>
      <c r="AR648" s="13"/>
    </row>
    <row r="649" spans="1:44" ht="15.75" customHeight="1">
      <c r="A649" s="9" t="s">
        <v>148</v>
      </c>
      <c r="B649" s="9" t="s">
        <v>148</v>
      </c>
      <c r="C649" s="18" t="s">
        <v>858</v>
      </c>
      <c r="D649" s="11">
        <v>6130.3</v>
      </c>
      <c r="G649" s="13">
        <v>283</v>
      </c>
      <c r="H649" s="11">
        <v>24</v>
      </c>
      <c r="I649" s="11">
        <v>106.4</v>
      </c>
      <c r="J649" s="11">
        <v>11.5</v>
      </c>
      <c r="K649" s="11">
        <v>52.3</v>
      </c>
      <c r="L649" s="11">
        <v>124</v>
      </c>
      <c r="N649" s="11">
        <v>134</v>
      </c>
      <c r="O649" s="11">
        <v>54.5</v>
      </c>
      <c r="P649" s="9"/>
      <c r="R649" s="13"/>
      <c r="S649" s="11">
        <v>3057.3</v>
      </c>
      <c r="T649" s="13"/>
      <c r="U649" s="13"/>
      <c r="V649" s="13"/>
      <c r="W649" s="13"/>
      <c r="X649" s="13"/>
      <c r="Y649" s="11">
        <v>312.39999999999998</v>
      </c>
      <c r="Z649" s="13"/>
      <c r="AA649" s="13"/>
      <c r="AB649" s="13"/>
      <c r="AC649" s="13"/>
      <c r="AD649" s="13"/>
      <c r="AE649" s="13"/>
      <c r="AF649" s="13"/>
      <c r="AG649" s="13"/>
      <c r="AK649" s="13"/>
      <c r="AL649" s="13">
        <f t="shared" si="28"/>
        <v>9977.2999999999993</v>
      </c>
      <c r="AM649" s="23" t="s">
        <v>873</v>
      </c>
      <c r="AN649" s="13"/>
      <c r="AP649" s="13"/>
      <c r="AQ649" s="13"/>
      <c r="AR649" s="13"/>
    </row>
    <row r="650" spans="1:44" ht="15.75" customHeight="1">
      <c r="A650" s="9" t="s">
        <v>693</v>
      </c>
      <c r="B650" s="9" t="s">
        <v>150</v>
      </c>
      <c r="C650" s="18" t="s">
        <v>858</v>
      </c>
      <c r="D650" s="9"/>
      <c r="G650" s="13"/>
      <c r="H650" s="9"/>
      <c r="I650" s="9"/>
      <c r="J650" s="9"/>
      <c r="K650" s="9"/>
      <c r="L650" s="9"/>
      <c r="N650" s="9"/>
      <c r="O650" s="9"/>
      <c r="P650" s="9"/>
      <c r="R650" s="13"/>
      <c r="S650" s="9"/>
      <c r="T650" s="13"/>
      <c r="U650" s="13"/>
      <c r="V650" s="13"/>
      <c r="W650" s="13"/>
      <c r="X650" s="13"/>
      <c r="Y650" s="9"/>
      <c r="Z650" s="13"/>
      <c r="AA650" s="13"/>
      <c r="AB650" s="13"/>
      <c r="AC650" s="13"/>
      <c r="AD650" s="13"/>
      <c r="AE650" s="13"/>
      <c r="AF650" s="13"/>
      <c r="AG650" s="13"/>
      <c r="AK650" s="13"/>
      <c r="AL650" s="13">
        <v>1701.1</v>
      </c>
      <c r="AM650" s="23" t="s">
        <v>874</v>
      </c>
      <c r="AN650" s="13"/>
      <c r="AP650" s="13"/>
      <c r="AQ650" s="13"/>
      <c r="AR650" s="13"/>
    </row>
    <row r="651" spans="1:44" ht="15.75" customHeight="1">
      <c r="A651" s="9" t="s">
        <v>875</v>
      </c>
      <c r="B651" s="9" t="s">
        <v>834</v>
      </c>
      <c r="C651" s="18" t="s">
        <v>858</v>
      </c>
      <c r="D651" s="11">
        <v>984.9</v>
      </c>
      <c r="G651" s="13">
        <v>80.400000000000006</v>
      </c>
      <c r="H651" s="11">
        <v>12.3</v>
      </c>
      <c r="I651" s="11">
        <v>34.799999999999997</v>
      </c>
      <c r="J651" s="11">
        <v>27.6</v>
      </c>
      <c r="K651" s="11">
        <v>19.100000000000001</v>
      </c>
      <c r="L651" s="11">
        <v>79.7</v>
      </c>
      <c r="N651" s="11">
        <v>5.8</v>
      </c>
      <c r="O651" s="11">
        <v>2.2000000000000002</v>
      </c>
      <c r="P651" s="9"/>
      <c r="R651" s="13"/>
      <c r="S651" s="9">
        <v>17.100000000000001</v>
      </c>
      <c r="T651" s="13"/>
      <c r="U651" s="13"/>
      <c r="V651" s="13"/>
      <c r="W651" s="13"/>
      <c r="X651" s="13"/>
      <c r="Y651" s="9"/>
      <c r="Z651" s="13"/>
      <c r="AA651" s="13"/>
      <c r="AB651" s="13"/>
      <c r="AC651" s="13"/>
      <c r="AD651" s="13"/>
      <c r="AE651" s="13"/>
      <c r="AF651" s="13"/>
      <c r="AG651" s="13"/>
      <c r="AK651" s="13"/>
      <c r="AL651" s="13">
        <f t="shared" ref="AL651:AL660" si="29">SUM(D651:S651)</f>
        <v>1263.8999999999996</v>
      </c>
      <c r="AM651" s="23" t="s">
        <v>876</v>
      </c>
      <c r="AN651" s="13"/>
      <c r="AP651" s="13"/>
      <c r="AQ651" s="13"/>
      <c r="AR651" s="13"/>
    </row>
    <row r="652" spans="1:44" ht="15.75" customHeight="1">
      <c r="A652" s="9" t="s">
        <v>836</v>
      </c>
      <c r="B652" s="9" t="s">
        <v>836</v>
      </c>
      <c r="C652" s="18" t="s">
        <v>858</v>
      </c>
      <c r="D652" s="11">
        <v>137</v>
      </c>
      <c r="G652" s="13">
        <v>26.2</v>
      </c>
      <c r="H652" s="11">
        <v>1.1000000000000001</v>
      </c>
      <c r="I652" s="11">
        <v>10.6</v>
      </c>
      <c r="J652" s="11">
        <v>4</v>
      </c>
      <c r="K652" s="11">
        <v>2.8</v>
      </c>
      <c r="L652" s="11">
        <v>34.799999999999997</v>
      </c>
      <c r="N652" s="9">
        <v>8.4</v>
      </c>
      <c r="O652" s="11">
        <v>0.7</v>
      </c>
      <c r="P652" s="9"/>
      <c r="R652" s="13"/>
      <c r="S652" s="11">
        <v>92.3</v>
      </c>
      <c r="T652" s="13"/>
      <c r="U652" s="13"/>
      <c r="V652" s="13"/>
      <c r="W652" s="13"/>
      <c r="X652" s="13"/>
      <c r="Y652" s="9"/>
      <c r="Z652" s="13"/>
      <c r="AA652" s="13"/>
      <c r="AB652" s="13"/>
      <c r="AC652" s="13"/>
      <c r="AD652" s="13"/>
      <c r="AE652" s="13"/>
      <c r="AF652" s="13"/>
      <c r="AG652" s="13"/>
      <c r="AK652" s="13"/>
      <c r="AL652" s="13">
        <f t="shared" si="29"/>
        <v>317.89999999999998</v>
      </c>
      <c r="AM652" s="23" t="s">
        <v>877</v>
      </c>
      <c r="AN652" s="13"/>
      <c r="AP652" s="13"/>
      <c r="AQ652" s="13"/>
      <c r="AR652" s="13"/>
    </row>
    <row r="653" spans="1:44" ht="15.75" customHeight="1">
      <c r="A653" s="9" t="s">
        <v>838</v>
      </c>
      <c r="B653" s="9" t="s">
        <v>838</v>
      </c>
      <c r="C653" s="18" t="s">
        <v>858</v>
      </c>
      <c r="D653" s="11">
        <v>64.5</v>
      </c>
      <c r="G653" s="13">
        <v>5.9</v>
      </c>
      <c r="H653" s="11">
        <v>1.1000000000000001</v>
      </c>
      <c r="I653" s="11">
        <v>2.8</v>
      </c>
      <c r="J653" s="11">
        <v>1.5</v>
      </c>
      <c r="K653" s="11">
        <v>0.6</v>
      </c>
      <c r="L653" s="11">
        <v>15.5</v>
      </c>
      <c r="N653" s="11">
        <v>0.3</v>
      </c>
      <c r="O653" s="11">
        <v>0.1</v>
      </c>
      <c r="P653" s="9"/>
      <c r="R653" s="13"/>
      <c r="S653" s="11">
        <v>12.8</v>
      </c>
      <c r="T653" s="13"/>
      <c r="U653" s="13"/>
      <c r="V653" s="13"/>
      <c r="W653" s="13"/>
      <c r="X653" s="13"/>
      <c r="Y653" s="11">
        <v>360</v>
      </c>
      <c r="Z653" s="13"/>
      <c r="AA653" s="13"/>
      <c r="AB653" s="13"/>
      <c r="AC653" s="13"/>
      <c r="AD653" s="13"/>
      <c r="AE653" s="13"/>
      <c r="AF653" s="13"/>
      <c r="AG653" s="13"/>
      <c r="AK653" s="13"/>
      <c r="AL653" s="13">
        <f t="shared" si="29"/>
        <v>105.09999999999998</v>
      </c>
      <c r="AM653" s="23" t="s">
        <v>878</v>
      </c>
      <c r="AN653" s="13"/>
      <c r="AP653" s="13"/>
      <c r="AQ653" s="13"/>
      <c r="AR653" s="13"/>
    </row>
    <row r="654" spans="1:44" ht="15.75" customHeight="1">
      <c r="A654" s="9" t="s">
        <v>158</v>
      </c>
      <c r="B654" s="9" t="s">
        <v>158</v>
      </c>
      <c r="C654" s="18" t="s">
        <v>858</v>
      </c>
      <c r="D654" s="11">
        <v>105.9</v>
      </c>
      <c r="G654" s="11">
        <v>5.4</v>
      </c>
      <c r="H654" s="11">
        <v>1.5</v>
      </c>
      <c r="I654" s="11">
        <v>8.1</v>
      </c>
      <c r="J654" s="11">
        <v>4.4000000000000004</v>
      </c>
      <c r="K654" s="11">
        <v>5.7</v>
      </c>
      <c r="L654" s="11">
        <v>12.3</v>
      </c>
      <c r="N654" s="11">
        <v>3.2</v>
      </c>
      <c r="O654" s="11">
        <v>0.5</v>
      </c>
      <c r="P654" s="9"/>
      <c r="R654" s="13"/>
      <c r="S654" s="11">
        <v>129.19999999999999</v>
      </c>
      <c r="T654" s="13"/>
      <c r="U654" s="13"/>
      <c r="V654" s="13"/>
      <c r="W654" s="13"/>
      <c r="X654" s="13"/>
      <c r="Y654" s="9"/>
      <c r="Z654" s="13"/>
      <c r="AA654" s="13"/>
      <c r="AB654" s="13"/>
      <c r="AC654" s="13"/>
      <c r="AD654" s="13"/>
      <c r="AE654" s="13"/>
      <c r="AF654" s="13"/>
      <c r="AG654" s="13"/>
      <c r="AK654" s="13"/>
      <c r="AL654" s="13">
        <f t="shared" si="29"/>
        <v>276.2</v>
      </c>
      <c r="AM654" s="23" t="s">
        <v>879</v>
      </c>
      <c r="AN654" s="13"/>
      <c r="AP654" s="13"/>
      <c r="AQ654" s="13"/>
      <c r="AR654" s="13"/>
    </row>
    <row r="655" spans="1:44" ht="15.75" customHeight="1">
      <c r="A655" s="9" t="s">
        <v>202</v>
      </c>
      <c r="B655" s="9" t="s">
        <v>202</v>
      </c>
      <c r="C655" s="18" t="s">
        <v>858</v>
      </c>
      <c r="D655" s="11">
        <v>44875.9</v>
      </c>
      <c r="G655" s="11">
        <v>1082.2</v>
      </c>
      <c r="H655" s="11">
        <v>39.200000000000003</v>
      </c>
      <c r="I655" s="11">
        <v>134.5</v>
      </c>
      <c r="J655" s="11">
        <v>881.8</v>
      </c>
      <c r="K655" s="11">
        <v>57.5</v>
      </c>
      <c r="L655" s="11">
        <v>615.6</v>
      </c>
      <c r="N655" s="11">
        <v>783.2</v>
      </c>
      <c r="O655" s="11">
        <v>437.8</v>
      </c>
      <c r="P655" s="9"/>
      <c r="R655" s="13"/>
      <c r="S655" s="11">
        <v>21242.799999999999</v>
      </c>
      <c r="T655" s="13"/>
      <c r="U655" s="13"/>
      <c r="V655" s="13"/>
      <c r="W655" s="13"/>
      <c r="X655" s="13"/>
      <c r="Y655" s="11">
        <v>721.8</v>
      </c>
      <c r="Z655" s="13"/>
      <c r="AA655" s="13"/>
      <c r="AB655" s="13"/>
      <c r="AC655" s="13"/>
      <c r="AD655" s="13"/>
      <c r="AE655" s="13"/>
      <c r="AF655" s="13"/>
      <c r="AG655" s="13"/>
      <c r="AK655" s="13"/>
      <c r="AL655" s="13">
        <f t="shared" si="29"/>
        <v>70150.5</v>
      </c>
      <c r="AM655" s="23" t="s">
        <v>880</v>
      </c>
      <c r="AN655" s="13"/>
      <c r="AP655" s="13"/>
      <c r="AQ655" s="13"/>
      <c r="AR655" s="13"/>
    </row>
    <row r="656" spans="1:44" ht="15.75" customHeight="1">
      <c r="A656" s="9" t="s">
        <v>790</v>
      </c>
      <c r="B656" s="9" t="s">
        <v>790</v>
      </c>
      <c r="C656" s="18" t="s">
        <v>858</v>
      </c>
      <c r="D656" s="11">
        <v>10679.7</v>
      </c>
      <c r="G656" s="11">
        <v>70.2</v>
      </c>
      <c r="H656" s="11">
        <v>15.9</v>
      </c>
      <c r="I656" s="11">
        <v>38.299999999999997</v>
      </c>
      <c r="J656" s="11">
        <v>26.7</v>
      </c>
      <c r="K656" s="11">
        <v>1.7</v>
      </c>
      <c r="L656" s="11">
        <v>61.2</v>
      </c>
      <c r="N656" s="11">
        <v>53.5</v>
      </c>
      <c r="O656" s="11">
        <v>8</v>
      </c>
      <c r="P656" s="9"/>
      <c r="R656" s="13"/>
      <c r="S656" s="11">
        <v>4793.7</v>
      </c>
      <c r="T656" s="13"/>
      <c r="U656" s="13"/>
      <c r="V656" s="13"/>
      <c r="W656" s="13"/>
      <c r="X656" s="13"/>
      <c r="Y656" s="11">
        <v>1.8</v>
      </c>
      <c r="Z656" s="13"/>
      <c r="AA656" s="13"/>
      <c r="AB656" s="13"/>
      <c r="AC656" s="13"/>
      <c r="AD656" s="13"/>
      <c r="AE656" s="13"/>
      <c r="AF656" s="13"/>
      <c r="AG656" s="13"/>
      <c r="AK656" s="13"/>
      <c r="AL656" s="13">
        <f t="shared" si="29"/>
        <v>15748.900000000001</v>
      </c>
      <c r="AM656" s="23" t="s">
        <v>881</v>
      </c>
      <c r="AN656" s="13"/>
      <c r="AP656" s="13"/>
      <c r="AQ656" s="13"/>
      <c r="AR656" s="13"/>
    </row>
    <row r="657" spans="1:44" ht="15.75" customHeight="1">
      <c r="A657" s="9" t="s">
        <v>323</v>
      </c>
      <c r="B657" s="9" t="s">
        <v>323</v>
      </c>
      <c r="C657" s="18" t="s">
        <v>858</v>
      </c>
      <c r="D657" s="11">
        <v>6456.7</v>
      </c>
      <c r="G657" s="11">
        <v>187.2</v>
      </c>
      <c r="H657" s="11">
        <v>45.4</v>
      </c>
      <c r="I657" s="11">
        <v>332.9</v>
      </c>
      <c r="J657" s="11">
        <v>335.5</v>
      </c>
      <c r="K657" s="11">
        <v>99.2</v>
      </c>
      <c r="L657" s="11">
        <v>203.4</v>
      </c>
      <c r="N657" s="11">
        <v>33.299999999999997</v>
      </c>
      <c r="O657" s="11">
        <v>145.6</v>
      </c>
      <c r="P657" s="9"/>
      <c r="R657" s="13"/>
      <c r="S657" s="11">
        <v>4382.2</v>
      </c>
      <c r="T657" s="13"/>
      <c r="U657" s="13"/>
      <c r="V657" s="13"/>
      <c r="W657" s="13"/>
      <c r="X657" s="13"/>
      <c r="Y657" s="11">
        <v>2303.1</v>
      </c>
      <c r="Z657" s="13"/>
      <c r="AA657" s="13"/>
      <c r="AB657" s="13"/>
      <c r="AC657" s="13"/>
      <c r="AD657" s="13"/>
      <c r="AE657" s="13"/>
      <c r="AF657" s="13"/>
      <c r="AG657" s="13"/>
      <c r="AK657" s="13"/>
      <c r="AL657" s="13">
        <f t="shared" si="29"/>
        <v>12221.399999999998</v>
      </c>
      <c r="AM657" s="23" t="s">
        <v>882</v>
      </c>
      <c r="AN657" s="13"/>
      <c r="AP657" s="13"/>
      <c r="AQ657" s="13"/>
      <c r="AR657" s="13"/>
    </row>
    <row r="658" spans="1:44" ht="15.75" customHeight="1">
      <c r="A658" s="9" t="s">
        <v>207</v>
      </c>
      <c r="B658" s="9" t="s">
        <v>207</v>
      </c>
      <c r="C658" s="18" t="s">
        <v>858</v>
      </c>
      <c r="D658" s="11">
        <v>616.6</v>
      </c>
      <c r="G658" s="11">
        <v>24.1</v>
      </c>
      <c r="H658" s="11">
        <v>3.7</v>
      </c>
      <c r="I658" s="11">
        <v>10.3</v>
      </c>
      <c r="J658" s="11">
        <v>8</v>
      </c>
      <c r="K658" s="11">
        <v>2.2000000000000002</v>
      </c>
      <c r="L658" s="11">
        <v>88.6</v>
      </c>
      <c r="N658" s="11">
        <v>8.6</v>
      </c>
      <c r="O658" s="11">
        <v>3.7</v>
      </c>
      <c r="P658" s="9"/>
      <c r="R658" s="13"/>
      <c r="S658" s="11">
        <v>160.69999999999999</v>
      </c>
      <c r="T658" s="13"/>
      <c r="U658" s="13"/>
      <c r="V658" s="13"/>
      <c r="W658" s="13"/>
      <c r="X658" s="13"/>
      <c r="Y658" s="11">
        <v>3205.3</v>
      </c>
      <c r="Z658" s="13"/>
      <c r="AA658" s="13"/>
      <c r="AB658" s="13"/>
      <c r="AC658" s="13"/>
      <c r="AD658" s="13"/>
      <c r="AE658" s="13"/>
      <c r="AF658" s="13"/>
      <c r="AG658" s="13"/>
      <c r="AK658" s="13"/>
      <c r="AL658" s="13">
        <f t="shared" si="29"/>
        <v>926.50000000000023</v>
      </c>
      <c r="AM658" s="23" t="s">
        <v>883</v>
      </c>
      <c r="AN658" s="13"/>
      <c r="AP658" s="13"/>
      <c r="AQ658" s="13"/>
      <c r="AR658" s="13"/>
    </row>
    <row r="659" spans="1:44" ht="15.75" customHeight="1">
      <c r="A659" s="9" t="s">
        <v>796</v>
      </c>
      <c r="B659" s="9" t="s">
        <v>796</v>
      </c>
      <c r="C659" s="18" t="s">
        <v>858</v>
      </c>
      <c r="D659" s="11">
        <v>3238.4</v>
      </c>
      <c r="G659" s="11">
        <v>47.6</v>
      </c>
      <c r="H659" s="11">
        <v>14.3</v>
      </c>
      <c r="I659" s="11">
        <v>31.5</v>
      </c>
      <c r="J659" s="11">
        <v>39.799999999999997</v>
      </c>
      <c r="K659" s="11">
        <v>5.9</v>
      </c>
      <c r="L659" s="11">
        <v>132.6</v>
      </c>
      <c r="N659" s="11">
        <v>22</v>
      </c>
      <c r="O659" s="11">
        <v>25</v>
      </c>
      <c r="P659" s="9"/>
      <c r="R659" s="13"/>
      <c r="S659" s="11">
        <v>28854.5</v>
      </c>
      <c r="T659" s="13"/>
      <c r="U659" s="13"/>
      <c r="V659" s="13"/>
      <c r="W659" s="13"/>
      <c r="X659" s="13"/>
      <c r="Y659" s="11">
        <v>16077.2</v>
      </c>
      <c r="Z659" s="13"/>
      <c r="AA659" s="13"/>
      <c r="AB659" s="13"/>
      <c r="AC659" s="13"/>
      <c r="AD659" s="13"/>
      <c r="AE659" s="13"/>
      <c r="AF659" s="13"/>
      <c r="AG659" s="13"/>
      <c r="AK659" s="13"/>
      <c r="AL659" s="13">
        <f t="shared" si="29"/>
        <v>32411.599999999999</v>
      </c>
      <c r="AM659" s="23" t="s">
        <v>884</v>
      </c>
      <c r="AN659" s="13"/>
      <c r="AP659" s="13"/>
      <c r="AQ659" s="13"/>
      <c r="AR659" s="13"/>
    </row>
    <row r="660" spans="1:44" ht="15.75" customHeight="1">
      <c r="A660" s="9" t="s">
        <v>885</v>
      </c>
      <c r="B660" s="9" t="s">
        <v>885</v>
      </c>
      <c r="C660" s="18" t="s">
        <v>858</v>
      </c>
      <c r="D660" s="11">
        <v>891.6</v>
      </c>
      <c r="G660" s="11">
        <v>22.8</v>
      </c>
      <c r="H660" s="11">
        <v>3.1</v>
      </c>
      <c r="I660" s="11">
        <v>8.8000000000000007</v>
      </c>
      <c r="J660" s="11">
        <v>7.8</v>
      </c>
      <c r="K660" s="11">
        <v>2.8</v>
      </c>
      <c r="L660" s="9"/>
      <c r="N660" s="11">
        <v>5.4</v>
      </c>
      <c r="O660" s="11">
        <v>4.7</v>
      </c>
      <c r="P660" s="9"/>
      <c r="R660" s="13"/>
      <c r="S660" s="11">
        <v>4606.2</v>
      </c>
      <c r="T660" s="13"/>
      <c r="U660" s="13"/>
      <c r="V660" s="13"/>
      <c r="W660" s="13"/>
      <c r="X660" s="13"/>
      <c r="Y660" s="11">
        <v>33607.199999999997</v>
      </c>
      <c r="Z660" s="13"/>
      <c r="AA660" s="13"/>
      <c r="AB660" s="13"/>
      <c r="AC660" s="13"/>
      <c r="AD660" s="13"/>
      <c r="AE660" s="13"/>
      <c r="AF660" s="13"/>
      <c r="AG660" s="13"/>
      <c r="AK660" s="13"/>
      <c r="AL660" s="13">
        <f t="shared" si="29"/>
        <v>5553.2</v>
      </c>
      <c r="AM660" s="23" t="s">
        <v>886</v>
      </c>
      <c r="AN660" s="13"/>
      <c r="AP660" s="13"/>
      <c r="AQ660" s="13"/>
      <c r="AR660" s="13"/>
    </row>
    <row r="661" spans="1:44" ht="15.75" customHeight="1">
      <c r="A661" s="9" t="s">
        <v>325</v>
      </c>
      <c r="B661" s="9" t="s">
        <v>325</v>
      </c>
      <c r="C661" s="18" t="s">
        <v>858</v>
      </c>
      <c r="D661" s="11">
        <v>1054.5</v>
      </c>
      <c r="G661" s="11">
        <v>8.3000000000000007</v>
      </c>
      <c r="H661" s="11">
        <v>2.5</v>
      </c>
      <c r="I661" s="11">
        <v>5.5</v>
      </c>
      <c r="J661" s="11">
        <v>15.6</v>
      </c>
      <c r="K661" s="11">
        <v>1.3</v>
      </c>
      <c r="L661" s="9"/>
      <c r="N661" s="11">
        <v>6.3</v>
      </c>
      <c r="O661" s="11">
        <v>7.2</v>
      </c>
      <c r="P661" s="9"/>
      <c r="R661" s="13"/>
      <c r="S661" s="11">
        <v>106.1</v>
      </c>
      <c r="T661" s="13"/>
      <c r="U661" s="13"/>
      <c r="V661" s="13"/>
      <c r="W661" s="13"/>
      <c r="X661" s="13"/>
      <c r="Y661" s="11">
        <v>22926.3</v>
      </c>
      <c r="Z661" s="13"/>
      <c r="AA661" s="13"/>
      <c r="AB661" s="13"/>
      <c r="AC661" s="13"/>
      <c r="AD661" s="13"/>
      <c r="AE661" s="13"/>
      <c r="AF661" s="13"/>
      <c r="AG661" s="13"/>
      <c r="AK661" s="13"/>
      <c r="AL661" s="13">
        <v>1188.7</v>
      </c>
      <c r="AM661" s="23" t="s">
        <v>887</v>
      </c>
      <c r="AN661" s="13"/>
      <c r="AP661" s="13"/>
      <c r="AQ661" s="13"/>
      <c r="AR661" s="13"/>
    </row>
    <row r="662" spans="1:44" ht="15.75" customHeight="1">
      <c r="A662" s="9" t="s">
        <v>327</v>
      </c>
      <c r="B662" s="9" t="s">
        <v>327</v>
      </c>
      <c r="C662" s="18" t="s">
        <v>858</v>
      </c>
      <c r="D662" s="11">
        <v>141.6</v>
      </c>
      <c r="G662" s="11">
        <v>7.7</v>
      </c>
      <c r="H662" s="11">
        <v>2.5</v>
      </c>
      <c r="I662" s="11">
        <v>5.5</v>
      </c>
      <c r="J662" s="11">
        <v>7.4</v>
      </c>
      <c r="K662" s="11">
        <v>1.1000000000000001</v>
      </c>
      <c r="L662" s="11">
        <v>1.5</v>
      </c>
      <c r="N662" s="11">
        <v>4.3</v>
      </c>
      <c r="O662" s="11">
        <v>18.5</v>
      </c>
      <c r="P662" s="9"/>
      <c r="R662" s="13"/>
      <c r="S662" s="11">
        <v>151.19999999999999</v>
      </c>
      <c r="T662" s="13"/>
      <c r="U662" s="13"/>
      <c r="V662" s="13"/>
      <c r="W662" s="13"/>
      <c r="X662" s="13"/>
      <c r="Y662" s="11">
        <v>2894.1</v>
      </c>
      <c r="Z662" s="13"/>
      <c r="AA662" s="13"/>
      <c r="AB662" s="13"/>
      <c r="AC662" s="13"/>
      <c r="AD662" s="13"/>
      <c r="AE662" s="13"/>
      <c r="AF662" s="13"/>
      <c r="AG662" s="13"/>
      <c r="AK662" s="13"/>
      <c r="AL662" s="13">
        <v>1347.6</v>
      </c>
      <c r="AM662" s="23" t="s">
        <v>888</v>
      </c>
      <c r="AN662" s="13"/>
      <c r="AP662" s="13"/>
      <c r="AQ662" s="13"/>
      <c r="AR662" s="13"/>
    </row>
    <row r="663" spans="1:44" ht="15.75" customHeight="1">
      <c r="A663" s="9" t="s">
        <v>804</v>
      </c>
      <c r="B663" s="9" t="s">
        <v>160</v>
      </c>
      <c r="C663" s="18" t="s">
        <v>858</v>
      </c>
      <c r="D663" s="11">
        <v>1080.2</v>
      </c>
      <c r="G663" s="11">
        <v>21.6</v>
      </c>
      <c r="H663" s="11">
        <v>36.299999999999997</v>
      </c>
      <c r="I663" s="11">
        <v>43.9</v>
      </c>
      <c r="J663" s="11">
        <v>14.3</v>
      </c>
      <c r="K663" s="11">
        <v>3.1</v>
      </c>
      <c r="L663" s="11">
        <v>64.400000000000006</v>
      </c>
      <c r="N663" s="11">
        <v>13.6</v>
      </c>
      <c r="O663" s="11">
        <v>7.2</v>
      </c>
      <c r="P663" s="9"/>
      <c r="R663" s="13"/>
      <c r="S663" s="11">
        <v>638.6</v>
      </c>
      <c r="T663" s="13"/>
      <c r="U663" s="13"/>
      <c r="V663" s="13"/>
      <c r="W663" s="13"/>
      <c r="X663" s="13"/>
      <c r="Y663" s="11">
        <v>8906.7000000000007</v>
      </c>
      <c r="Z663" s="13"/>
      <c r="AA663" s="13"/>
      <c r="AB663" s="13"/>
      <c r="AC663" s="13"/>
      <c r="AD663" s="13"/>
      <c r="AE663" s="13"/>
      <c r="AF663" s="13"/>
      <c r="AG663" s="13"/>
      <c r="AK663" s="13"/>
      <c r="AL663" s="13">
        <v>8167.5</v>
      </c>
      <c r="AM663" s="23" t="s">
        <v>889</v>
      </c>
      <c r="AN663" s="13"/>
      <c r="AP663" s="13"/>
      <c r="AQ663" s="13"/>
      <c r="AR663" s="13"/>
    </row>
    <row r="664" spans="1:44" ht="15.75" customHeight="1">
      <c r="A664" s="9" t="s">
        <v>806</v>
      </c>
      <c r="B664" s="9" t="s">
        <v>806</v>
      </c>
      <c r="C664" s="18" t="s">
        <v>858</v>
      </c>
      <c r="D664" s="11">
        <v>635.1</v>
      </c>
      <c r="G664" s="11">
        <v>21.5</v>
      </c>
      <c r="H664" s="11">
        <v>6.5</v>
      </c>
      <c r="I664" s="9">
        <v>4.5999999999999996</v>
      </c>
      <c r="J664" s="11">
        <v>8.9</v>
      </c>
      <c r="K664" s="11">
        <v>2.4</v>
      </c>
      <c r="L664" s="11">
        <v>22.7</v>
      </c>
      <c r="N664" s="11">
        <v>14.9</v>
      </c>
      <c r="O664" s="11">
        <v>9.8000000000000007</v>
      </c>
      <c r="P664" s="9"/>
      <c r="R664" s="13"/>
      <c r="S664" s="11">
        <v>126.1</v>
      </c>
      <c r="T664" s="13"/>
      <c r="U664" s="13"/>
      <c r="V664" s="13"/>
      <c r="W664" s="13"/>
      <c r="X664" s="13"/>
      <c r="Y664" s="11">
        <v>1229</v>
      </c>
      <c r="Z664" s="13"/>
      <c r="AA664" s="13"/>
      <c r="AB664" s="13"/>
      <c r="AC664" s="13"/>
      <c r="AD664" s="13"/>
      <c r="AE664" s="13"/>
      <c r="AF664" s="13"/>
      <c r="AG664" s="13"/>
      <c r="AK664" s="13"/>
      <c r="AL664" s="13">
        <f t="shared" ref="AL664:AL684" si="30">SUM(D664:S664)</f>
        <v>852.5</v>
      </c>
      <c r="AM664" s="23" t="s">
        <v>890</v>
      </c>
      <c r="AN664" s="13"/>
      <c r="AP664" s="13"/>
      <c r="AQ664" s="13"/>
      <c r="AR664" s="13"/>
    </row>
    <row r="665" spans="1:44" ht="15.75" customHeight="1">
      <c r="A665" s="9" t="s">
        <v>671</v>
      </c>
      <c r="B665" s="9" t="s">
        <v>506</v>
      </c>
      <c r="C665" s="18" t="s">
        <v>858</v>
      </c>
      <c r="D665" s="11">
        <v>952.5</v>
      </c>
      <c r="G665" s="11">
        <v>46.7</v>
      </c>
      <c r="H665" s="11">
        <v>18.100000000000001</v>
      </c>
      <c r="I665" s="11">
        <v>7.7</v>
      </c>
      <c r="J665" s="11">
        <v>15.3</v>
      </c>
      <c r="K665" s="11">
        <v>16</v>
      </c>
      <c r="L665" s="11">
        <v>17.8</v>
      </c>
      <c r="N665" s="11">
        <v>12.7</v>
      </c>
      <c r="O665" s="11">
        <v>5.9</v>
      </c>
      <c r="P665" s="9"/>
      <c r="R665" s="13"/>
      <c r="S665" s="11">
        <v>2952.2</v>
      </c>
      <c r="T665" s="13"/>
      <c r="U665" s="13"/>
      <c r="V665" s="13"/>
      <c r="W665" s="13"/>
      <c r="X665" s="13"/>
      <c r="Y665" s="11">
        <v>3372.6</v>
      </c>
      <c r="Z665" s="13"/>
      <c r="AA665" s="13"/>
      <c r="AB665" s="13"/>
      <c r="AC665" s="13"/>
      <c r="AD665" s="13"/>
      <c r="AE665" s="13"/>
      <c r="AF665" s="13"/>
      <c r="AG665" s="13"/>
      <c r="AK665" s="13"/>
      <c r="AL665" s="13">
        <f t="shared" si="30"/>
        <v>4044.8999999999996</v>
      </c>
      <c r="AM665" s="23" t="s">
        <v>891</v>
      </c>
      <c r="AN665" s="13"/>
      <c r="AP665" s="13"/>
      <c r="AQ665" s="13"/>
      <c r="AR665" s="13"/>
    </row>
    <row r="666" spans="1:44" ht="15.75" customHeight="1">
      <c r="A666" s="9" t="s">
        <v>252</v>
      </c>
      <c r="B666" s="9" t="s">
        <v>252</v>
      </c>
      <c r="C666" s="18" t="s">
        <v>858</v>
      </c>
      <c r="D666" s="11">
        <v>1117.5999999999999</v>
      </c>
      <c r="G666" s="11">
        <v>13.5</v>
      </c>
      <c r="H666" s="11">
        <v>2.7</v>
      </c>
      <c r="I666" s="11">
        <v>2.2000000000000002</v>
      </c>
      <c r="J666" s="11">
        <v>5.4</v>
      </c>
      <c r="K666" s="11">
        <v>1.8</v>
      </c>
      <c r="L666" s="11">
        <v>35.1</v>
      </c>
      <c r="N666" s="11">
        <v>6.7</v>
      </c>
      <c r="O666" s="11">
        <v>3.6</v>
      </c>
      <c r="P666" s="9"/>
      <c r="R666" s="13"/>
      <c r="S666" s="11">
        <v>33.700000000000003</v>
      </c>
      <c r="T666" s="13"/>
      <c r="U666" s="13"/>
      <c r="V666" s="13"/>
      <c r="W666" s="13"/>
      <c r="X666" s="13"/>
      <c r="Y666" s="11">
        <v>44.8</v>
      </c>
      <c r="Z666" s="13"/>
      <c r="AA666" s="13"/>
      <c r="AB666" s="13"/>
      <c r="AC666" s="13"/>
      <c r="AD666" s="13"/>
      <c r="AE666" s="13"/>
      <c r="AF666" s="13"/>
      <c r="AG666" s="13"/>
      <c r="AK666" s="13"/>
      <c r="AL666" s="13">
        <f t="shared" si="30"/>
        <v>1222.3</v>
      </c>
      <c r="AM666" s="23" t="s">
        <v>892</v>
      </c>
      <c r="AN666" s="13"/>
      <c r="AP666" s="13"/>
      <c r="AQ666" s="13"/>
      <c r="AR666" s="13"/>
    </row>
    <row r="667" spans="1:44" ht="15.75" customHeight="1">
      <c r="A667" s="9" t="s">
        <v>820</v>
      </c>
      <c r="B667" s="9" t="s">
        <v>255</v>
      </c>
      <c r="C667" s="18" t="s">
        <v>858</v>
      </c>
      <c r="D667" s="11">
        <v>174.6</v>
      </c>
      <c r="G667" s="11">
        <v>9.6999999999999993</v>
      </c>
      <c r="H667" s="11">
        <v>2.9</v>
      </c>
      <c r="I667" s="11">
        <v>3</v>
      </c>
      <c r="J667" s="11">
        <v>10.5</v>
      </c>
      <c r="K667" s="11">
        <v>1.3</v>
      </c>
      <c r="L667" s="9"/>
      <c r="N667" s="11">
        <v>2.8</v>
      </c>
      <c r="O667" s="11">
        <v>2.7</v>
      </c>
      <c r="P667" s="9"/>
      <c r="R667" s="13"/>
      <c r="S667" s="11">
        <v>208.5</v>
      </c>
      <c r="T667" s="13"/>
      <c r="U667" s="13"/>
      <c r="V667" s="13"/>
      <c r="W667" s="13"/>
      <c r="X667" s="13"/>
      <c r="Y667" s="11">
        <v>653.20000000000005</v>
      </c>
      <c r="Z667" s="13"/>
      <c r="AA667" s="13"/>
      <c r="AB667" s="13"/>
      <c r="AC667" s="13"/>
      <c r="AD667" s="13"/>
      <c r="AE667" s="13"/>
      <c r="AF667" s="13"/>
      <c r="AG667" s="13"/>
      <c r="AK667" s="13"/>
      <c r="AL667" s="13">
        <f t="shared" si="30"/>
        <v>416</v>
      </c>
      <c r="AM667" s="23" t="s">
        <v>893</v>
      </c>
      <c r="AN667" s="13"/>
      <c r="AP667" s="13"/>
      <c r="AQ667" s="13"/>
      <c r="AR667" s="13"/>
    </row>
    <row r="668" spans="1:44" ht="15.75" customHeight="1">
      <c r="A668" s="9" t="s">
        <v>826</v>
      </c>
      <c r="B668" s="9" t="s">
        <v>826</v>
      </c>
      <c r="C668" s="18" t="s">
        <v>858</v>
      </c>
      <c r="D668" s="11">
        <v>158</v>
      </c>
      <c r="G668" s="11">
        <v>40.4</v>
      </c>
      <c r="H668" s="11">
        <v>128.30000000000001</v>
      </c>
      <c r="I668" s="11">
        <v>136.69999999999999</v>
      </c>
      <c r="J668" s="11">
        <v>9.5</v>
      </c>
      <c r="K668" s="11">
        <v>21.8</v>
      </c>
      <c r="L668" s="11">
        <v>39.299999999999997</v>
      </c>
      <c r="N668" s="11">
        <v>3.9</v>
      </c>
      <c r="O668" s="11">
        <v>2.5</v>
      </c>
      <c r="P668" s="9"/>
      <c r="R668" s="13"/>
      <c r="S668" s="11">
        <v>38.200000000000003</v>
      </c>
      <c r="T668" s="13"/>
      <c r="U668" s="13"/>
      <c r="V668" s="13"/>
      <c r="W668" s="13"/>
      <c r="X668" s="13"/>
      <c r="Y668" s="11">
        <v>940.6</v>
      </c>
      <c r="Z668" s="13"/>
      <c r="AA668" s="13"/>
      <c r="AB668" s="13"/>
      <c r="AC668" s="13"/>
      <c r="AD668" s="13"/>
      <c r="AE668" s="13"/>
      <c r="AF668" s="13"/>
      <c r="AG668" s="13"/>
      <c r="AK668" s="13"/>
      <c r="AL668" s="13">
        <f t="shared" si="30"/>
        <v>578.6</v>
      </c>
      <c r="AM668" s="23" t="s">
        <v>894</v>
      </c>
      <c r="AN668" s="13"/>
      <c r="AP668" s="13"/>
      <c r="AQ668" s="13"/>
      <c r="AR668" s="13"/>
    </row>
    <row r="669" spans="1:44" ht="15.75" customHeight="1">
      <c r="A669" s="9" t="s">
        <v>824</v>
      </c>
      <c r="B669" s="9" t="s">
        <v>824</v>
      </c>
      <c r="C669" s="18" t="s">
        <v>858</v>
      </c>
      <c r="D669" s="11">
        <v>354.3</v>
      </c>
      <c r="G669" s="11">
        <v>44.5</v>
      </c>
      <c r="H669" s="11">
        <v>96.6</v>
      </c>
      <c r="I669" s="11">
        <v>58</v>
      </c>
      <c r="J669" s="11">
        <v>10.9</v>
      </c>
      <c r="K669" s="11">
        <v>6.7</v>
      </c>
      <c r="L669" s="11">
        <v>125.5</v>
      </c>
      <c r="N669" s="11">
        <v>18</v>
      </c>
      <c r="O669" s="11">
        <v>35.200000000000003</v>
      </c>
      <c r="P669" s="9"/>
      <c r="R669" s="13"/>
      <c r="S669" s="11">
        <v>129.6</v>
      </c>
      <c r="T669" s="13"/>
      <c r="U669" s="13"/>
      <c r="V669" s="13"/>
      <c r="W669" s="13"/>
      <c r="X669" s="13"/>
      <c r="Y669" s="11">
        <v>1958.9</v>
      </c>
      <c r="Z669" s="13"/>
      <c r="AA669" s="13"/>
      <c r="AB669" s="13"/>
      <c r="AC669" s="13"/>
      <c r="AD669" s="13"/>
      <c r="AE669" s="13"/>
      <c r="AF669" s="13"/>
      <c r="AG669" s="13"/>
      <c r="AK669" s="13"/>
      <c r="AL669" s="13">
        <f t="shared" si="30"/>
        <v>879.30000000000007</v>
      </c>
      <c r="AM669" s="23" t="s">
        <v>895</v>
      </c>
      <c r="AN669" s="13"/>
      <c r="AP669" s="13"/>
      <c r="AQ669" s="13"/>
      <c r="AR669" s="13"/>
    </row>
    <row r="670" spans="1:44" ht="15.75" customHeight="1">
      <c r="A670" s="9" t="s">
        <v>896</v>
      </c>
      <c r="B670" s="9" t="s">
        <v>164</v>
      </c>
      <c r="C670" s="18" t="s">
        <v>858</v>
      </c>
      <c r="D670" s="11">
        <v>180.5</v>
      </c>
      <c r="G670" s="11">
        <v>15.7</v>
      </c>
      <c r="H670" s="9">
        <v>5.6</v>
      </c>
      <c r="I670" s="9">
        <v>3.8</v>
      </c>
      <c r="J670" s="11">
        <v>4.8</v>
      </c>
      <c r="K670" s="11">
        <v>12.3</v>
      </c>
      <c r="L670" s="11">
        <v>37</v>
      </c>
      <c r="N670" s="9"/>
      <c r="O670" s="9"/>
      <c r="P670" s="9"/>
      <c r="R670" s="13"/>
      <c r="S670" s="11">
        <v>73.7</v>
      </c>
      <c r="T670" s="13"/>
      <c r="U670" s="13"/>
      <c r="V670" s="13"/>
      <c r="W670" s="13"/>
      <c r="X670" s="13"/>
      <c r="Y670" s="9"/>
      <c r="Z670" s="13"/>
      <c r="AA670" s="13"/>
      <c r="AB670" s="13"/>
      <c r="AC670" s="13"/>
      <c r="AD670" s="13"/>
      <c r="AE670" s="13"/>
      <c r="AF670" s="13"/>
      <c r="AG670" s="13"/>
      <c r="AK670" s="13"/>
      <c r="AL670" s="13">
        <f t="shared" si="30"/>
        <v>333.40000000000003</v>
      </c>
      <c r="AM670" s="23" t="s">
        <v>897</v>
      </c>
      <c r="AN670" s="13"/>
      <c r="AP670" s="13"/>
      <c r="AQ670" s="13"/>
      <c r="AR670" s="13"/>
    </row>
    <row r="671" spans="1:44" ht="15.75" customHeight="1">
      <c r="A671" s="9" t="s">
        <v>700</v>
      </c>
      <c r="B671" s="9" t="s">
        <v>166</v>
      </c>
      <c r="C671" s="18" t="s">
        <v>858</v>
      </c>
      <c r="D671" s="11">
        <v>444.4</v>
      </c>
      <c r="G671" s="11">
        <v>31.8</v>
      </c>
      <c r="H671" s="11">
        <v>2.1</v>
      </c>
      <c r="I671" s="11">
        <v>111.9</v>
      </c>
      <c r="J671" s="11">
        <v>4.5999999999999996</v>
      </c>
      <c r="K671" s="11">
        <v>44.2</v>
      </c>
      <c r="L671" s="11">
        <v>19.3</v>
      </c>
      <c r="N671" s="11">
        <v>9.6999999999999993</v>
      </c>
      <c r="O671" s="11">
        <v>0.8</v>
      </c>
      <c r="P671" s="9"/>
      <c r="R671" s="13"/>
      <c r="S671" s="11">
        <v>386.5</v>
      </c>
      <c r="T671" s="13"/>
      <c r="U671" s="13"/>
      <c r="V671" s="13"/>
      <c r="W671" s="13"/>
      <c r="X671" s="13"/>
      <c r="Y671" s="9"/>
      <c r="Z671" s="13"/>
      <c r="AA671" s="13"/>
      <c r="AB671" s="13"/>
      <c r="AC671" s="13"/>
      <c r="AD671" s="13"/>
      <c r="AE671" s="13"/>
      <c r="AF671" s="13"/>
      <c r="AG671" s="13"/>
      <c r="AK671" s="13"/>
      <c r="AL671" s="13">
        <f t="shared" si="30"/>
        <v>1055.3000000000002</v>
      </c>
      <c r="AM671" s="23" t="s">
        <v>898</v>
      </c>
      <c r="AN671" s="13"/>
      <c r="AP671" s="13"/>
      <c r="AQ671" s="13"/>
      <c r="AR671" s="13"/>
    </row>
    <row r="672" spans="1:44" ht="15.75" customHeight="1">
      <c r="A672" s="9" t="s">
        <v>168</v>
      </c>
      <c r="B672" s="9" t="s">
        <v>168</v>
      </c>
      <c r="C672" s="18" t="s">
        <v>858</v>
      </c>
      <c r="D672" s="9">
        <v>1898.4</v>
      </c>
      <c r="G672" s="11">
        <v>87.5</v>
      </c>
      <c r="H672" s="11">
        <v>30.9</v>
      </c>
      <c r="I672" s="11">
        <v>303.7</v>
      </c>
      <c r="J672" s="11">
        <v>251</v>
      </c>
      <c r="K672" s="11">
        <v>152.69999999999999</v>
      </c>
      <c r="L672" s="11">
        <v>162.30000000000001</v>
      </c>
      <c r="N672" s="11">
        <v>29.4</v>
      </c>
      <c r="O672" s="11">
        <v>9.5</v>
      </c>
      <c r="P672" s="9"/>
      <c r="R672" s="13"/>
      <c r="S672" s="11">
        <v>2303.6</v>
      </c>
      <c r="T672" s="13"/>
      <c r="U672" s="13"/>
      <c r="V672" s="13"/>
      <c r="W672" s="13"/>
      <c r="X672" s="13"/>
      <c r="Y672" s="9"/>
      <c r="Z672" s="13"/>
      <c r="AA672" s="13"/>
      <c r="AB672" s="13"/>
      <c r="AC672" s="13"/>
      <c r="AD672" s="13"/>
      <c r="AE672" s="13"/>
      <c r="AF672" s="13"/>
      <c r="AG672" s="13"/>
      <c r="AK672" s="13"/>
      <c r="AL672" s="13">
        <f t="shared" si="30"/>
        <v>5229</v>
      </c>
      <c r="AM672" s="23" t="s">
        <v>899</v>
      </c>
      <c r="AN672" s="13"/>
      <c r="AP672" s="13"/>
      <c r="AQ672" s="13"/>
      <c r="AR672" s="13"/>
    </row>
    <row r="673" spans="1:44" ht="15.75" customHeight="1">
      <c r="A673" s="9" t="s">
        <v>170</v>
      </c>
      <c r="B673" s="9" t="s">
        <v>170</v>
      </c>
      <c r="C673" s="18" t="s">
        <v>858</v>
      </c>
      <c r="D673" s="11">
        <v>11253.8</v>
      </c>
      <c r="G673" s="11">
        <v>2964.7</v>
      </c>
      <c r="H673" s="11">
        <v>1178.5</v>
      </c>
      <c r="I673" s="11">
        <v>337</v>
      </c>
      <c r="J673" s="11">
        <v>225.6</v>
      </c>
      <c r="K673" s="11">
        <v>232</v>
      </c>
      <c r="L673" s="11">
        <v>389.5</v>
      </c>
      <c r="N673" s="11">
        <v>31.5</v>
      </c>
      <c r="O673" s="11">
        <v>79.8</v>
      </c>
      <c r="P673" s="9"/>
      <c r="R673" s="13"/>
      <c r="S673" s="11">
        <v>3829.5</v>
      </c>
      <c r="T673" s="13"/>
      <c r="U673" s="13"/>
      <c r="V673" s="13"/>
      <c r="W673" s="13"/>
      <c r="X673" s="13"/>
      <c r="Y673" s="9"/>
      <c r="Z673" s="13"/>
      <c r="AA673" s="13"/>
      <c r="AB673" s="13"/>
      <c r="AC673" s="13"/>
      <c r="AD673" s="13"/>
      <c r="AE673" s="13"/>
      <c r="AF673" s="13"/>
      <c r="AG673" s="13"/>
      <c r="AK673" s="13"/>
      <c r="AL673" s="13">
        <f t="shared" si="30"/>
        <v>20521.899999999998</v>
      </c>
      <c r="AM673" s="23" t="s">
        <v>900</v>
      </c>
      <c r="AN673" s="13"/>
      <c r="AP673" s="13"/>
      <c r="AQ673" s="13"/>
      <c r="AR673" s="13"/>
    </row>
    <row r="674" spans="1:44" ht="15.75" customHeight="1">
      <c r="A674" s="9" t="s">
        <v>176</v>
      </c>
      <c r="B674" s="9" t="s">
        <v>176</v>
      </c>
      <c r="C674" s="18" t="s">
        <v>858</v>
      </c>
      <c r="D674" s="9"/>
      <c r="G674" s="11">
        <v>25.8</v>
      </c>
      <c r="H674" s="11">
        <v>44.5</v>
      </c>
      <c r="I674" s="11">
        <v>79.2</v>
      </c>
      <c r="J674" s="11">
        <v>88.4</v>
      </c>
      <c r="K674" s="11">
        <v>4.7</v>
      </c>
      <c r="L674" s="11">
        <v>5.9</v>
      </c>
      <c r="N674" s="9"/>
      <c r="O674" s="11">
        <v>0.2</v>
      </c>
      <c r="P674" s="9"/>
      <c r="R674" s="13"/>
      <c r="S674" s="11">
        <v>18.7</v>
      </c>
      <c r="T674" s="13"/>
      <c r="U674" s="13"/>
      <c r="V674" s="13"/>
      <c r="W674" s="13"/>
      <c r="X674" s="13"/>
      <c r="Y674" s="9"/>
      <c r="Z674" s="13"/>
      <c r="AA674" s="13"/>
      <c r="AB674" s="13"/>
      <c r="AC674" s="13"/>
      <c r="AD674" s="13"/>
      <c r="AE674" s="13"/>
      <c r="AF674" s="13"/>
      <c r="AG674" s="13"/>
      <c r="AK674" s="13"/>
      <c r="AL674" s="13">
        <f t="shared" si="30"/>
        <v>267.39999999999998</v>
      </c>
      <c r="AM674" s="23" t="s">
        <v>901</v>
      </c>
      <c r="AN674" s="13"/>
      <c r="AP674" s="13"/>
      <c r="AQ674" s="13"/>
      <c r="AR674" s="13"/>
    </row>
    <row r="675" spans="1:44" ht="15.75" customHeight="1">
      <c r="A675" s="9" t="s">
        <v>178</v>
      </c>
      <c r="B675" s="9" t="s">
        <v>178</v>
      </c>
      <c r="C675" s="18" t="s">
        <v>858</v>
      </c>
      <c r="D675" s="11">
        <v>111</v>
      </c>
      <c r="G675" s="11">
        <v>19</v>
      </c>
      <c r="H675" s="11">
        <v>6</v>
      </c>
      <c r="I675" s="11">
        <v>5.6</v>
      </c>
      <c r="J675" s="11">
        <v>5.2</v>
      </c>
      <c r="K675" s="11">
        <v>3.5</v>
      </c>
      <c r="L675" s="11">
        <v>34.700000000000003</v>
      </c>
      <c r="N675" s="11">
        <v>4</v>
      </c>
      <c r="O675" s="11">
        <v>0.8</v>
      </c>
      <c r="P675" s="9"/>
      <c r="R675" s="13"/>
      <c r="S675" s="11">
        <v>55.9</v>
      </c>
      <c r="T675" s="13"/>
      <c r="U675" s="13"/>
      <c r="V675" s="13"/>
      <c r="W675" s="13"/>
      <c r="X675" s="13"/>
      <c r="Y675" s="9"/>
      <c r="Z675" s="13"/>
      <c r="AA675" s="13"/>
      <c r="AB675" s="13"/>
      <c r="AC675" s="13"/>
      <c r="AD675" s="13"/>
      <c r="AE675" s="13"/>
      <c r="AF675" s="13"/>
      <c r="AG675" s="13"/>
      <c r="AK675" s="13"/>
      <c r="AL675" s="13">
        <f t="shared" si="30"/>
        <v>245.70000000000002</v>
      </c>
      <c r="AM675" s="23" t="s">
        <v>902</v>
      </c>
      <c r="AN675" s="13"/>
      <c r="AP675" s="13"/>
      <c r="AQ675" s="13"/>
      <c r="AR675" s="13"/>
    </row>
    <row r="676" spans="1:44" ht="15.75" customHeight="1">
      <c r="A676" s="9" t="s">
        <v>181</v>
      </c>
      <c r="B676" s="9" t="s">
        <v>181</v>
      </c>
      <c r="C676" s="18" t="s">
        <v>858</v>
      </c>
      <c r="D676" s="11">
        <v>469.6</v>
      </c>
      <c r="G676" s="11">
        <v>43.3</v>
      </c>
      <c r="H676" s="11">
        <v>17.8</v>
      </c>
      <c r="I676" s="11">
        <v>50.5</v>
      </c>
      <c r="J676" s="11">
        <v>45.6</v>
      </c>
      <c r="K676" s="11">
        <v>60</v>
      </c>
      <c r="L676" s="11">
        <v>8.6</v>
      </c>
      <c r="N676" s="11">
        <v>6.8</v>
      </c>
      <c r="O676" s="11">
        <v>8.5</v>
      </c>
      <c r="P676" s="9"/>
      <c r="R676" s="13"/>
      <c r="S676" s="11">
        <v>291.89999999999998</v>
      </c>
      <c r="T676" s="13"/>
      <c r="U676" s="13"/>
      <c r="V676" s="13"/>
      <c r="W676" s="13"/>
      <c r="X676" s="13"/>
      <c r="Y676" s="11">
        <v>0.8</v>
      </c>
      <c r="Z676" s="13"/>
      <c r="AA676" s="13"/>
      <c r="AB676" s="13"/>
      <c r="AC676" s="13"/>
      <c r="AD676" s="13"/>
      <c r="AE676" s="13"/>
      <c r="AF676" s="13"/>
      <c r="AG676" s="13"/>
      <c r="AK676" s="13"/>
      <c r="AL676" s="13">
        <f t="shared" si="30"/>
        <v>1002.5999999999999</v>
      </c>
      <c r="AM676" s="23" t="s">
        <v>903</v>
      </c>
      <c r="AN676" s="13"/>
      <c r="AP676" s="13"/>
      <c r="AQ676" s="13"/>
      <c r="AR676" s="13"/>
    </row>
    <row r="677" spans="1:44" ht="15.75" customHeight="1">
      <c r="A677" s="9" t="s">
        <v>709</v>
      </c>
      <c r="B677" s="9" t="s">
        <v>183</v>
      </c>
      <c r="C677" s="18" t="s">
        <v>858</v>
      </c>
      <c r="D677" s="11">
        <v>152.1</v>
      </c>
      <c r="G677" s="11">
        <v>18.600000000000001</v>
      </c>
      <c r="H677" s="11">
        <v>4</v>
      </c>
      <c r="I677" s="11">
        <v>92.2</v>
      </c>
      <c r="J677" s="11">
        <v>2.4</v>
      </c>
      <c r="K677" s="11">
        <v>20.100000000000001</v>
      </c>
      <c r="L677" s="11">
        <v>38</v>
      </c>
      <c r="N677" s="11">
        <v>1.5</v>
      </c>
      <c r="O677" s="11">
        <v>6.1</v>
      </c>
      <c r="P677" s="9"/>
      <c r="R677" s="13"/>
      <c r="S677" s="11">
        <v>258.2</v>
      </c>
      <c r="T677" s="13"/>
      <c r="U677" s="13"/>
      <c r="V677" s="13"/>
      <c r="W677" s="13"/>
      <c r="X677" s="13"/>
      <c r="Y677" s="9"/>
      <c r="Z677" s="13"/>
      <c r="AA677" s="13"/>
      <c r="AB677" s="13"/>
      <c r="AC677" s="13"/>
      <c r="AD677" s="13"/>
      <c r="AE677" s="13"/>
      <c r="AF677" s="13"/>
      <c r="AG677" s="13"/>
      <c r="AK677" s="13"/>
      <c r="AL677" s="13">
        <f t="shared" si="30"/>
        <v>593.20000000000005</v>
      </c>
      <c r="AM677" s="23" t="s">
        <v>904</v>
      </c>
      <c r="AN677" s="13"/>
      <c r="AP677" s="13"/>
      <c r="AQ677" s="13"/>
      <c r="AR677" s="13"/>
    </row>
    <row r="678" spans="1:44" ht="15.75" customHeight="1">
      <c r="A678" s="9" t="s">
        <v>185</v>
      </c>
      <c r="B678" s="9" t="s">
        <v>185</v>
      </c>
      <c r="C678" s="18" t="s">
        <v>858</v>
      </c>
      <c r="D678" s="11">
        <v>166047</v>
      </c>
      <c r="G678" s="9"/>
      <c r="H678" s="9"/>
      <c r="I678" s="9"/>
      <c r="J678" s="9"/>
      <c r="K678" s="9"/>
      <c r="L678" s="9"/>
      <c r="N678" s="9"/>
      <c r="O678" s="9"/>
      <c r="P678" s="9"/>
      <c r="R678" s="13"/>
      <c r="S678" s="9"/>
      <c r="T678" s="13"/>
      <c r="U678" s="13"/>
      <c r="V678" s="13"/>
      <c r="W678" s="13"/>
      <c r="X678" s="13"/>
      <c r="Y678" s="9"/>
      <c r="Z678" s="13"/>
      <c r="AA678" s="13"/>
      <c r="AB678" s="13"/>
      <c r="AC678" s="13"/>
      <c r="AD678" s="13"/>
      <c r="AE678" s="13"/>
      <c r="AF678" s="13"/>
      <c r="AG678" s="13"/>
      <c r="AK678" s="13"/>
      <c r="AL678" s="13">
        <f t="shared" si="30"/>
        <v>166047</v>
      </c>
      <c r="AM678" s="23" t="s">
        <v>905</v>
      </c>
      <c r="AN678" s="13"/>
      <c r="AP678" s="13"/>
      <c r="AQ678" s="13"/>
      <c r="AR678" s="13"/>
    </row>
    <row r="679" spans="1:44" ht="15.75" customHeight="1">
      <c r="A679" s="9" t="s">
        <v>187</v>
      </c>
      <c r="B679" s="9" t="s">
        <v>187</v>
      </c>
      <c r="C679" s="18" t="s">
        <v>858</v>
      </c>
      <c r="D679" s="11">
        <v>177.7</v>
      </c>
      <c r="G679" s="11">
        <v>25.7</v>
      </c>
      <c r="H679" s="9"/>
      <c r="I679" s="11">
        <v>21.5</v>
      </c>
      <c r="J679" s="11">
        <v>0.9</v>
      </c>
      <c r="K679" s="11">
        <v>18.399999999999999</v>
      </c>
      <c r="L679" s="11">
        <v>54.3</v>
      </c>
      <c r="N679" s="11">
        <v>3.2</v>
      </c>
      <c r="O679" s="11">
        <v>0.2</v>
      </c>
      <c r="P679" s="9"/>
      <c r="R679" s="13"/>
      <c r="S679" s="11">
        <v>138.5</v>
      </c>
      <c r="T679" s="13"/>
      <c r="U679" s="13"/>
      <c r="V679" s="13"/>
      <c r="W679" s="13"/>
      <c r="X679" s="13"/>
      <c r="Y679" s="9"/>
      <c r="Z679" s="13"/>
      <c r="AA679" s="13"/>
      <c r="AB679" s="13"/>
      <c r="AC679" s="13"/>
      <c r="AD679" s="13"/>
      <c r="AE679" s="13"/>
      <c r="AF679" s="13"/>
      <c r="AG679" s="13"/>
      <c r="AK679" s="13"/>
      <c r="AL679" s="13">
        <f t="shared" si="30"/>
        <v>440.4</v>
      </c>
      <c r="AM679" s="23" t="s">
        <v>906</v>
      </c>
      <c r="AN679" s="13"/>
      <c r="AP679" s="13"/>
      <c r="AQ679" s="13"/>
      <c r="AR679" s="13"/>
    </row>
    <row r="680" spans="1:44" ht="15.75" customHeight="1">
      <c r="A680" s="9" t="s">
        <v>188</v>
      </c>
      <c r="B680" s="9" t="s">
        <v>188</v>
      </c>
      <c r="C680" s="18" t="s">
        <v>858</v>
      </c>
      <c r="D680" s="11">
        <v>1510.5</v>
      </c>
      <c r="G680" s="11">
        <v>168.6</v>
      </c>
      <c r="H680" s="11">
        <v>12.1</v>
      </c>
      <c r="I680" s="11">
        <v>8.1999999999999993</v>
      </c>
      <c r="J680" s="11">
        <v>49.1</v>
      </c>
      <c r="K680" s="11">
        <v>16.3</v>
      </c>
      <c r="L680" s="11">
        <v>120.6</v>
      </c>
      <c r="N680" s="11">
        <v>13.1</v>
      </c>
      <c r="O680" s="11">
        <v>6.6</v>
      </c>
      <c r="P680" s="9"/>
      <c r="R680" s="13"/>
      <c r="S680" s="11">
        <v>739.5</v>
      </c>
      <c r="T680" s="13"/>
      <c r="U680" s="13"/>
      <c r="V680" s="13"/>
      <c r="W680" s="13"/>
      <c r="X680" s="13"/>
      <c r="Y680" s="11">
        <v>4.2</v>
      </c>
      <c r="Z680" s="13"/>
      <c r="AA680" s="13"/>
      <c r="AB680" s="13"/>
      <c r="AC680" s="13"/>
      <c r="AD680" s="13"/>
      <c r="AE680" s="13"/>
      <c r="AF680" s="13"/>
      <c r="AG680" s="13"/>
      <c r="AK680" s="13"/>
      <c r="AL680" s="13">
        <f t="shared" si="30"/>
        <v>2644.5999999999995</v>
      </c>
      <c r="AM680" s="23" t="s">
        <v>907</v>
      </c>
      <c r="AN680" s="13"/>
      <c r="AP680" s="13"/>
      <c r="AQ680" s="13"/>
      <c r="AR680" s="13"/>
    </row>
    <row r="681" spans="1:44" ht="15.75" customHeight="1">
      <c r="A681" s="9" t="s">
        <v>190</v>
      </c>
      <c r="B681" s="9" t="s">
        <v>190</v>
      </c>
      <c r="C681" s="18" t="s">
        <v>858</v>
      </c>
      <c r="D681" s="11">
        <v>190.8</v>
      </c>
      <c r="G681" s="11">
        <v>20.399999999999999</v>
      </c>
      <c r="H681" s="11">
        <v>4.3</v>
      </c>
      <c r="I681" s="11">
        <v>10.199999999999999</v>
      </c>
      <c r="J681" s="11">
        <v>12.1</v>
      </c>
      <c r="K681" s="11">
        <v>34.299999999999997</v>
      </c>
      <c r="L681" s="11">
        <v>1.3</v>
      </c>
      <c r="N681" s="11">
        <v>2.7</v>
      </c>
      <c r="O681" s="11">
        <v>1.7</v>
      </c>
      <c r="P681" s="9"/>
      <c r="R681" s="13"/>
      <c r="S681" s="11">
        <v>92</v>
      </c>
      <c r="T681" s="13"/>
      <c r="U681" s="13"/>
      <c r="V681" s="13"/>
      <c r="W681" s="13"/>
      <c r="X681" s="13"/>
      <c r="Y681" s="9"/>
      <c r="Z681" s="13"/>
      <c r="AA681" s="13"/>
      <c r="AB681" s="13"/>
      <c r="AC681" s="13"/>
      <c r="AD681" s="13"/>
      <c r="AE681" s="13"/>
      <c r="AF681" s="13"/>
      <c r="AG681" s="13"/>
      <c r="AK681" s="13"/>
      <c r="AL681" s="13">
        <f t="shared" si="30"/>
        <v>369.8</v>
      </c>
      <c r="AM681" s="23" t="s">
        <v>908</v>
      </c>
      <c r="AN681" s="13"/>
      <c r="AP681" s="13"/>
      <c r="AQ681" s="13"/>
      <c r="AR681" s="13"/>
    </row>
    <row r="682" spans="1:44" ht="15.75" customHeight="1">
      <c r="A682" s="9" t="s">
        <v>192</v>
      </c>
      <c r="B682" s="9" t="s">
        <v>192</v>
      </c>
      <c r="C682" s="18" t="s">
        <v>858</v>
      </c>
      <c r="D682" s="11">
        <v>153.30000000000001</v>
      </c>
      <c r="G682" s="11">
        <v>10</v>
      </c>
      <c r="H682" s="11">
        <v>4.5</v>
      </c>
      <c r="I682" s="11">
        <v>6.3</v>
      </c>
      <c r="J682" s="11">
        <v>5.0999999999999996</v>
      </c>
      <c r="K682" s="11">
        <v>7.3</v>
      </c>
      <c r="L682" s="11">
        <v>37.5</v>
      </c>
      <c r="N682" s="11">
        <v>5.0999999999999996</v>
      </c>
      <c r="O682" s="11">
        <v>1.4</v>
      </c>
      <c r="P682" s="9"/>
      <c r="R682" s="13"/>
      <c r="S682" s="11">
        <v>123.7</v>
      </c>
      <c r="T682" s="13"/>
      <c r="U682" s="13"/>
      <c r="V682" s="13"/>
      <c r="W682" s="13"/>
      <c r="X682" s="13"/>
      <c r="Y682" s="9"/>
      <c r="Z682" s="13"/>
      <c r="AA682" s="13"/>
      <c r="AB682" s="13"/>
      <c r="AC682" s="13"/>
      <c r="AD682" s="13"/>
      <c r="AE682" s="13"/>
      <c r="AF682" s="13"/>
      <c r="AG682" s="13"/>
      <c r="AK682" s="13"/>
      <c r="AL682" s="13">
        <f t="shared" si="30"/>
        <v>354.20000000000005</v>
      </c>
      <c r="AM682" s="23" t="s">
        <v>909</v>
      </c>
      <c r="AN682" s="13"/>
      <c r="AP682" s="13"/>
      <c r="AQ682" s="13"/>
      <c r="AR682" s="13"/>
    </row>
    <row r="683" spans="1:44" ht="15.75" customHeight="1">
      <c r="A683" s="9" t="s">
        <v>716</v>
      </c>
      <c r="B683" s="9" t="s">
        <v>305</v>
      </c>
      <c r="C683" s="18" t="s">
        <v>858</v>
      </c>
      <c r="D683" s="11">
        <v>104.4</v>
      </c>
      <c r="G683" s="11">
        <v>12.6</v>
      </c>
      <c r="H683" s="11">
        <v>6.7</v>
      </c>
      <c r="I683" s="11">
        <v>4</v>
      </c>
      <c r="J683" s="11">
        <v>33.799999999999997</v>
      </c>
      <c r="K683" s="11">
        <v>4.0999999999999996</v>
      </c>
      <c r="L683" s="11">
        <v>42.4</v>
      </c>
      <c r="N683" s="11">
        <v>2.6</v>
      </c>
      <c r="O683" s="11">
        <v>0.4</v>
      </c>
      <c r="P683" s="9"/>
      <c r="R683" s="13"/>
      <c r="S683" s="11">
        <v>68.900000000000006</v>
      </c>
      <c r="T683" s="13"/>
      <c r="U683" s="13"/>
      <c r="V683" s="13"/>
      <c r="W683" s="13"/>
      <c r="X683" s="13"/>
      <c r="Y683" s="9"/>
      <c r="Z683" s="13"/>
      <c r="AA683" s="13"/>
      <c r="AB683" s="13"/>
      <c r="AC683" s="13"/>
      <c r="AD683" s="13"/>
      <c r="AE683" s="13"/>
      <c r="AF683" s="13"/>
      <c r="AG683" s="13"/>
      <c r="AK683" s="13"/>
      <c r="AL683" s="13">
        <f t="shared" si="30"/>
        <v>279.89999999999998</v>
      </c>
      <c r="AM683" s="23" t="s">
        <v>910</v>
      </c>
      <c r="AN683" s="13"/>
      <c r="AP683" s="13"/>
      <c r="AQ683" s="13"/>
      <c r="AR683" s="13"/>
    </row>
    <row r="684" spans="1:44" ht="15.75" customHeight="1">
      <c r="A684" s="9" t="s">
        <v>195</v>
      </c>
      <c r="B684" s="9" t="s">
        <v>195</v>
      </c>
      <c r="C684" s="18" t="s">
        <v>858</v>
      </c>
      <c r="D684" s="11">
        <v>173.4</v>
      </c>
      <c r="G684" s="11">
        <v>1.7</v>
      </c>
      <c r="H684" s="9"/>
      <c r="I684" s="11">
        <v>1.1000000000000001</v>
      </c>
      <c r="J684" s="11">
        <v>0.4</v>
      </c>
      <c r="K684" s="11">
        <v>1.2</v>
      </c>
      <c r="L684" s="11">
        <v>19.899999999999999</v>
      </c>
      <c r="N684" s="11">
        <v>0.2</v>
      </c>
      <c r="O684" s="11">
        <v>1.6</v>
      </c>
      <c r="P684" s="9"/>
      <c r="R684" s="13"/>
      <c r="S684" s="11">
        <v>66.8</v>
      </c>
      <c r="T684" s="13"/>
      <c r="U684" s="13"/>
      <c r="V684" s="13"/>
      <c r="W684" s="13"/>
      <c r="X684" s="13"/>
      <c r="Y684" s="9"/>
      <c r="Z684" s="13"/>
      <c r="AA684" s="13"/>
      <c r="AB684" s="13"/>
      <c r="AC684" s="13"/>
      <c r="AD684" s="13"/>
      <c r="AE684" s="13"/>
      <c r="AF684" s="13"/>
      <c r="AG684" s="13"/>
      <c r="AK684" s="13"/>
      <c r="AL684" s="13">
        <f t="shared" si="30"/>
        <v>266.29999999999995</v>
      </c>
      <c r="AM684" s="23" t="s">
        <v>911</v>
      </c>
      <c r="AN684" s="13"/>
      <c r="AP684" s="13"/>
      <c r="AQ684" s="13"/>
      <c r="AR684" s="13"/>
    </row>
    <row r="685" spans="1:44" ht="15.75" customHeight="1">
      <c r="A685" s="10" t="s">
        <v>196</v>
      </c>
      <c r="B685" s="9" t="s">
        <v>196</v>
      </c>
      <c r="C685" s="17"/>
      <c r="D685" s="17">
        <f>SUM(D636:D684)</f>
        <v>282737.90000000008</v>
      </c>
      <c r="G685" s="17">
        <f t="shared" ref="G685:L685" si="31">SUM(G636:G684)</f>
        <v>6589.6</v>
      </c>
      <c r="H685" s="17">
        <f t="shared" si="31"/>
        <v>4218.2</v>
      </c>
      <c r="I685" s="17">
        <f t="shared" si="31"/>
        <v>4188.5</v>
      </c>
      <c r="J685" s="17">
        <f t="shared" si="31"/>
        <v>2720.1</v>
      </c>
      <c r="K685" s="17">
        <f t="shared" si="31"/>
        <v>1094.6999999999998</v>
      </c>
      <c r="L685" s="17">
        <f t="shared" si="31"/>
        <v>3841.0000000000005</v>
      </c>
      <c r="N685" s="17">
        <f>SUM(N636:N684)</f>
        <v>1649.3</v>
      </c>
      <c r="O685" s="17">
        <f>SUM(O636:O684)</f>
        <v>1166.9000000000001</v>
      </c>
      <c r="P685" s="10"/>
      <c r="R685" s="18"/>
      <c r="S685" s="17">
        <f>SUM(S636:S684)</f>
        <v>175997.60000000009</v>
      </c>
      <c r="T685" s="18"/>
      <c r="U685" s="18"/>
      <c r="V685" s="18"/>
      <c r="W685" s="18"/>
      <c r="X685" s="18"/>
      <c r="Y685" s="17">
        <f>SUM(Y636:Y684)</f>
        <v>145705.50000000003</v>
      </c>
      <c r="Z685" s="18"/>
      <c r="AA685" s="18"/>
      <c r="AB685" s="18"/>
      <c r="AC685" s="18"/>
      <c r="AD685" s="18"/>
      <c r="AE685" s="18"/>
      <c r="AF685" s="18"/>
      <c r="AG685" s="18"/>
      <c r="AK685" s="18"/>
      <c r="AL685" s="17">
        <f>SUM(AL636:AL684)</f>
        <v>493136.9</v>
      </c>
      <c r="AM685" s="27" t="s">
        <v>912</v>
      </c>
      <c r="AN685" s="13"/>
      <c r="AP685" s="13"/>
      <c r="AQ685" s="13"/>
      <c r="AR685" s="13"/>
    </row>
    <row r="686" spans="1:44" ht="15.75" customHeight="1">
      <c r="A686" s="9" t="s">
        <v>469</v>
      </c>
      <c r="B686" s="9" t="s">
        <v>39</v>
      </c>
      <c r="C686" s="18" t="s">
        <v>913</v>
      </c>
      <c r="D686" s="11">
        <v>1044.5</v>
      </c>
      <c r="F686" s="11">
        <v>371.4</v>
      </c>
      <c r="G686" s="11">
        <v>187.9</v>
      </c>
      <c r="H686" s="11">
        <v>670.3</v>
      </c>
      <c r="I686" s="11">
        <v>28.3</v>
      </c>
      <c r="J686" s="11">
        <v>22.6</v>
      </c>
      <c r="K686" s="11">
        <v>111.8</v>
      </c>
      <c r="N686" s="11">
        <v>163.69999999999999</v>
      </c>
      <c r="O686" s="11">
        <v>25.7</v>
      </c>
      <c r="P686" s="11"/>
      <c r="S686" s="11">
        <v>1199.5</v>
      </c>
      <c r="U686" s="13"/>
      <c r="V686" s="13"/>
      <c r="W686" s="13"/>
      <c r="X686" s="13"/>
      <c r="Y686" s="11">
        <v>279</v>
      </c>
      <c r="Z686" s="13"/>
      <c r="AA686" s="13"/>
      <c r="AD686" s="13"/>
      <c r="AE686" s="13"/>
      <c r="AF686" s="13"/>
      <c r="AG686" s="13"/>
      <c r="AH686" s="11">
        <v>838.2</v>
      </c>
      <c r="AI686" s="11">
        <v>124.9</v>
      </c>
      <c r="AK686" s="13"/>
      <c r="AL686" s="13">
        <f t="shared" ref="AL686:AL725" si="32">SUM(D686:S686)</f>
        <v>3825.7000000000003</v>
      </c>
      <c r="AM686" s="23" t="s">
        <v>914</v>
      </c>
      <c r="AN686" s="13"/>
      <c r="AP686" s="13"/>
      <c r="AQ686" s="13"/>
      <c r="AR686" s="13"/>
    </row>
    <row r="687" spans="1:44" ht="15.75" customHeight="1">
      <c r="A687" s="9" t="s">
        <v>915</v>
      </c>
      <c r="B687" s="9" t="s">
        <v>810</v>
      </c>
      <c r="C687" s="18" t="s">
        <v>913</v>
      </c>
      <c r="D687" s="11">
        <v>62266.6</v>
      </c>
      <c r="F687" s="11">
        <v>884.5</v>
      </c>
      <c r="G687" s="11">
        <v>63.7</v>
      </c>
      <c r="H687" s="11">
        <v>174.8</v>
      </c>
      <c r="I687" s="11">
        <v>147.80000000000001</v>
      </c>
      <c r="J687" s="11">
        <v>34.5</v>
      </c>
      <c r="K687" s="11">
        <v>636.29999999999995</v>
      </c>
      <c r="N687" s="11">
        <v>692</v>
      </c>
      <c r="O687" s="11">
        <v>212.4</v>
      </c>
      <c r="P687" s="11"/>
      <c r="S687" s="11">
        <v>22918.6</v>
      </c>
      <c r="U687" s="13"/>
      <c r="V687" s="13"/>
      <c r="W687" s="13"/>
      <c r="X687" s="13"/>
      <c r="Y687" s="11">
        <v>393.3</v>
      </c>
      <c r="Z687" s="13"/>
      <c r="AA687" s="13"/>
      <c r="AD687" s="13"/>
      <c r="AE687" s="13"/>
      <c r="AF687" s="13"/>
      <c r="AG687" s="13"/>
      <c r="AH687" s="11">
        <v>238.4</v>
      </c>
      <c r="AI687" s="9"/>
      <c r="AK687" s="13"/>
      <c r="AL687" s="13">
        <f t="shared" si="32"/>
        <v>88031.200000000012</v>
      </c>
      <c r="AM687" s="23" t="s">
        <v>916</v>
      </c>
      <c r="AN687" s="18"/>
      <c r="AP687" s="13"/>
      <c r="AQ687" s="13"/>
      <c r="AR687" s="13"/>
    </row>
    <row r="688" spans="1:44" ht="15.75" customHeight="1">
      <c r="A688" s="9" t="s">
        <v>917</v>
      </c>
      <c r="B688" s="9" t="s">
        <v>917</v>
      </c>
      <c r="C688" s="18" t="s">
        <v>913</v>
      </c>
      <c r="D688" s="11">
        <v>7151.9</v>
      </c>
      <c r="F688" s="11">
        <v>163.69999999999999</v>
      </c>
      <c r="G688" s="11">
        <v>75.900000000000006</v>
      </c>
      <c r="H688" s="11">
        <v>205.5</v>
      </c>
      <c r="I688" s="11">
        <v>342.7</v>
      </c>
      <c r="J688" s="11">
        <v>90.9</v>
      </c>
      <c r="K688" s="11">
        <v>327</v>
      </c>
      <c r="N688" s="11">
        <v>78</v>
      </c>
      <c r="O688" s="11">
        <v>304.10000000000002</v>
      </c>
      <c r="P688" s="11"/>
      <c r="S688" s="11">
        <v>4128.1000000000004</v>
      </c>
      <c r="U688" s="13"/>
      <c r="V688" s="13"/>
      <c r="W688" s="13"/>
      <c r="X688" s="13"/>
      <c r="Y688" s="11">
        <v>3062.2</v>
      </c>
      <c r="Z688" s="13"/>
      <c r="AA688" s="13"/>
      <c r="AD688" s="13"/>
      <c r="AE688" s="13"/>
      <c r="AF688" s="13"/>
      <c r="AG688" s="13"/>
      <c r="AH688" s="11">
        <v>34.799999999999997</v>
      </c>
      <c r="AI688" s="11">
        <v>26.8</v>
      </c>
      <c r="AK688" s="13"/>
      <c r="AL688" s="13">
        <f t="shared" si="32"/>
        <v>12867.8</v>
      </c>
      <c r="AM688" s="23" t="s">
        <v>918</v>
      </c>
      <c r="AN688" s="18"/>
      <c r="AP688" s="18"/>
      <c r="AQ688" s="18"/>
      <c r="AR688" s="18"/>
    </row>
    <row r="689" spans="1:44" ht="15.75" customHeight="1">
      <c r="A689" s="9" t="s">
        <v>212</v>
      </c>
      <c r="B689" s="9" t="s">
        <v>212</v>
      </c>
      <c r="C689" s="18" t="s">
        <v>913</v>
      </c>
      <c r="D689" s="11">
        <v>4704.2</v>
      </c>
      <c r="F689" s="11">
        <v>99.5</v>
      </c>
      <c r="G689" s="11">
        <v>1790.4</v>
      </c>
      <c r="H689" s="11">
        <v>200.2</v>
      </c>
      <c r="I689" s="11">
        <v>20.6</v>
      </c>
      <c r="J689" s="11">
        <v>35.5</v>
      </c>
      <c r="K689" s="11">
        <v>1854.6</v>
      </c>
      <c r="N689" s="11">
        <v>54.5</v>
      </c>
      <c r="O689" s="11">
        <v>68.8</v>
      </c>
      <c r="P689" s="11"/>
      <c r="S689" s="11">
        <v>20.100000000000001</v>
      </c>
      <c r="U689" s="13"/>
      <c r="V689" s="13"/>
      <c r="W689" s="13"/>
      <c r="X689" s="13"/>
      <c r="Y689" s="11">
        <v>22</v>
      </c>
      <c r="Z689" s="13"/>
      <c r="AA689" s="13"/>
      <c r="AD689" s="13"/>
      <c r="AE689" s="13"/>
      <c r="AF689" s="13"/>
      <c r="AG689" s="13"/>
      <c r="AH689" s="9"/>
      <c r="AI689" s="11">
        <v>342</v>
      </c>
      <c r="AK689" s="13"/>
      <c r="AL689" s="13">
        <f t="shared" si="32"/>
        <v>8848.4</v>
      </c>
      <c r="AM689" s="23" t="s">
        <v>919</v>
      </c>
      <c r="AN689" s="13"/>
      <c r="AP689" s="13"/>
      <c r="AQ689" s="13"/>
      <c r="AR689" s="13"/>
    </row>
    <row r="690" spans="1:44" ht="15.75" customHeight="1">
      <c r="A690" s="9" t="s">
        <v>920</v>
      </c>
      <c r="B690" s="9" t="s">
        <v>920</v>
      </c>
      <c r="C690" s="18" t="s">
        <v>913</v>
      </c>
      <c r="D690" s="11">
        <v>3348.3</v>
      </c>
      <c r="F690" s="11">
        <v>88.9</v>
      </c>
      <c r="G690" s="11">
        <v>37.1</v>
      </c>
      <c r="H690" s="11">
        <v>64.900000000000006</v>
      </c>
      <c r="I690" s="11">
        <v>107.7</v>
      </c>
      <c r="J690" s="11">
        <v>16.8</v>
      </c>
      <c r="K690" s="11">
        <v>186.1</v>
      </c>
      <c r="N690" s="11">
        <v>36.799999999999997</v>
      </c>
      <c r="O690" s="11">
        <v>32.9</v>
      </c>
      <c r="P690" s="11"/>
      <c r="S690" s="11">
        <v>26563.1</v>
      </c>
      <c r="U690" s="13"/>
      <c r="V690" s="13"/>
      <c r="W690" s="13"/>
      <c r="X690" s="13"/>
      <c r="Y690" s="11">
        <v>47227.8</v>
      </c>
      <c r="Z690" s="13"/>
      <c r="AA690" s="13"/>
      <c r="AD690" s="13"/>
      <c r="AE690" s="13"/>
      <c r="AF690" s="13"/>
      <c r="AG690" s="13"/>
      <c r="AH690" s="9"/>
      <c r="AI690" s="11">
        <v>1198.5</v>
      </c>
      <c r="AK690" s="13"/>
      <c r="AL690" s="13">
        <f t="shared" si="32"/>
        <v>30482.6</v>
      </c>
      <c r="AM690" s="23" t="s">
        <v>921</v>
      </c>
      <c r="AN690" s="13"/>
      <c r="AP690" s="13"/>
      <c r="AQ690" s="13"/>
      <c r="AR690" s="13"/>
    </row>
    <row r="691" spans="1:44" ht="15.75" customHeight="1">
      <c r="A691" s="9" t="s">
        <v>77</v>
      </c>
      <c r="B691" s="9" t="s">
        <v>77</v>
      </c>
      <c r="C691" s="18" t="s">
        <v>913</v>
      </c>
      <c r="D691" s="11">
        <v>1900.2</v>
      </c>
      <c r="F691" s="11">
        <v>45.9</v>
      </c>
      <c r="G691" s="11">
        <v>64.400000000000006</v>
      </c>
      <c r="H691" s="11">
        <v>184.1</v>
      </c>
      <c r="I691" s="11">
        <v>337.9</v>
      </c>
      <c r="J691" s="11">
        <v>7.5</v>
      </c>
      <c r="K691" s="11">
        <v>28.2</v>
      </c>
      <c r="N691" s="11">
        <v>26.6</v>
      </c>
      <c r="O691" s="11">
        <v>46</v>
      </c>
      <c r="P691" s="11"/>
      <c r="S691" s="11">
        <v>3235.9</v>
      </c>
      <c r="U691" s="13"/>
      <c r="V691" s="13"/>
      <c r="W691" s="13"/>
      <c r="X691" s="13"/>
      <c r="Y691" s="11">
        <v>15293.8</v>
      </c>
      <c r="Z691" s="13"/>
      <c r="AA691" s="13"/>
      <c r="AD691" s="13"/>
      <c r="AE691" s="13"/>
      <c r="AF691" s="13"/>
      <c r="AG691" s="13"/>
      <c r="AH691" s="11">
        <v>0.6</v>
      </c>
      <c r="AI691" s="9"/>
      <c r="AK691" s="13"/>
      <c r="AL691" s="13">
        <f t="shared" si="32"/>
        <v>5876.7000000000007</v>
      </c>
      <c r="AM691" s="23" t="s">
        <v>922</v>
      </c>
      <c r="AN691" s="13"/>
      <c r="AP691" s="13"/>
      <c r="AQ691" s="13"/>
      <c r="AR691" s="13"/>
    </row>
    <row r="692" spans="1:44" ht="15.75" customHeight="1">
      <c r="A692" s="9" t="s">
        <v>228</v>
      </c>
      <c r="B692" s="9" t="s">
        <v>228</v>
      </c>
      <c r="C692" s="18" t="s">
        <v>913</v>
      </c>
      <c r="D692" s="11">
        <v>442.2</v>
      </c>
      <c r="F692" s="11">
        <v>48.5</v>
      </c>
      <c r="G692" s="9">
        <v>8.6999999999999993</v>
      </c>
      <c r="H692" s="11">
        <v>17.3</v>
      </c>
      <c r="I692" s="11">
        <v>67</v>
      </c>
      <c r="J692" s="11">
        <v>21.7</v>
      </c>
      <c r="K692" s="11">
        <v>3.4</v>
      </c>
      <c r="N692" s="11">
        <v>13.9</v>
      </c>
      <c r="O692" s="11">
        <v>84</v>
      </c>
      <c r="P692" s="11"/>
      <c r="S692" s="11">
        <v>2057.6999999999998</v>
      </c>
      <c r="U692" s="13"/>
      <c r="V692" s="13"/>
      <c r="W692" s="13"/>
      <c r="X692" s="13"/>
      <c r="Y692" s="11">
        <v>13837.7</v>
      </c>
      <c r="Z692" s="13"/>
      <c r="AA692" s="13"/>
      <c r="AD692" s="13"/>
      <c r="AE692" s="13"/>
      <c r="AF692" s="13"/>
      <c r="AG692" s="13"/>
      <c r="AH692" s="11">
        <v>9</v>
      </c>
      <c r="AI692" s="9"/>
      <c r="AK692" s="13"/>
      <c r="AL692" s="13">
        <f t="shared" si="32"/>
        <v>2764.3999999999996</v>
      </c>
      <c r="AM692" s="23" t="s">
        <v>923</v>
      </c>
      <c r="AN692" s="13"/>
      <c r="AP692" s="13"/>
      <c r="AQ692" s="13"/>
      <c r="AR692" s="13"/>
    </row>
    <row r="693" spans="1:44" ht="15.75" customHeight="1">
      <c r="A693" s="9" t="s">
        <v>924</v>
      </c>
      <c r="B693" s="9" t="s">
        <v>924</v>
      </c>
      <c r="C693" s="18" t="s">
        <v>913</v>
      </c>
      <c r="D693" s="11">
        <v>1346.2</v>
      </c>
      <c r="F693" s="11">
        <v>30.4</v>
      </c>
      <c r="G693" s="11">
        <v>20.100000000000001</v>
      </c>
      <c r="H693" s="11">
        <v>16.8</v>
      </c>
      <c r="I693" s="11">
        <v>37.299999999999997</v>
      </c>
      <c r="J693" s="11">
        <v>8.8000000000000007</v>
      </c>
      <c r="K693" s="11">
        <v>9.1</v>
      </c>
      <c r="N693" s="11">
        <v>21.7</v>
      </c>
      <c r="O693" s="11">
        <v>104.6</v>
      </c>
      <c r="P693" s="11"/>
      <c r="S693" s="11">
        <v>9516.9</v>
      </c>
      <c r="U693" s="13"/>
      <c r="V693" s="13"/>
      <c r="W693" s="13"/>
      <c r="X693" s="13"/>
      <c r="Y693" s="9"/>
      <c r="Z693" s="13"/>
      <c r="AA693" s="13"/>
      <c r="AD693" s="13"/>
      <c r="AE693" s="13"/>
      <c r="AF693" s="13"/>
      <c r="AG693" s="13"/>
      <c r="AH693" s="9"/>
      <c r="AI693" s="11">
        <v>2.2999999999999998</v>
      </c>
      <c r="AK693" s="13"/>
      <c r="AL693" s="13">
        <f t="shared" si="32"/>
        <v>11111.9</v>
      </c>
      <c r="AM693" s="23" t="s">
        <v>925</v>
      </c>
      <c r="AN693" s="13"/>
      <c r="AP693" s="13"/>
      <c r="AQ693" s="13"/>
      <c r="AR693" s="13"/>
    </row>
    <row r="694" spans="1:44" ht="15.75" customHeight="1">
      <c r="A694" s="9" t="s">
        <v>926</v>
      </c>
      <c r="B694" s="9" t="s">
        <v>242</v>
      </c>
      <c r="C694" s="18" t="s">
        <v>913</v>
      </c>
      <c r="D694" s="11">
        <v>2011.3</v>
      </c>
      <c r="F694" s="11">
        <v>35.5</v>
      </c>
      <c r="G694" s="11">
        <v>49.5</v>
      </c>
      <c r="H694" s="11">
        <v>79.400000000000006</v>
      </c>
      <c r="I694" s="11">
        <v>40.5</v>
      </c>
      <c r="J694" s="11">
        <v>9.8000000000000007</v>
      </c>
      <c r="K694" s="11">
        <v>150.19999999999999</v>
      </c>
      <c r="N694" s="11">
        <v>22.1</v>
      </c>
      <c r="O694" s="11">
        <v>20.3</v>
      </c>
      <c r="P694" s="11"/>
      <c r="S694" s="11">
        <v>451.9</v>
      </c>
      <c r="U694" s="13"/>
      <c r="V694" s="13"/>
      <c r="W694" s="13"/>
      <c r="X694" s="13"/>
      <c r="Y694" s="11">
        <v>5710.6</v>
      </c>
      <c r="Z694" s="13"/>
      <c r="AA694" s="13"/>
      <c r="AD694" s="13"/>
      <c r="AE694" s="13"/>
      <c r="AF694" s="13"/>
      <c r="AG694" s="13"/>
      <c r="AH694" s="11">
        <v>11.9</v>
      </c>
      <c r="AI694" s="9"/>
      <c r="AK694" s="13"/>
      <c r="AL694" s="13">
        <f t="shared" si="32"/>
        <v>2870.5000000000005</v>
      </c>
      <c r="AM694" s="23" t="s">
        <v>927</v>
      </c>
      <c r="AN694" s="13"/>
      <c r="AP694" s="13"/>
      <c r="AQ694" s="13"/>
      <c r="AR694" s="13"/>
    </row>
    <row r="695" spans="1:44" ht="15.75" customHeight="1">
      <c r="A695" s="9" t="s">
        <v>928</v>
      </c>
      <c r="B695" s="9" t="s">
        <v>244</v>
      </c>
      <c r="C695" s="18" t="s">
        <v>913</v>
      </c>
      <c r="D695" s="11">
        <v>2595.3000000000002</v>
      </c>
      <c r="F695" s="11">
        <v>58.9</v>
      </c>
      <c r="G695" s="11">
        <v>17.600000000000001</v>
      </c>
      <c r="H695" s="11">
        <v>29.6</v>
      </c>
      <c r="I695" s="11">
        <v>47.8</v>
      </c>
      <c r="J695" s="11">
        <v>19.100000000000001</v>
      </c>
      <c r="K695" s="11">
        <v>141.69999999999999</v>
      </c>
      <c r="N695" s="11">
        <v>24.6</v>
      </c>
      <c r="O695" s="11">
        <v>35</v>
      </c>
      <c r="P695" s="11"/>
      <c r="S695" s="11">
        <v>1016.6</v>
      </c>
      <c r="U695" s="13"/>
      <c r="V695" s="13"/>
      <c r="W695" s="13"/>
      <c r="X695" s="13"/>
      <c r="Y695" s="11">
        <v>54.8</v>
      </c>
      <c r="Z695" s="13"/>
      <c r="AA695" s="13"/>
      <c r="AD695" s="13"/>
      <c r="AE695" s="13"/>
      <c r="AF695" s="13"/>
      <c r="AG695" s="13"/>
      <c r="AH695" s="11">
        <v>9.9</v>
      </c>
      <c r="AI695" s="9"/>
      <c r="AK695" s="13"/>
      <c r="AL695" s="13">
        <f t="shared" si="32"/>
        <v>3986.2</v>
      </c>
      <c r="AM695" s="23" t="s">
        <v>929</v>
      </c>
      <c r="AN695" s="13"/>
      <c r="AP695" s="13"/>
      <c r="AQ695" s="13"/>
      <c r="AR695" s="13"/>
    </row>
    <row r="696" spans="1:44" ht="15.75" customHeight="1">
      <c r="A696" s="9" t="s">
        <v>930</v>
      </c>
      <c r="B696" s="9" t="s">
        <v>810</v>
      </c>
      <c r="C696" s="18" t="s">
        <v>913</v>
      </c>
      <c r="D696" s="11">
        <v>542.6</v>
      </c>
      <c r="F696" s="11">
        <v>19.8</v>
      </c>
      <c r="G696" s="11">
        <v>17</v>
      </c>
      <c r="H696" s="11">
        <v>32.200000000000003</v>
      </c>
      <c r="I696" s="11">
        <v>35.6</v>
      </c>
      <c r="J696" s="11">
        <v>13.1</v>
      </c>
      <c r="K696" s="11">
        <v>89.6</v>
      </c>
      <c r="N696" s="11">
        <v>12.8</v>
      </c>
      <c r="O696" s="11">
        <v>40.1</v>
      </c>
      <c r="P696" s="11"/>
      <c r="S696" s="11">
        <v>267.60000000000002</v>
      </c>
      <c r="U696" s="13"/>
      <c r="V696" s="13"/>
      <c r="W696" s="13"/>
      <c r="X696" s="13"/>
      <c r="Y696" s="11">
        <v>1049.5</v>
      </c>
      <c r="Z696" s="13"/>
      <c r="AA696" s="13"/>
      <c r="AD696" s="13"/>
      <c r="AE696" s="13"/>
      <c r="AF696" s="13"/>
      <c r="AG696" s="13"/>
      <c r="AH696" s="11">
        <v>17.899999999999999</v>
      </c>
      <c r="AI696" s="9"/>
      <c r="AK696" s="13"/>
      <c r="AL696" s="13">
        <f t="shared" si="32"/>
        <v>1070.4000000000001</v>
      </c>
      <c r="AM696" s="23" t="s">
        <v>931</v>
      </c>
      <c r="AN696" s="13"/>
      <c r="AP696" s="13"/>
      <c r="AQ696" s="13"/>
      <c r="AR696" s="13"/>
    </row>
    <row r="697" spans="1:44" ht="15.75" customHeight="1">
      <c r="A697" s="9" t="s">
        <v>932</v>
      </c>
      <c r="B697" s="9" t="s">
        <v>812</v>
      </c>
      <c r="C697" s="18" t="s">
        <v>913</v>
      </c>
      <c r="D697" s="11">
        <v>299.3</v>
      </c>
      <c r="F697" s="11">
        <v>46</v>
      </c>
      <c r="G697" s="11">
        <v>288.2</v>
      </c>
      <c r="H697" s="11">
        <v>808.1</v>
      </c>
      <c r="I697" s="11">
        <v>14.3</v>
      </c>
      <c r="J697" s="11">
        <v>30.9</v>
      </c>
      <c r="K697" s="11">
        <v>40.6</v>
      </c>
      <c r="N697" s="11">
        <v>7.4</v>
      </c>
      <c r="O697" s="11">
        <v>6.4</v>
      </c>
      <c r="P697" s="11"/>
      <c r="S697" s="11">
        <v>241.3</v>
      </c>
      <c r="U697" s="13"/>
      <c r="V697" s="13"/>
      <c r="W697" s="13"/>
      <c r="X697" s="13"/>
      <c r="Y697" s="11">
        <v>1482.4</v>
      </c>
      <c r="Z697" s="13"/>
      <c r="AA697" s="13"/>
      <c r="AD697" s="13"/>
      <c r="AE697" s="13"/>
      <c r="AF697" s="13"/>
      <c r="AG697" s="13"/>
      <c r="AH697" s="9"/>
      <c r="AI697" s="9"/>
      <c r="AK697" s="13"/>
      <c r="AL697" s="13">
        <f t="shared" si="32"/>
        <v>1782.5</v>
      </c>
      <c r="AM697" s="23" t="s">
        <v>933</v>
      </c>
      <c r="AN697" s="13"/>
      <c r="AP697" s="13"/>
      <c r="AQ697" s="13"/>
      <c r="AR697" s="13"/>
    </row>
    <row r="698" spans="1:44" ht="15.75" customHeight="1">
      <c r="A698" s="9" t="s">
        <v>934</v>
      </c>
      <c r="B698" s="9" t="s">
        <v>814</v>
      </c>
      <c r="C698" s="18" t="s">
        <v>913</v>
      </c>
      <c r="D698" s="11">
        <v>1567.4</v>
      </c>
      <c r="F698" s="11">
        <v>61.8</v>
      </c>
      <c r="G698" s="11">
        <v>24</v>
      </c>
      <c r="H698" s="11">
        <v>44.7</v>
      </c>
      <c r="I698" s="11">
        <v>44.7</v>
      </c>
      <c r="J698" s="11">
        <v>35.5</v>
      </c>
      <c r="K698" s="11">
        <v>154</v>
      </c>
      <c r="N698" s="11">
        <v>17.899999999999999</v>
      </c>
      <c r="O698" s="11">
        <v>12.8</v>
      </c>
      <c r="P698" s="11"/>
      <c r="S698" s="11">
        <v>4473.1000000000004</v>
      </c>
      <c r="U698" s="13"/>
      <c r="V698" s="13"/>
      <c r="W698" s="13"/>
      <c r="X698" s="13"/>
      <c r="Y698" s="11">
        <v>1143.9000000000001</v>
      </c>
      <c r="Z698" s="13"/>
      <c r="AA698" s="13"/>
      <c r="AD698" s="13"/>
      <c r="AE698" s="13"/>
      <c r="AF698" s="13"/>
      <c r="AG698" s="13"/>
      <c r="AH698" s="11">
        <v>12.9</v>
      </c>
      <c r="AI698" s="9"/>
      <c r="AK698" s="13"/>
      <c r="AL698" s="13">
        <f t="shared" si="32"/>
        <v>6435.9000000000005</v>
      </c>
      <c r="AM698" s="23" t="s">
        <v>935</v>
      </c>
      <c r="AN698" s="13"/>
      <c r="AP698" s="13"/>
      <c r="AQ698" s="13"/>
      <c r="AR698" s="13"/>
    </row>
    <row r="699" spans="1:44" ht="15.75" customHeight="1">
      <c r="A699" s="9" t="s">
        <v>816</v>
      </c>
      <c r="B699" s="9" t="s">
        <v>345</v>
      </c>
      <c r="C699" s="18" t="s">
        <v>913</v>
      </c>
      <c r="D699" s="11">
        <v>238.3</v>
      </c>
      <c r="F699" s="11">
        <v>10</v>
      </c>
      <c r="G699" s="11">
        <v>13.5</v>
      </c>
      <c r="H699" s="11">
        <v>8.6999999999999993</v>
      </c>
      <c r="I699" s="11">
        <v>25.6</v>
      </c>
      <c r="J699" s="11">
        <v>2.5</v>
      </c>
      <c r="K699" s="11">
        <v>9.1</v>
      </c>
      <c r="N699" s="11">
        <v>8.9</v>
      </c>
      <c r="O699" s="11">
        <v>7</v>
      </c>
      <c r="P699" s="11"/>
      <c r="S699" s="11">
        <v>14.9</v>
      </c>
      <c r="U699" s="13"/>
      <c r="V699" s="13"/>
      <c r="W699" s="13"/>
      <c r="X699" s="13"/>
      <c r="Y699" s="11">
        <v>1409.3</v>
      </c>
      <c r="Z699" s="13"/>
      <c r="AA699" s="13"/>
      <c r="AD699" s="13"/>
      <c r="AE699" s="13"/>
      <c r="AF699" s="13"/>
      <c r="AG699" s="13"/>
      <c r="AH699" s="9"/>
      <c r="AI699" s="9"/>
      <c r="AK699" s="13"/>
      <c r="AL699" s="13">
        <f t="shared" si="32"/>
        <v>338.5</v>
      </c>
      <c r="AM699" s="23" t="s">
        <v>936</v>
      </c>
      <c r="AN699" s="13"/>
      <c r="AP699" s="13"/>
      <c r="AQ699" s="13"/>
      <c r="AR699" s="13"/>
    </row>
    <row r="700" spans="1:44" ht="15.75" customHeight="1">
      <c r="A700" s="9" t="s">
        <v>937</v>
      </c>
      <c r="B700" s="9" t="s">
        <v>937</v>
      </c>
      <c r="C700" s="18" t="s">
        <v>913</v>
      </c>
      <c r="D700" s="9">
        <v>1474.4</v>
      </c>
      <c r="F700" s="11">
        <v>88.1</v>
      </c>
      <c r="G700" s="11">
        <v>60.2</v>
      </c>
      <c r="H700" s="11">
        <v>25</v>
      </c>
      <c r="I700" s="11">
        <v>75.099999999999994</v>
      </c>
      <c r="J700" s="11">
        <v>28.7</v>
      </c>
      <c r="K700" s="11">
        <v>51.9</v>
      </c>
      <c r="N700" s="11">
        <v>53</v>
      </c>
      <c r="O700" s="11">
        <v>19.899999999999999</v>
      </c>
      <c r="P700" s="11"/>
      <c r="S700" s="11">
        <v>4057.3</v>
      </c>
      <c r="U700" s="13"/>
      <c r="V700" s="13"/>
      <c r="W700" s="13"/>
      <c r="X700" s="13"/>
      <c r="Y700" s="11">
        <v>4391.3999999999996</v>
      </c>
      <c r="Z700" s="13"/>
      <c r="AA700" s="13"/>
      <c r="AD700" s="13"/>
      <c r="AE700" s="13"/>
      <c r="AF700" s="13"/>
      <c r="AG700" s="13"/>
      <c r="AH700" s="9"/>
      <c r="AI700" s="11">
        <v>5</v>
      </c>
      <c r="AK700" s="13"/>
      <c r="AL700" s="13">
        <f t="shared" si="32"/>
        <v>5933.6</v>
      </c>
      <c r="AM700" s="23" t="s">
        <v>938</v>
      </c>
      <c r="AN700" s="13"/>
      <c r="AP700" s="13"/>
      <c r="AQ700" s="13"/>
      <c r="AR700" s="13"/>
    </row>
    <row r="701" spans="1:44" ht="15.75" customHeight="1">
      <c r="A701" s="9" t="s">
        <v>939</v>
      </c>
      <c r="B701" s="9" t="s">
        <v>822</v>
      </c>
      <c r="C701" s="18" t="s">
        <v>913</v>
      </c>
      <c r="D701" s="11">
        <v>719.8</v>
      </c>
      <c r="F701" s="11">
        <v>30.2</v>
      </c>
      <c r="G701" s="11">
        <v>23.9</v>
      </c>
      <c r="H701" s="11">
        <v>14.6</v>
      </c>
      <c r="I701" s="11">
        <v>34.5</v>
      </c>
      <c r="J701" s="11">
        <v>12.5</v>
      </c>
      <c r="K701" s="11">
        <v>137</v>
      </c>
      <c r="N701" s="11">
        <v>7.1</v>
      </c>
      <c r="O701" s="11">
        <v>12.5</v>
      </c>
      <c r="P701" s="11"/>
      <c r="S701" s="11">
        <v>102.7</v>
      </c>
      <c r="U701" s="13"/>
      <c r="V701" s="13"/>
      <c r="W701" s="13"/>
      <c r="X701" s="13"/>
      <c r="Y701" s="11">
        <v>1405.6</v>
      </c>
      <c r="Z701" s="13"/>
      <c r="AA701" s="13"/>
      <c r="AD701" s="13"/>
      <c r="AE701" s="13"/>
      <c r="AF701" s="13"/>
      <c r="AG701" s="13"/>
      <c r="AH701" s="9"/>
      <c r="AI701" s="9"/>
      <c r="AK701" s="13"/>
      <c r="AL701" s="13">
        <f t="shared" si="32"/>
        <v>1094.8</v>
      </c>
      <c r="AM701" s="23" t="s">
        <v>940</v>
      </c>
      <c r="AN701" s="13"/>
      <c r="AP701" s="13"/>
      <c r="AQ701" s="13"/>
      <c r="AR701" s="13"/>
    </row>
    <row r="702" spans="1:44" ht="15.75" customHeight="1">
      <c r="A702" s="9" t="s">
        <v>941</v>
      </c>
      <c r="B702" s="9" t="s">
        <v>941</v>
      </c>
      <c r="C702" s="18" t="s">
        <v>913</v>
      </c>
      <c r="D702" s="11">
        <v>616.1</v>
      </c>
      <c r="F702" s="11">
        <v>70.099999999999994</v>
      </c>
      <c r="G702" s="11">
        <v>222.2</v>
      </c>
      <c r="H702" s="11">
        <v>170.3</v>
      </c>
      <c r="I702" s="11">
        <v>32.299999999999997</v>
      </c>
      <c r="J702" s="11">
        <v>90.1</v>
      </c>
      <c r="K702" s="11">
        <v>219.9</v>
      </c>
      <c r="N702" s="11">
        <v>25.1</v>
      </c>
      <c r="O702" s="11">
        <v>11.2</v>
      </c>
      <c r="P702" s="11"/>
      <c r="S702" s="11">
        <v>1768.1</v>
      </c>
      <c r="U702" s="13"/>
      <c r="V702" s="13"/>
      <c r="W702" s="13"/>
      <c r="X702" s="13"/>
      <c r="Y702" s="9">
        <v>1297.8</v>
      </c>
      <c r="Z702" s="13"/>
      <c r="AA702" s="13"/>
      <c r="AD702" s="13"/>
      <c r="AE702" s="13"/>
      <c r="AF702" s="13"/>
      <c r="AG702" s="13"/>
      <c r="AH702" s="9"/>
      <c r="AI702" s="9"/>
      <c r="AK702" s="13"/>
      <c r="AL702" s="13">
        <f t="shared" si="32"/>
        <v>3225.3999999999996</v>
      </c>
      <c r="AM702" s="23" t="s">
        <v>942</v>
      </c>
      <c r="AN702" s="13"/>
      <c r="AP702" s="13"/>
      <c r="AQ702" s="13"/>
      <c r="AR702" s="13"/>
    </row>
    <row r="703" spans="1:44" ht="15.75" customHeight="1">
      <c r="A703" s="9" t="s">
        <v>684</v>
      </c>
      <c r="B703" s="9" t="s">
        <v>267</v>
      </c>
      <c r="C703" s="18" t="s">
        <v>913</v>
      </c>
      <c r="D703" s="11">
        <v>246.6</v>
      </c>
      <c r="F703" s="11">
        <v>17.899999999999999</v>
      </c>
      <c r="G703" s="11">
        <v>11.1</v>
      </c>
      <c r="H703" s="11">
        <v>25.4</v>
      </c>
      <c r="I703" s="11">
        <v>5.7</v>
      </c>
      <c r="J703" s="11">
        <v>8.6</v>
      </c>
      <c r="K703" s="9"/>
      <c r="N703" s="11">
        <v>13.6</v>
      </c>
      <c r="O703" s="11">
        <v>3.6</v>
      </c>
      <c r="P703" s="11"/>
      <c r="S703" s="11">
        <v>150.6</v>
      </c>
      <c r="U703" s="13"/>
      <c r="V703" s="13"/>
      <c r="W703" s="13"/>
      <c r="X703" s="13"/>
      <c r="Y703" s="9"/>
      <c r="Z703" s="13"/>
      <c r="AA703" s="13"/>
      <c r="AD703" s="13"/>
      <c r="AE703" s="13"/>
      <c r="AF703" s="13"/>
      <c r="AG703" s="13"/>
      <c r="AH703" s="9"/>
      <c r="AI703" s="9"/>
      <c r="AK703" s="13"/>
      <c r="AL703" s="13">
        <f t="shared" si="32"/>
        <v>483.1</v>
      </c>
      <c r="AM703" s="23" t="s">
        <v>943</v>
      </c>
      <c r="AN703" s="13"/>
      <c r="AP703" s="13"/>
      <c r="AQ703" s="13"/>
      <c r="AR703" s="13"/>
    </row>
    <row r="704" spans="1:44" ht="15.75" customHeight="1">
      <c r="A704" s="9" t="s">
        <v>829</v>
      </c>
      <c r="B704" s="9" t="s">
        <v>829</v>
      </c>
      <c r="C704" s="18" t="s">
        <v>913</v>
      </c>
      <c r="D704" s="11">
        <v>850.9</v>
      </c>
      <c r="F704" s="11">
        <v>36.1</v>
      </c>
      <c r="G704" s="11">
        <v>59.5</v>
      </c>
      <c r="H704" s="11">
        <v>41.6</v>
      </c>
      <c r="I704" s="11">
        <v>32</v>
      </c>
      <c r="J704" s="11">
        <v>10.6</v>
      </c>
      <c r="K704" s="11">
        <v>78.5</v>
      </c>
      <c r="N704" s="11">
        <v>7.9</v>
      </c>
      <c r="O704" s="11">
        <v>4.3</v>
      </c>
      <c r="P704" s="11"/>
      <c r="S704" s="11">
        <v>131.1</v>
      </c>
      <c r="U704" s="13"/>
      <c r="V704" s="13"/>
      <c r="W704" s="13"/>
      <c r="X704" s="13"/>
      <c r="Y704" s="11">
        <v>1193.8</v>
      </c>
      <c r="Z704" s="13"/>
      <c r="AA704" s="13"/>
      <c r="AD704" s="13"/>
      <c r="AE704" s="13"/>
      <c r="AF704" s="13"/>
      <c r="AG704" s="13"/>
      <c r="AH704" s="9"/>
      <c r="AI704" s="9"/>
      <c r="AK704" s="13"/>
      <c r="AL704" s="13">
        <f t="shared" si="32"/>
        <v>1252.5</v>
      </c>
      <c r="AM704" s="23" t="s">
        <v>944</v>
      </c>
      <c r="AN704" s="13"/>
      <c r="AP704" s="13"/>
      <c r="AQ704" s="13"/>
      <c r="AR704" s="13"/>
    </row>
    <row r="705" spans="1:44" ht="15.75" customHeight="1">
      <c r="A705" s="9" t="s">
        <v>148</v>
      </c>
      <c r="B705" s="9" t="s">
        <v>148</v>
      </c>
      <c r="C705" s="18" t="s">
        <v>913</v>
      </c>
      <c r="D705" s="11">
        <v>6287.7</v>
      </c>
      <c r="F705" s="11">
        <v>377</v>
      </c>
      <c r="G705" s="11">
        <v>40.5</v>
      </c>
      <c r="H705" s="11">
        <v>92.3</v>
      </c>
      <c r="I705" s="11">
        <v>44.9</v>
      </c>
      <c r="J705" s="11">
        <v>74</v>
      </c>
      <c r="K705" s="11">
        <v>159.19999999999999</v>
      </c>
      <c r="N705" s="11">
        <v>99.7</v>
      </c>
      <c r="O705" s="11">
        <v>43.3</v>
      </c>
      <c r="P705" s="11"/>
      <c r="S705" s="11">
        <v>2812.6</v>
      </c>
      <c r="U705" s="13"/>
      <c r="V705" s="13"/>
      <c r="W705" s="13"/>
      <c r="X705" s="13"/>
      <c r="Y705" s="11">
        <v>297.7</v>
      </c>
      <c r="Z705" s="13"/>
      <c r="AA705" s="13"/>
      <c r="AD705" s="13"/>
      <c r="AE705" s="13"/>
      <c r="AF705" s="13"/>
      <c r="AG705" s="13"/>
      <c r="AH705" s="11">
        <v>292.2</v>
      </c>
      <c r="AI705" s="9"/>
      <c r="AK705" s="13"/>
      <c r="AL705" s="13">
        <f t="shared" si="32"/>
        <v>10031.199999999999</v>
      </c>
      <c r="AM705" s="23" t="s">
        <v>945</v>
      </c>
      <c r="AN705" s="13"/>
      <c r="AP705" s="13"/>
      <c r="AQ705" s="13"/>
      <c r="AR705" s="13"/>
    </row>
    <row r="706" spans="1:44" ht="15.75" customHeight="1">
      <c r="A706" s="9" t="s">
        <v>693</v>
      </c>
      <c r="B706" s="9" t="s">
        <v>150</v>
      </c>
      <c r="C706" s="18" t="s">
        <v>913</v>
      </c>
      <c r="D706" s="11"/>
      <c r="F706" s="11"/>
      <c r="G706" s="11"/>
      <c r="H706" s="11"/>
      <c r="I706" s="11"/>
      <c r="J706" s="11"/>
      <c r="K706" s="11"/>
      <c r="N706" s="11"/>
      <c r="O706" s="11"/>
      <c r="P706" s="11"/>
      <c r="S706" s="11">
        <v>1146.5999999999999</v>
      </c>
      <c r="U706" s="13"/>
      <c r="V706" s="13"/>
      <c r="W706" s="13"/>
      <c r="X706" s="13"/>
      <c r="Y706" s="9"/>
      <c r="Z706" s="13"/>
      <c r="AA706" s="13"/>
      <c r="AD706" s="13"/>
      <c r="AE706" s="13"/>
      <c r="AF706" s="13"/>
      <c r="AG706" s="13"/>
      <c r="AH706" s="11"/>
      <c r="AI706" s="9"/>
      <c r="AK706" s="13"/>
      <c r="AL706" s="13">
        <f t="shared" si="32"/>
        <v>1146.5999999999999</v>
      </c>
      <c r="AM706" s="23" t="s">
        <v>946</v>
      </c>
      <c r="AN706" s="13"/>
      <c r="AP706" s="13"/>
      <c r="AQ706" s="13"/>
      <c r="AR706" s="13"/>
    </row>
    <row r="707" spans="1:44" ht="15.75" customHeight="1">
      <c r="A707" s="9" t="s">
        <v>875</v>
      </c>
      <c r="B707" s="9" t="s">
        <v>834</v>
      </c>
      <c r="C707" s="18" t="s">
        <v>913</v>
      </c>
      <c r="D707" s="11">
        <v>527.1</v>
      </c>
      <c r="F707" s="11">
        <v>56.6</v>
      </c>
      <c r="G707" s="11">
        <v>17.100000000000001</v>
      </c>
      <c r="H707" s="11">
        <v>57.2</v>
      </c>
      <c r="I707" s="11">
        <v>30.2</v>
      </c>
      <c r="J707" s="11">
        <v>38.700000000000003</v>
      </c>
      <c r="K707" s="11">
        <v>37.799999999999997</v>
      </c>
      <c r="N707" s="11">
        <v>7.2</v>
      </c>
      <c r="O707" s="11">
        <v>2.5</v>
      </c>
      <c r="P707" s="11"/>
      <c r="S707" s="11">
        <v>92.7</v>
      </c>
      <c r="U707" s="13"/>
      <c r="V707" s="13"/>
      <c r="W707" s="13"/>
      <c r="X707" s="13"/>
      <c r="Y707" s="9"/>
      <c r="Z707" s="13"/>
      <c r="AA707" s="13"/>
      <c r="AD707" s="13"/>
      <c r="AE707" s="13"/>
      <c r="AF707" s="13"/>
      <c r="AG707" s="13"/>
      <c r="AH707" s="11">
        <v>44.8</v>
      </c>
      <c r="AI707" s="9"/>
      <c r="AK707" s="13"/>
      <c r="AL707" s="13">
        <f t="shared" si="32"/>
        <v>867.10000000000025</v>
      </c>
      <c r="AM707" s="23" t="s">
        <v>947</v>
      </c>
      <c r="AN707" s="13"/>
      <c r="AP707" s="13"/>
      <c r="AQ707" s="13"/>
      <c r="AR707" s="13"/>
    </row>
    <row r="708" spans="1:44" ht="15.75" customHeight="1">
      <c r="A708" s="9" t="s">
        <v>836</v>
      </c>
      <c r="B708" s="9" t="s">
        <v>836</v>
      </c>
      <c r="C708" s="18" t="s">
        <v>913</v>
      </c>
      <c r="D708" s="11">
        <v>161</v>
      </c>
      <c r="F708" s="11">
        <v>20.100000000000001</v>
      </c>
      <c r="G708" s="11">
        <v>6.7</v>
      </c>
      <c r="H708" s="11">
        <v>33.299999999999997</v>
      </c>
      <c r="I708" s="11">
        <v>4.5999999999999996</v>
      </c>
      <c r="J708" s="11">
        <v>38.299999999999997</v>
      </c>
      <c r="K708" s="11">
        <v>42.3</v>
      </c>
      <c r="N708" s="11">
        <v>12.3</v>
      </c>
      <c r="O708" s="11">
        <v>5.0999999999999996</v>
      </c>
      <c r="P708" s="11"/>
      <c r="S708" s="11">
        <v>94.1</v>
      </c>
      <c r="U708" s="13"/>
      <c r="V708" s="13"/>
      <c r="W708" s="13"/>
      <c r="X708" s="13"/>
      <c r="Y708" s="9"/>
      <c r="Z708" s="13"/>
      <c r="AA708" s="13"/>
      <c r="AD708" s="13"/>
      <c r="AE708" s="13"/>
      <c r="AF708" s="13"/>
      <c r="AG708" s="13"/>
      <c r="AH708" s="9"/>
      <c r="AI708" s="9"/>
      <c r="AK708" s="13"/>
      <c r="AL708" s="13">
        <f t="shared" si="32"/>
        <v>417.79999999999995</v>
      </c>
      <c r="AM708" s="23" t="s">
        <v>948</v>
      </c>
      <c r="AN708" s="13"/>
      <c r="AP708" s="13"/>
      <c r="AQ708" s="13"/>
      <c r="AR708" s="13"/>
    </row>
    <row r="709" spans="1:44" ht="15.75" customHeight="1">
      <c r="A709" s="9" t="s">
        <v>838</v>
      </c>
      <c r="B709" s="9" t="s">
        <v>838</v>
      </c>
      <c r="C709" s="18" t="s">
        <v>913</v>
      </c>
      <c r="D709" s="11">
        <v>51.5</v>
      </c>
      <c r="F709" s="11">
        <v>7.3</v>
      </c>
      <c r="G709" s="11">
        <v>4.3</v>
      </c>
      <c r="H709" s="11">
        <v>1.6</v>
      </c>
      <c r="I709" s="11">
        <v>3.5</v>
      </c>
      <c r="J709" s="11">
        <v>2.9</v>
      </c>
      <c r="K709" s="11">
        <v>11.3</v>
      </c>
      <c r="N709" s="11">
        <v>0.8</v>
      </c>
      <c r="O709" s="11">
        <v>0.5</v>
      </c>
      <c r="P709" s="11"/>
      <c r="S709" s="11">
        <v>20.3</v>
      </c>
      <c r="U709" s="13"/>
      <c r="V709" s="13"/>
      <c r="W709" s="13"/>
      <c r="X709" s="13"/>
      <c r="Y709" s="11">
        <v>205.2</v>
      </c>
      <c r="Z709" s="13"/>
      <c r="AA709" s="13"/>
      <c r="AD709" s="13"/>
      <c r="AE709" s="13"/>
      <c r="AF709" s="13"/>
      <c r="AG709" s="13"/>
      <c r="AH709" s="9"/>
      <c r="AI709" s="9"/>
      <c r="AK709" s="13"/>
      <c r="AL709" s="13">
        <f t="shared" si="32"/>
        <v>103.99999999999999</v>
      </c>
      <c r="AM709" s="23" t="s">
        <v>949</v>
      </c>
      <c r="AN709" s="13"/>
      <c r="AP709" s="13"/>
      <c r="AQ709" s="13"/>
      <c r="AR709" s="13"/>
    </row>
    <row r="710" spans="1:44" ht="15.75" customHeight="1">
      <c r="A710" s="9" t="s">
        <v>158</v>
      </c>
      <c r="B710" s="9" t="s">
        <v>158</v>
      </c>
      <c r="C710" s="18" t="s">
        <v>913</v>
      </c>
      <c r="D710" s="11">
        <v>75.5</v>
      </c>
      <c r="F710" s="11">
        <v>1.7</v>
      </c>
      <c r="G710" s="11">
        <v>3.4</v>
      </c>
      <c r="H710" s="11">
        <v>4.8</v>
      </c>
      <c r="I710" s="11">
        <v>3.4</v>
      </c>
      <c r="J710" s="11">
        <v>1.2</v>
      </c>
      <c r="K710" s="11">
        <v>9.5</v>
      </c>
      <c r="N710" s="11">
        <v>2.1</v>
      </c>
      <c r="O710" s="11">
        <v>0.5</v>
      </c>
      <c r="P710" s="11"/>
      <c r="S710" s="11">
        <v>96.5</v>
      </c>
      <c r="U710" s="13"/>
      <c r="V710" s="13"/>
      <c r="W710" s="13"/>
      <c r="X710" s="13"/>
      <c r="Y710" s="9"/>
      <c r="Z710" s="13"/>
      <c r="AA710" s="13"/>
      <c r="AD710" s="13"/>
      <c r="AE710" s="13"/>
      <c r="AF710" s="13"/>
      <c r="AG710" s="13"/>
      <c r="AH710" s="9"/>
      <c r="AI710" s="9"/>
      <c r="AK710" s="13"/>
      <c r="AL710" s="13">
        <f t="shared" si="32"/>
        <v>198.60000000000002</v>
      </c>
      <c r="AM710" s="23" t="s">
        <v>950</v>
      </c>
      <c r="AN710" s="13"/>
      <c r="AP710" s="13"/>
      <c r="AQ710" s="13"/>
      <c r="AR710" s="13"/>
    </row>
    <row r="711" spans="1:44" ht="15.75" customHeight="1">
      <c r="A711" s="9" t="s">
        <v>896</v>
      </c>
      <c r="B711" s="9" t="s">
        <v>164</v>
      </c>
      <c r="C711" s="18" t="s">
        <v>913</v>
      </c>
      <c r="D711" s="11">
        <v>172.4</v>
      </c>
      <c r="F711" s="11">
        <v>5.7</v>
      </c>
      <c r="G711" s="11">
        <v>1.1000000000000001</v>
      </c>
      <c r="H711" s="11">
        <v>2.2000000000000002</v>
      </c>
      <c r="I711" s="11">
        <v>5.2</v>
      </c>
      <c r="J711" s="11">
        <v>5.2</v>
      </c>
      <c r="K711" s="9"/>
      <c r="N711" s="11">
        <v>2.5</v>
      </c>
      <c r="O711" s="11">
        <v>0.6</v>
      </c>
      <c r="P711" s="11"/>
      <c r="S711" s="11">
        <v>68.2</v>
      </c>
      <c r="U711" s="13"/>
      <c r="V711" s="13"/>
      <c r="W711" s="13"/>
      <c r="X711" s="13"/>
      <c r="Y711" s="9"/>
      <c r="Z711" s="13"/>
      <c r="AA711" s="13"/>
      <c r="AD711" s="13"/>
      <c r="AE711" s="13"/>
      <c r="AF711" s="13"/>
      <c r="AG711" s="13"/>
      <c r="AH711" s="9"/>
      <c r="AI711" s="9"/>
      <c r="AK711" s="13"/>
      <c r="AL711" s="13">
        <f t="shared" si="32"/>
        <v>263.09999999999997</v>
      </c>
      <c r="AM711" s="23" t="s">
        <v>951</v>
      </c>
      <c r="AN711" s="13"/>
      <c r="AP711" s="13"/>
      <c r="AQ711" s="13"/>
      <c r="AR711" s="13"/>
    </row>
    <row r="712" spans="1:44" ht="15.75" customHeight="1">
      <c r="A712" s="9" t="s">
        <v>700</v>
      </c>
      <c r="B712" s="9" t="s">
        <v>166</v>
      </c>
      <c r="C712" s="18" t="s">
        <v>913</v>
      </c>
      <c r="D712" s="11">
        <v>180.4</v>
      </c>
      <c r="F712" s="11">
        <v>9.9</v>
      </c>
      <c r="G712" s="11">
        <v>13.4</v>
      </c>
      <c r="H712" s="11">
        <v>15.3</v>
      </c>
      <c r="I712" s="11">
        <v>10.8</v>
      </c>
      <c r="J712" s="11">
        <v>27.9</v>
      </c>
      <c r="K712" s="11">
        <v>17</v>
      </c>
      <c r="N712" s="11">
        <v>6</v>
      </c>
      <c r="O712" s="11">
        <v>0.7</v>
      </c>
      <c r="P712" s="11"/>
      <c r="S712" s="11">
        <v>153.80000000000001</v>
      </c>
      <c r="U712" s="13"/>
      <c r="V712" s="13"/>
      <c r="W712" s="13"/>
      <c r="X712" s="13"/>
      <c r="Y712" s="9"/>
      <c r="Z712" s="13"/>
      <c r="AA712" s="13"/>
      <c r="AD712" s="13"/>
      <c r="AE712" s="13"/>
      <c r="AF712" s="13"/>
      <c r="AG712" s="13"/>
      <c r="AH712" s="9">
        <v>90</v>
      </c>
      <c r="AI712" s="9"/>
      <c r="AK712" s="13"/>
      <c r="AL712" s="13">
        <f t="shared" si="32"/>
        <v>435.20000000000005</v>
      </c>
      <c r="AM712" s="23" t="s">
        <v>952</v>
      </c>
      <c r="AN712" s="13"/>
      <c r="AP712" s="13"/>
      <c r="AQ712" s="13"/>
      <c r="AR712" s="13"/>
    </row>
    <row r="713" spans="1:44" ht="15.75" customHeight="1">
      <c r="A713" s="9" t="s">
        <v>168</v>
      </c>
      <c r="B713" s="9" t="s">
        <v>168</v>
      </c>
      <c r="C713" s="18" t="s">
        <v>913</v>
      </c>
      <c r="D713" s="11">
        <v>1878.9</v>
      </c>
      <c r="F713" s="11">
        <v>152.80000000000001</v>
      </c>
      <c r="G713" s="11">
        <v>75.599999999999994</v>
      </c>
      <c r="H713" s="11">
        <v>59.8</v>
      </c>
      <c r="I713" s="11">
        <v>157.69999999999999</v>
      </c>
      <c r="J713" s="11">
        <v>133.30000000000001</v>
      </c>
      <c r="K713" s="11">
        <v>330.8</v>
      </c>
      <c r="N713" s="11">
        <v>38.1</v>
      </c>
      <c r="O713" s="11">
        <v>13.4</v>
      </c>
      <c r="P713" s="11"/>
      <c r="S713" s="11">
        <v>1103.0999999999999</v>
      </c>
      <c r="U713" s="13"/>
      <c r="V713" s="13"/>
      <c r="W713" s="13"/>
      <c r="X713" s="13"/>
      <c r="Y713" s="9"/>
      <c r="Z713" s="13"/>
      <c r="AA713" s="13"/>
      <c r="AD713" s="13"/>
      <c r="AE713" s="13"/>
      <c r="AF713" s="13"/>
      <c r="AG713" s="13"/>
      <c r="AH713" s="9"/>
      <c r="AI713" s="9"/>
      <c r="AK713" s="13"/>
      <c r="AL713" s="13">
        <f t="shared" si="32"/>
        <v>3943.5000000000005</v>
      </c>
      <c r="AM713" s="23" t="s">
        <v>953</v>
      </c>
      <c r="AN713" s="13"/>
      <c r="AP713" s="13"/>
      <c r="AQ713" s="13"/>
      <c r="AR713" s="13"/>
    </row>
    <row r="714" spans="1:44" ht="15.75" customHeight="1">
      <c r="A714" s="9" t="s">
        <v>170</v>
      </c>
      <c r="B714" s="9" t="s">
        <v>170</v>
      </c>
      <c r="C714" s="18" t="s">
        <v>913</v>
      </c>
      <c r="D714" s="11">
        <v>9210</v>
      </c>
      <c r="F714" s="11">
        <v>2405.1999999999998</v>
      </c>
      <c r="G714" s="11">
        <v>632.4</v>
      </c>
      <c r="H714" s="11">
        <v>641.9</v>
      </c>
      <c r="I714" s="11">
        <v>83.9</v>
      </c>
      <c r="J714" s="11">
        <v>90.5</v>
      </c>
      <c r="K714" s="11">
        <v>436.4</v>
      </c>
      <c r="N714" s="11">
        <v>42.2</v>
      </c>
      <c r="O714" s="11">
        <v>71.400000000000006</v>
      </c>
      <c r="P714" s="11"/>
      <c r="S714" s="11">
        <v>1791.4</v>
      </c>
      <c r="U714" s="13"/>
      <c r="V714" s="13"/>
      <c r="W714" s="13"/>
      <c r="X714" s="13"/>
      <c r="Y714" s="11">
        <v>5010</v>
      </c>
      <c r="Z714" s="13"/>
      <c r="AA714" s="13"/>
      <c r="AD714" s="13"/>
      <c r="AE714" s="13"/>
      <c r="AF714" s="13"/>
      <c r="AG714" s="13"/>
      <c r="AH714" s="11">
        <v>81.900000000000006</v>
      </c>
      <c r="AI714" s="9"/>
      <c r="AK714" s="13"/>
      <c r="AL714" s="13">
        <f t="shared" si="32"/>
        <v>15405.3</v>
      </c>
      <c r="AM714" s="23" t="s">
        <v>954</v>
      </c>
      <c r="AN714" s="13"/>
      <c r="AP714" s="13"/>
      <c r="AQ714" s="13"/>
      <c r="AR714" s="13"/>
    </row>
    <row r="715" spans="1:44" ht="15.75" customHeight="1">
      <c r="A715" s="9" t="s">
        <v>176</v>
      </c>
      <c r="B715" s="9" t="s">
        <v>176</v>
      </c>
      <c r="C715" s="18" t="s">
        <v>913</v>
      </c>
      <c r="D715" s="9"/>
      <c r="F715" s="11">
        <v>14.1</v>
      </c>
      <c r="G715" s="11">
        <v>20.100000000000001</v>
      </c>
      <c r="H715" s="11">
        <v>96.7</v>
      </c>
      <c r="I715" s="11">
        <v>68.900000000000006</v>
      </c>
      <c r="J715" s="11">
        <v>8.6999999999999993</v>
      </c>
      <c r="K715" s="11">
        <v>8.1999999999999993</v>
      </c>
      <c r="N715" s="11">
        <v>0</v>
      </c>
      <c r="O715" s="11">
        <v>0.2</v>
      </c>
      <c r="P715" s="11"/>
      <c r="S715" s="11">
        <v>15.5</v>
      </c>
      <c r="U715" s="13"/>
      <c r="V715" s="13"/>
      <c r="W715" s="13"/>
      <c r="X715" s="13"/>
      <c r="Y715" s="9"/>
      <c r="Z715" s="13"/>
      <c r="AA715" s="13"/>
      <c r="AD715" s="13"/>
      <c r="AE715" s="13"/>
      <c r="AF715" s="13"/>
      <c r="AG715" s="13"/>
      <c r="AH715" s="9"/>
      <c r="AI715" s="9"/>
      <c r="AK715" s="13"/>
      <c r="AL715" s="13">
        <f t="shared" si="32"/>
        <v>232.39999999999998</v>
      </c>
      <c r="AM715" s="23" t="s">
        <v>955</v>
      </c>
      <c r="AN715" s="13"/>
      <c r="AP715" s="13"/>
      <c r="AQ715" s="13"/>
      <c r="AR715" s="13"/>
    </row>
    <row r="716" spans="1:44" ht="15.75" customHeight="1">
      <c r="A716" s="9" t="s">
        <v>178</v>
      </c>
      <c r="B716" s="9" t="s">
        <v>178</v>
      </c>
      <c r="C716" s="18" t="s">
        <v>913</v>
      </c>
      <c r="D716" s="11">
        <v>127.2</v>
      </c>
      <c r="F716" s="11">
        <v>21.7</v>
      </c>
      <c r="G716" s="9"/>
      <c r="H716" s="11">
        <v>6.8</v>
      </c>
      <c r="I716" s="11">
        <v>7.3</v>
      </c>
      <c r="J716" s="11">
        <v>14</v>
      </c>
      <c r="K716" s="11">
        <v>31.4</v>
      </c>
      <c r="N716" s="11">
        <v>3.8</v>
      </c>
      <c r="O716" s="11">
        <v>1.4</v>
      </c>
      <c r="P716" s="11"/>
      <c r="S716" s="11">
        <v>65.400000000000006</v>
      </c>
      <c r="U716" s="13"/>
      <c r="V716" s="13"/>
      <c r="W716" s="13"/>
      <c r="X716" s="13"/>
      <c r="Y716" s="9"/>
      <c r="Z716" s="13"/>
      <c r="AA716" s="13"/>
      <c r="AD716" s="13"/>
      <c r="AE716" s="13"/>
      <c r="AF716" s="13"/>
      <c r="AG716" s="13"/>
      <c r="AH716" s="9"/>
      <c r="AI716" s="9"/>
      <c r="AK716" s="13"/>
      <c r="AL716" s="13">
        <f t="shared" si="32"/>
        <v>279.00000000000006</v>
      </c>
      <c r="AM716" s="23" t="s">
        <v>956</v>
      </c>
      <c r="AN716" s="13"/>
      <c r="AP716" s="13"/>
      <c r="AQ716" s="13"/>
      <c r="AR716" s="13"/>
    </row>
    <row r="717" spans="1:44" ht="15.75" customHeight="1">
      <c r="A717" s="9" t="s">
        <v>181</v>
      </c>
      <c r="B717" s="9" t="s">
        <v>181</v>
      </c>
      <c r="C717" s="18" t="s">
        <v>913</v>
      </c>
      <c r="D717" s="11">
        <v>417.2</v>
      </c>
      <c r="F717" s="11">
        <v>26.1</v>
      </c>
      <c r="G717" s="11">
        <v>4</v>
      </c>
      <c r="H717" s="11">
        <v>32.1</v>
      </c>
      <c r="I717" s="11">
        <v>48.2</v>
      </c>
      <c r="J717" s="11">
        <v>42.6</v>
      </c>
      <c r="K717" s="11">
        <v>10.6</v>
      </c>
      <c r="N717" s="11">
        <v>1.9</v>
      </c>
      <c r="O717" s="11">
        <v>6.8</v>
      </c>
      <c r="P717" s="11"/>
      <c r="S717" s="11">
        <v>75.3</v>
      </c>
      <c r="U717" s="13"/>
      <c r="V717" s="13"/>
      <c r="W717" s="13"/>
      <c r="X717" s="13"/>
      <c r="Y717" s="9"/>
      <c r="Z717" s="13"/>
      <c r="AA717" s="13"/>
      <c r="AD717" s="13"/>
      <c r="AE717" s="13"/>
      <c r="AF717" s="13"/>
      <c r="AG717" s="13"/>
      <c r="AH717" s="9"/>
      <c r="AI717" s="9"/>
      <c r="AK717" s="13"/>
      <c r="AL717" s="13">
        <f t="shared" si="32"/>
        <v>664.8</v>
      </c>
      <c r="AM717" s="23" t="s">
        <v>957</v>
      </c>
      <c r="AN717" s="13"/>
      <c r="AP717" s="13"/>
      <c r="AQ717" s="13"/>
      <c r="AR717" s="13"/>
    </row>
    <row r="718" spans="1:44" ht="15.75" customHeight="1">
      <c r="A718" s="9" t="s">
        <v>709</v>
      </c>
      <c r="B718" s="9" t="s">
        <v>183</v>
      </c>
      <c r="C718" s="18" t="s">
        <v>913</v>
      </c>
      <c r="D718" s="11">
        <v>116.4</v>
      </c>
      <c r="F718" s="11">
        <v>4</v>
      </c>
      <c r="G718" s="11">
        <v>9.1999999999999993</v>
      </c>
      <c r="H718" s="11">
        <v>61.1</v>
      </c>
      <c r="I718" s="11">
        <v>3.3</v>
      </c>
      <c r="J718" s="11">
        <v>15.2</v>
      </c>
      <c r="K718" s="11">
        <v>18.3</v>
      </c>
      <c r="N718" s="11">
        <v>1.7</v>
      </c>
      <c r="O718" s="11">
        <v>1.6</v>
      </c>
      <c r="P718" s="11"/>
      <c r="S718" s="11">
        <v>188.8</v>
      </c>
      <c r="U718" s="13"/>
      <c r="V718" s="13"/>
      <c r="W718" s="13"/>
      <c r="X718" s="13"/>
      <c r="Y718" s="9"/>
      <c r="Z718" s="13"/>
      <c r="AA718" s="13"/>
      <c r="AD718" s="13"/>
      <c r="AE718" s="13"/>
      <c r="AF718" s="13"/>
      <c r="AG718" s="13"/>
      <c r="AH718" s="9"/>
      <c r="AI718" s="9"/>
      <c r="AK718" s="13"/>
      <c r="AL718" s="13">
        <f t="shared" si="32"/>
        <v>419.6</v>
      </c>
      <c r="AM718" s="23" t="s">
        <v>958</v>
      </c>
      <c r="AN718" s="13"/>
      <c r="AP718" s="13"/>
      <c r="AQ718" s="13"/>
      <c r="AR718" s="13"/>
    </row>
    <row r="719" spans="1:44" ht="15.75" customHeight="1">
      <c r="A719" s="9" t="s">
        <v>185</v>
      </c>
      <c r="B719" s="9" t="s">
        <v>185</v>
      </c>
      <c r="C719" s="18" t="s">
        <v>913</v>
      </c>
      <c r="D719" s="11">
        <v>153851.70000000001</v>
      </c>
      <c r="F719" s="9"/>
      <c r="G719" s="9"/>
      <c r="H719" s="9"/>
      <c r="I719" s="9"/>
      <c r="J719" s="9"/>
      <c r="K719" s="9"/>
      <c r="N719" s="9"/>
      <c r="O719" s="9"/>
      <c r="P719" s="11"/>
      <c r="S719" s="11">
        <v>926.4</v>
      </c>
      <c r="U719" s="13"/>
      <c r="V719" s="13"/>
      <c r="W719" s="13"/>
      <c r="X719" s="13"/>
      <c r="Y719" s="9"/>
      <c r="Z719" s="13"/>
      <c r="AA719" s="13"/>
      <c r="AD719" s="13"/>
      <c r="AE719" s="13"/>
      <c r="AF719" s="13"/>
      <c r="AG719" s="13"/>
      <c r="AH719" s="9"/>
      <c r="AI719" s="9"/>
      <c r="AK719" s="13"/>
      <c r="AL719" s="13">
        <f t="shared" si="32"/>
        <v>154778.1</v>
      </c>
      <c r="AM719" s="23" t="s">
        <v>959</v>
      </c>
      <c r="AN719" s="13"/>
      <c r="AP719" s="13"/>
      <c r="AQ719" s="13"/>
      <c r="AR719" s="13"/>
    </row>
    <row r="720" spans="1:44" ht="15.75" customHeight="1">
      <c r="A720" s="9" t="s">
        <v>187</v>
      </c>
      <c r="B720" s="9" t="s">
        <v>187</v>
      </c>
      <c r="C720" s="18" t="s">
        <v>913</v>
      </c>
      <c r="D720" s="11">
        <v>101.7</v>
      </c>
      <c r="F720" s="11">
        <v>8.4</v>
      </c>
      <c r="G720" s="11">
        <v>2</v>
      </c>
      <c r="H720" s="11">
        <v>15.5</v>
      </c>
      <c r="I720" s="11">
        <v>2.4</v>
      </c>
      <c r="J720" s="11">
        <v>12.1</v>
      </c>
      <c r="K720" s="11">
        <v>59.8</v>
      </c>
      <c r="N720" s="11">
        <v>4.7</v>
      </c>
      <c r="O720" s="11">
        <v>1.2</v>
      </c>
      <c r="P720" s="11"/>
      <c r="S720" s="11">
        <v>97.6</v>
      </c>
      <c r="U720" s="13"/>
      <c r="V720" s="13"/>
      <c r="W720" s="13"/>
      <c r="X720" s="13"/>
      <c r="Y720" s="9"/>
      <c r="Z720" s="13"/>
      <c r="AA720" s="13"/>
      <c r="AD720" s="13"/>
      <c r="AE720" s="13"/>
      <c r="AF720" s="13"/>
      <c r="AG720" s="13"/>
      <c r="AH720" s="11">
        <v>15.4</v>
      </c>
      <c r="AI720" s="9"/>
      <c r="AK720" s="13"/>
      <c r="AL720" s="13">
        <f t="shared" si="32"/>
        <v>305.39999999999998</v>
      </c>
      <c r="AM720" s="23" t="s">
        <v>960</v>
      </c>
      <c r="AN720" s="13"/>
      <c r="AP720" s="13"/>
      <c r="AQ720" s="13"/>
      <c r="AR720" s="13"/>
    </row>
    <row r="721" spans="1:44" ht="15.75" customHeight="1">
      <c r="A721" s="9" t="s">
        <v>188</v>
      </c>
      <c r="B721" s="9" t="s">
        <v>188</v>
      </c>
      <c r="C721" s="18" t="s">
        <v>913</v>
      </c>
      <c r="D721" s="11">
        <v>1336.1</v>
      </c>
      <c r="F721" s="11">
        <v>94.6</v>
      </c>
      <c r="G721" s="11">
        <v>6.9</v>
      </c>
      <c r="H721" s="11">
        <v>1.9</v>
      </c>
      <c r="I721" s="11">
        <v>35.299999999999997</v>
      </c>
      <c r="J721" s="11">
        <v>5.0999999999999996</v>
      </c>
      <c r="K721" s="11">
        <v>109.9</v>
      </c>
      <c r="N721" s="11">
        <v>16</v>
      </c>
      <c r="O721" s="11">
        <v>12.7</v>
      </c>
      <c r="P721" s="11"/>
      <c r="S721" s="11">
        <v>684.9</v>
      </c>
      <c r="U721" s="13"/>
      <c r="V721" s="13"/>
      <c r="W721" s="13"/>
      <c r="X721" s="13"/>
      <c r="Y721" s="9"/>
      <c r="Z721" s="13"/>
      <c r="AA721" s="13"/>
      <c r="AD721" s="13"/>
      <c r="AE721" s="13"/>
      <c r="AF721" s="13"/>
      <c r="AG721" s="13"/>
      <c r="AH721" s="11">
        <v>56</v>
      </c>
      <c r="AI721" s="9"/>
      <c r="AK721" s="13"/>
      <c r="AL721" s="13">
        <f t="shared" si="32"/>
        <v>2303.4</v>
      </c>
      <c r="AM721" s="23" t="s">
        <v>961</v>
      </c>
      <c r="AN721" s="13"/>
      <c r="AP721" s="13"/>
      <c r="AQ721" s="13"/>
      <c r="AR721" s="13"/>
    </row>
    <row r="722" spans="1:44" ht="15.75" customHeight="1">
      <c r="A722" s="9" t="s">
        <v>190</v>
      </c>
      <c r="B722" s="9" t="s">
        <v>190</v>
      </c>
      <c r="C722" s="18" t="s">
        <v>913</v>
      </c>
      <c r="D722" s="11">
        <v>159.80000000000001</v>
      </c>
      <c r="F722" s="11">
        <v>15.1</v>
      </c>
      <c r="G722" s="11">
        <v>2.2000000000000002</v>
      </c>
      <c r="H722" s="11">
        <v>10</v>
      </c>
      <c r="I722" s="11">
        <v>9.1999999999999993</v>
      </c>
      <c r="J722" s="11">
        <v>22.5</v>
      </c>
      <c r="K722" s="11">
        <v>1.4</v>
      </c>
      <c r="N722" s="11">
        <v>1.2</v>
      </c>
      <c r="O722" s="11">
        <v>2.2000000000000002</v>
      </c>
      <c r="P722" s="11"/>
      <c r="S722" s="11">
        <v>83.2</v>
      </c>
      <c r="U722" s="13"/>
      <c r="V722" s="13"/>
      <c r="W722" s="13"/>
      <c r="X722" s="13"/>
      <c r="Y722" s="9"/>
      <c r="Z722" s="13"/>
      <c r="AA722" s="13"/>
      <c r="AD722" s="13"/>
      <c r="AE722" s="13"/>
      <c r="AF722" s="13"/>
      <c r="AG722" s="13"/>
      <c r="AH722" s="9"/>
      <c r="AI722" s="9"/>
      <c r="AK722" s="13"/>
      <c r="AL722" s="13">
        <f t="shared" si="32"/>
        <v>306.79999999999995</v>
      </c>
      <c r="AM722" s="23" t="s">
        <v>962</v>
      </c>
      <c r="AN722" s="13"/>
      <c r="AP722" s="13"/>
      <c r="AQ722" s="13"/>
      <c r="AR722" s="13"/>
    </row>
    <row r="723" spans="1:44" ht="15.75" customHeight="1">
      <c r="A723" s="9" t="s">
        <v>192</v>
      </c>
      <c r="B723" s="9" t="s">
        <v>192</v>
      </c>
      <c r="C723" s="18" t="s">
        <v>913</v>
      </c>
      <c r="D723" s="11">
        <v>136.19999999999999</v>
      </c>
      <c r="F723" s="11">
        <v>6</v>
      </c>
      <c r="G723" s="11">
        <v>8</v>
      </c>
      <c r="H723" s="11">
        <v>3.8</v>
      </c>
      <c r="I723" s="11">
        <v>3.5</v>
      </c>
      <c r="J723" s="11">
        <v>12.6</v>
      </c>
      <c r="K723" s="11">
        <v>33.200000000000003</v>
      </c>
      <c r="N723" s="11">
        <v>4.3</v>
      </c>
      <c r="O723" s="11">
        <v>0.8</v>
      </c>
      <c r="P723" s="11"/>
      <c r="S723" s="11">
        <v>75.900000000000006</v>
      </c>
      <c r="U723" s="13"/>
      <c r="V723" s="13"/>
      <c r="W723" s="13"/>
      <c r="X723" s="13"/>
      <c r="Y723" s="9"/>
      <c r="Z723" s="13"/>
      <c r="AA723" s="13"/>
      <c r="AD723" s="13"/>
      <c r="AE723" s="13"/>
      <c r="AF723" s="13"/>
      <c r="AG723" s="13"/>
      <c r="AH723" s="9"/>
      <c r="AI723" s="9"/>
      <c r="AK723" s="13"/>
      <c r="AL723" s="13">
        <f t="shared" si="32"/>
        <v>284.30000000000007</v>
      </c>
      <c r="AM723" s="23" t="s">
        <v>963</v>
      </c>
      <c r="AN723" s="13"/>
      <c r="AP723" s="13"/>
      <c r="AQ723" s="13"/>
      <c r="AR723" s="13"/>
    </row>
    <row r="724" spans="1:44" ht="15.75" customHeight="1">
      <c r="A724" s="9" t="s">
        <v>716</v>
      </c>
      <c r="B724" s="9" t="s">
        <v>305</v>
      </c>
      <c r="C724" s="18" t="s">
        <v>913</v>
      </c>
      <c r="D724" s="11">
        <v>100.1</v>
      </c>
      <c r="F724" s="11">
        <v>7</v>
      </c>
      <c r="G724" s="11">
        <v>6.3</v>
      </c>
      <c r="H724" s="11">
        <v>3.2</v>
      </c>
      <c r="I724" s="11">
        <v>4.9000000000000004</v>
      </c>
      <c r="J724" s="11">
        <v>3</v>
      </c>
      <c r="K724" s="11">
        <v>32.4</v>
      </c>
      <c r="N724" s="11">
        <v>2.2000000000000002</v>
      </c>
      <c r="O724" s="11">
        <v>0.5</v>
      </c>
      <c r="P724" s="11"/>
      <c r="S724" s="11">
        <v>74.5</v>
      </c>
      <c r="U724" s="13"/>
      <c r="V724" s="13"/>
      <c r="W724" s="13"/>
      <c r="X724" s="13"/>
      <c r="Y724" s="9"/>
      <c r="Z724" s="13"/>
      <c r="AA724" s="13"/>
      <c r="AD724" s="13"/>
      <c r="AE724" s="13"/>
      <c r="AF724" s="13"/>
      <c r="AG724" s="13"/>
      <c r="AH724" s="9"/>
      <c r="AI724" s="9"/>
      <c r="AK724" s="13"/>
      <c r="AL724" s="13">
        <f t="shared" si="32"/>
        <v>234.1</v>
      </c>
      <c r="AM724" s="23" t="s">
        <v>964</v>
      </c>
      <c r="AN724" s="13"/>
      <c r="AP724" s="13"/>
      <c r="AQ724" s="13"/>
      <c r="AR724" s="13"/>
    </row>
    <row r="725" spans="1:44" ht="15.75" customHeight="1">
      <c r="A725" s="9" t="s">
        <v>195</v>
      </c>
      <c r="B725" s="9" t="s">
        <v>195</v>
      </c>
      <c r="C725" s="18" t="s">
        <v>913</v>
      </c>
      <c r="D725" s="11">
        <v>113.9</v>
      </c>
      <c r="F725" s="11">
        <v>2.6</v>
      </c>
      <c r="G725" s="11">
        <v>0.1</v>
      </c>
      <c r="H725" s="11">
        <v>2.4</v>
      </c>
      <c r="I725" s="11">
        <v>0.6</v>
      </c>
      <c r="J725" s="11">
        <v>5.2</v>
      </c>
      <c r="K725" s="11">
        <v>15.2</v>
      </c>
      <c r="N725" s="11">
        <v>0.3</v>
      </c>
      <c r="O725" s="11">
        <v>0.1</v>
      </c>
      <c r="P725" s="11"/>
      <c r="S725" s="11">
        <v>80.2</v>
      </c>
      <c r="U725" s="13"/>
      <c r="V725" s="13"/>
      <c r="W725" s="13"/>
      <c r="X725" s="13"/>
      <c r="Y725" s="9"/>
      <c r="Z725" s="13"/>
      <c r="AA725" s="13"/>
      <c r="AD725" s="13"/>
      <c r="AE725" s="13"/>
      <c r="AF725" s="13"/>
      <c r="AG725" s="13"/>
      <c r="AH725" s="9"/>
      <c r="AI725" s="9"/>
      <c r="AK725" s="13"/>
      <c r="AL725" s="13">
        <f t="shared" si="32"/>
        <v>220.60000000000002</v>
      </c>
      <c r="AM725" s="23" t="s">
        <v>965</v>
      </c>
      <c r="AN725" s="13"/>
      <c r="AP725" s="13"/>
      <c r="AQ725" s="13"/>
      <c r="AR725" s="13"/>
    </row>
    <row r="726" spans="1:44" ht="15.75" customHeight="1">
      <c r="A726" s="10" t="s">
        <v>468</v>
      </c>
      <c r="B726" s="9" t="s">
        <v>468</v>
      </c>
      <c r="C726" s="17"/>
      <c r="D726" s="17">
        <f>SUM(D686:D725)</f>
        <v>268370.89999999997</v>
      </c>
      <c r="F726" s="17">
        <f t="shared" ref="F726:K726" si="33">SUM(F686:F725)</f>
        <v>5443.1000000000013</v>
      </c>
      <c r="G726" s="17">
        <f t="shared" si="33"/>
        <v>3888.1999999999989</v>
      </c>
      <c r="H726" s="17">
        <f t="shared" si="33"/>
        <v>3955.4</v>
      </c>
      <c r="I726" s="17">
        <f t="shared" si="33"/>
        <v>2005.2</v>
      </c>
      <c r="J726" s="17">
        <f t="shared" si="33"/>
        <v>1052.7</v>
      </c>
      <c r="K726" s="17">
        <f t="shared" si="33"/>
        <v>5593.699999999998</v>
      </c>
      <c r="N726" s="17">
        <f>SUM(N686:N725)</f>
        <v>1534.6</v>
      </c>
      <c r="O726" s="17">
        <f>SUM(O686:O725)</f>
        <v>1217.0999999999999</v>
      </c>
      <c r="P726" s="17"/>
      <c r="S726" s="17">
        <f>SUM(S686:S725)</f>
        <v>92062.10000000002</v>
      </c>
      <c r="U726" s="18"/>
      <c r="V726" s="18"/>
      <c r="W726" s="18"/>
      <c r="X726" s="18"/>
      <c r="Y726" s="17">
        <f>SUM(Y686:Y725)</f>
        <v>104767.8</v>
      </c>
      <c r="Z726" s="18"/>
      <c r="AA726" s="18"/>
      <c r="AD726" s="18"/>
      <c r="AE726" s="18"/>
      <c r="AF726" s="18"/>
      <c r="AG726" s="18"/>
      <c r="AH726" s="17">
        <f>SUM(AH686:AH725)</f>
        <v>1753.9000000000005</v>
      </c>
      <c r="AI726" s="17">
        <f>SUM(AI686:AI725)</f>
        <v>1699.5</v>
      </c>
      <c r="AK726" s="18"/>
      <c r="AL726" s="17">
        <f>SUM(AL686:AL725)</f>
        <v>385123</v>
      </c>
      <c r="AM726" s="27" t="s">
        <v>966</v>
      </c>
      <c r="AN726" s="13"/>
      <c r="AP726" s="13"/>
      <c r="AQ726" s="13"/>
      <c r="AR726" s="13"/>
    </row>
    <row r="727" spans="1:44" ht="15.75" customHeight="1">
      <c r="A727" s="10"/>
      <c r="B727" s="11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P727" s="11"/>
      <c r="R727" s="18"/>
      <c r="S727" s="11"/>
      <c r="U727" s="18"/>
      <c r="V727" s="18"/>
      <c r="W727" s="18"/>
      <c r="X727" s="18"/>
      <c r="Y727" s="18"/>
      <c r="Z727" s="18"/>
      <c r="AA727" s="18"/>
      <c r="AB727" s="18"/>
      <c r="AC727" s="17"/>
      <c r="AD727" s="18"/>
      <c r="AE727" s="18"/>
      <c r="AF727" s="18"/>
      <c r="AG727" s="18"/>
      <c r="AH727" s="18"/>
      <c r="AL727" s="18"/>
      <c r="AM727" s="27" t="s">
        <v>967</v>
      </c>
      <c r="AN727" s="13"/>
      <c r="AP727" s="13"/>
      <c r="AQ727" s="13"/>
      <c r="AR727" s="13"/>
    </row>
    <row r="728" spans="1:44" ht="15.75" customHeight="1">
      <c r="AN728" s="18"/>
      <c r="AP728" s="13"/>
      <c r="AQ728" s="13"/>
      <c r="AR728" s="13"/>
    </row>
    <row r="729" spans="1:44" ht="15.75" customHeight="1">
      <c r="AN729" s="18"/>
      <c r="AO729" s="18"/>
      <c r="AP729" s="18"/>
      <c r="AQ729" s="18"/>
      <c r="AR729" s="18"/>
    </row>
    <row r="730" spans="1:44" ht="15.75" customHeight="1">
      <c r="AN730" s="18"/>
      <c r="AO730" s="18"/>
      <c r="AP730" s="18"/>
      <c r="AQ730" s="18"/>
      <c r="AR730" s="18"/>
    </row>
    <row r="731" spans="1:44" ht="13">
      <c r="A731" s="13"/>
      <c r="B731" s="13"/>
      <c r="C731" s="18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8"/>
      <c r="AL731" s="18"/>
      <c r="AM731" s="18"/>
      <c r="AN731" s="13"/>
      <c r="AO731" s="13"/>
      <c r="AP731" s="13"/>
      <c r="AQ731" s="13"/>
      <c r="AR731" s="13"/>
    </row>
    <row r="732" spans="1:44" ht="13">
      <c r="A732" s="13"/>
      <c r="B732" s="13"/>
      <c r="C732" s="18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spans="1:44" ht="13">
      <c r="A733" s="13"/>
      <c r="B733" s="13"/>
      <c r="C733" s="18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spans="1:44" ht="13">
      <c r="A734" s="13"/>
      <c r="B734" s="13"/>
      <c r="C734" s="18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spans="1:44" ht="13">
      <c r="A735" s="13"/>
      <c r="B735" s="13"/>
      <c r="C735" s="18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spans="1:44" ht="13">
      <c r="A736" s="13"/>
      <c r="B736" s="13"/>
      <c r="C736" s="18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spans="1:44" ht="13">
      <c r="A737" s="13"/>
      <c r="B737" s="13"/>
      <c r="C737" s="18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spans="1:44" ht="13">
      <c r="A738" s="13"/>
      <c r="B738" s="13"/>
      <c r="C738" s="18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spans="1:44" ht="13">
      <c r="A739" s="13"/>
      <c r="B739" s="13"/>
      <c r="C739" s="18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spans="1:44" ht="13">
      <c r="A740" s="13"/>
      <c r="B740" s="13"/>
      <c r="C740" s="18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spans="1:44" ht="13">
      <c r="A741" s="13"/>
      <c r="B741" s="13"/>
      <c r="C741" s="18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spans="1:44" ht="13">
      <c r="A742" s="13"/>
      <c r="B742" s="13"/>
      <c r="C742" s="18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spans="1:44" ht="13">
      <c r="A743" s="13"/>
      <c r="B743" s="13"/>
      <c r="C743" s="18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spans="1:44" ht="13">
      <c r="A744" s="13"/>
      <c r="B744" s="13"/>
      <c r="C744" s="18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spans="1:44" ht="13">
      <c r="A745" s="13"/>
      <c r="B745" s="13"/>
      <c r="C745" s="18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spans="1:44" ht="13">
      <c r="A746" s="13"/>
      <c r="B746" s="13"/>
      <c r="C746" s="18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spans="1:44" ht="13">
      <c r="A747" s="13"/>
      <c r="B747" s="13"/>
      <c r="C747" s="18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spans="1:44" ht="13">
      <c r="A748" s="13"/>
      <c r="B748" s="13"/>
      <c r="C748" s="18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spans="1:44" ht="13">
      <c r="A749" s="13"/>
      <c r="B749" s="13"/>
      <c r="C749" s="18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spans="1:44" ht="13">
      <c r="A750" s="13"/>
      <c r="B750" s="13"/>
      <c r="C750" s="18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spans="1:44" ht="13">
      <c r="A751" s="13"/>
      <c r="B751" s="13"/>
      <c r="C751" s="18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spans="1:44" ht="13">
      <c r="A752" s="13"/>
      <c r="B752" s="13"/>
      <c r="C752" s="18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spans="1:44" ht="13">
      <c r="A753" s="13"/>
      <c r="B753" s="13"/>
      <c r="C753" s="18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spans="1:44" ht="13">
      <c r="A754" s="13"/>
      <c r="B754" s="13"/>
      <c r="C754" s="18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spans="1:44" ht="13">
      <c r="A755" s="13"/>
      <c r="B755" s="13"/>
      <c r="C755" s="18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spans="1:44" ht="13">
      <c r="A756" s="13"/>
      <c r="B756" s="13"/>
      <c r="C756" s="18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spans="1:44" ht="13">
      <c r="A757" s="13"/>
      <c r="B757" s="13"/>
      <c r="C757" s="18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spans="1:44" ht="13">
      <c r="A758" s="13"/>
      <c r="B758" s="13"/>
      <c r="C758" s="18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spans="1:44" ht="13">
      <c r="A759" s="13"/>
      <c r="B759" s="13"/>
      <c r="C759" s="18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spans="1:44" ht="13">
      <c r="A760" s="13"/>
      <c r="B760" s="13"/>
      <c r="C760" s="18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spans="1:44" ht="13">
      <c r="A761" s="13"/>
      <c r="B761" s="13"/>
      <c r="C761" s="18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spans="1:44" ht="13">
      <c r="A762" s="13"/>
      <c r="B762" s="13"/>
      <c r="C762" s="18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spans="1:44" ht="13">
      <c r="A763" s="13"/>
      <c r="B763" s="13"/>
      <c r="C763" s="18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spans="1:44" ht="13">
      <c r="A764" s="13"/>
      <c r="B764" s="13"/>
      <c r="C764" s="18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spans="1:44" ht="13">
      <c r="A765" s="13"/>
      <c r="B765" s="13"/>
      <c r="C765" s="18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spans="1:44" ht="13">
      <c r="A766" s="13"/>
      <c r="B766" s="13"/>
      <c r="C766" s="18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spans="1:44" ht="13">
      <c r="A767" s="13"/>
      <c r="B767" s="13"/>
      <c r="C767" s="18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spans="1:44" ht="13">
      <c r="A768" s="13"/>
      <c r="B768" s="13"/>
      <c r="C768" s="18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spans="1:44" ht="13">
      <c r="A769" s="13"/>
      <c r="B769" s="13"/>
      <c r="C769" s="18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spans="1:44" ht="13">
      <c r="A770" s="13"/>
      <c r="B770" s="13"/>
      <c r="C770" s="18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spans="1:44" ht="13">
      <c r="A771" s="13"/>
      <c r="B771" s="13"/>
      <c r="C771" s="18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spans="1:44" ht="13">
      <c r="A772" s="13"/>
      <c r="B772" s="13"/>
      <c r="C772" s="18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spans="1:44" ht="13">
      <c r="A773" s="13"/>
      <c r="B773" s="13"/>
      <c r="C773" s="18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spans="1:44" ht="13">
      <c r="A774" s="13"/>
      <c r="B774" s="13"/>
      <c r="C774" s="18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spans="1:44" ht="13">
      <c r="A775" s="13"/>
      <c r="B775" s="13"/>
      <c r="C775" s="18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spans="1:44" ht="13">
      <c r="A776" s="13"/>
      <c r="B776" s="13"/>
      <c r="C776" s="18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spans="1:44" ht="13">
      <c r="A777" s="13"/>
      <c r="B777" s="13"/>
      <c r="C777" s="18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spans="1:44" ht="13">
      <c r="A778" s="13"/>
      <c r="B778" s="13"/>
      <c r="C778" s="18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spans="1:44" ht="13">
      <c r="A779" s="13"/>
      <c r="B779" s="13"/>
      <c r="C779" s="18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spans="1:44" ht="13">
      <c r="A780" s="13"/>
      <c r="B780" s="13"/>
      <c r="C780" s="18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spans="1:44" ht="13">
      <c r="A781" s="13"/>
      <c r="B781" s="13"/>
      <c r="C781" s="18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spans="1:44" ht="13">
      <c r="A782" s="13"/>
      <c r="B782" s="13"/>
      <c r="C782" s="18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spans="1:44" ht="13">
      <c r="A783" s="13"/>
      <c r="B783" s="13"/>
      <c r="C783" s="18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spans="1:44" ht="13">
      <c r="A784" s="13"/>
      <c r="B784" s="13"/>
      <c r="C784" s="18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spans="1:44" ht="13">
      <c r="A785" s="13"/>
      <c r="B785" s="13"/>
      <c r="C785" s="18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spans="1:44" ht="13">
      <c r="A786" s="13"/>
      <c r="B786" s="13"/>
      <c r="C786" s="18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spans="1:44" ht="13">
      <c r="A787" s="13"/>
      <c r="B787" s="13"/>
      <c r="C787" s="18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spans="1:44" ht="13">
      <c r="A788" s="13"/>
      <c r="B788" s="13"/>
      <c r="C788" s="18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spans="1:44" ht="13">
      <c r="A789" s="13"/>
      <c r="B789" s="13"/>
      <c r="C789" s="18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spans="1:44" ht="13">
      <c r="A790" s="13"/>
      <c r="B790" s="13"/>
      <c r="C790" s="18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spans="1:44" ht="13">
      <c r="A791" s="13"/>
      <c r="B791" s="13"/>
      <c r="C791" s="18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spans="1:44" ht="13">
      <c r="A792" s="13"/>
      <c r="B792" s="13"/>
      <c r="C792" s="18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spans="1:44" ht="13">
      <c r="A793" s="13"/>
      <c r="B793" s="13"/>
      <c r="C793" s="18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spans="1:44" ht="13">
      <c r="A794" s="13"/>
      <c r="B794" s="13"/>
      <c r="C794" s="18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spans="1:44" ht="13">
      <c r="A795" s="13"/>
      <c r="B795" s="13"/>
      <c r="C795" s="18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spans="1:44" ht="13">
      <c r="A796" s="13"/>
      <c r="B796" s="13"/>
      <c r="C796" s="18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spans="1:44" ht="13">
      <c r="A797" s="13"/>
      <c r="B797" s="13"/>
      <c r="C797" s="18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spans="1:44" ht="13">
      <c r="A798" s="13"/>
      <c r="B798" s="13"/>
      <c r="C798" s="18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spans="1:44" ht="13">
      <c r="A799" s="13"/>
      <c r="B799" s="13"/>
      <c r="C799" s="18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spans="1:44" ht="13">
      <c r="A800" s="13"/>
      <c r="B800" s="13"/>
      <c r="C800" s="18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spans="1:44" ht="13">
      <c r="A801" s="13"/>
      <c r="B801" s="13"/>
      <c r="C801" s="18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spans="1:44" ht="13">
      <c r="A802" s="13"/>
      <c r="B802" s="13"/>
      <c r="C802" s="18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spans="1:44" ht="13">
      <c r="A803" s="13"/>
      <c r="B803" s="13"/>
      <c r="C803" s="18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spans="1:44" ht="13">
      <c r="A804" s="13"/>
      <c r="B804" s="13"/>
      <c r="C804" s="18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spans="1:44" ht="13">
      <c r="A805" s="13"/>
      <c r="B805" s="13"/>
      <c r="C805" s="18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spans="1:44" ht="13">
      <c r="A806" s="13"/>
      <c r="B806" s="13"/>
      <c r="C806" s="18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spans="1:44" ht="13">
      <c r="A807" s="13"/>
      <c r="B807" s="13"/>
      <c r="C807" s="18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spans="1:44" ht="13">
      <c r="A808" s="13"/>
      <c r="B808" s="13"/>
      <c r="C808" s="18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spans="1:44" ht="13">
      <c r="A809" s="13"/>
      <c r="B809" s="13"/>
      <c r="C809" s="18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spans="1:44" ht="13">
      <c r="A810" s="13"/>
      <c r="B810" s="13"/>
      <c r="C810" s="18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spans="1:44" ht="13">
      <c r="A811" s="13"/>
      <c r="B811" s="13"/>
      <c r="C811" s="18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spans="1:44" ht="13">
      <c r="A812" s="13"/>
      <c r="B812" s="13"/>
      <c r="C812" s="18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spans="1:44" ht="13">
      <c r="A813" s="13"/>
      <c r="B813" s="13"/>
      <c r="C813" s="18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spans="1:44" ht="13">
      <c r="A814" s="13"/>
      <c r="B814" s="13"/>
      <c r="C814" s="18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spans="1:44" ht="13">
      <c r="A815" s="13"/>
      <c r="B815" s="13"/>
      <c r="C815" s="18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spans="1:44" ht="13">
      <c r="A816" s="13"/>
      <c r="B816" s="13"/>
      <c r="C816" s="18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spans="1:44" ht="13">
      <c r="A817" s="13"/>
      <c r="B817" s="13"/>
      <c r="C817" s="18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spans="1:44" ht="13">
      <c r="A818" s="13"/>
      <c r="B818" s="13"/>
      <c r="C818" s="18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spans="1:44" ht="13">
      <c r="A819" s="13"/>
      <c r="B819" s="13"/>
      <c r="C819" s="18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spans="1:44" ht="13">
      <c r="A820" s="13"/>
      <c r="B820" s="13"/>
      <c r="C820" s="18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spans="1:44" ht="13">
      <c r="A821" s="13"/>
      <c r="B821" s="13"/>
      <c r="C821" s="18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spans="1:44" ht="13">
      <c r="A822" s="13"/>
      <c r="B822" s="13"/>
      <c r="C822" s="18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spans="1:44" ht="13">
      <c r="A823" s="13"/>
      <c r="B823" s="13"/>
      <c r="C823" s="18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spans="1:44" ht="13">
      <c r="A824" s="13"/>
      <c r="B824" s="13"/>
      <c r="C824" s="18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spans="1:44" ht="13">
      <c r="A825" s="13"/>
      <c r="B825" s="13"/>
      <c r="C825" s="18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spans="1:44" ht="13">
      <c r="A826" s="13"/>
      <c r="B826" s="13"/>
      <c r="C826" s="18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spans="1:44" ht="13">
      <c r="A827" s="13"/>
      <c r="B827" s="13"/>
      <c r="C827" s="18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spans="1:44" ht="13">
      <c r="A828" s="13"/>
      <c r="B828" s="13"/>
      <c r="C828" s="18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spans="1:44" ht="13">
      <c r="A829" s="13"/>
      <c r="B829" s="13"/>
      <c r="C829" s="18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spans="1:44" ht="13">
      <c r="A830" s="13"/>
      <c r="B830" s="13"/>
      <c r="C830" s="18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spans="1:44" ht="13">
      <c r="A831" s="13"/>
      <c r="B831" s="13"/>
      <c r="C831" s="18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spans="1:44" ht="13">
      <c r="A832" s="13"/>
      <c r="B832" s="13"/>
      <c r="C832" s="18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spans="1:44" ht="13">
      <c r="A833" s="13"/>
      <c r="B833" s="13"/>
      <c r="C833" s="18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spans="1:44" ht="13">
      <c r="A834" s="13"/>
      <c r="B834" s="13"/>
      <c r="C834" s="18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spans="1:44" ht="13">
      <c r="A835" s="13"/>
      <c r="B835" s="13"/>
      <c r="C835" s="18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spans="1:44" ht="13">
      <c r="A836" s="13"/>
      <c r="B836" s="13"/>
      <c r="C836" s="18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spans="1:44" ht="13">
      <c r="A837" s="13"/>
      <c r="B837" s="13"/>
      <c r="C837" s="18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spans="1:44" ht="13">
      <c r="A838" s="13"/>
      <c r="B838" s="13"/>
      <c r="C838" s="18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spans="1:44" ht="13">
      <c r="A839" s="13"/>
      <c r="B839" s="13"/>
      <c r="C839" s="18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spans="1:44" ht="13">
      <c r="A840" s="13"/>
      <c r="B840" s="13"/>
      <c r="C840" s="18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spans="1:44" ht="13">
      <c r="A841" s="13"/>
      <c r="B841" s="13"/>
      <c r="C841" s="18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spans="1:44" ht="13">
      <c r="A842" s="13"/>
      <c r="B842" s="13"/>
      <c r="C842" s="18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spans="1:44" ht="13">
      <c r="A843" s="13"/>
      <c r="B843" s="13"/>
      <c r="C843" s="18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spans="1:44" ht="13">
      <c r="A844" s="13"/>
      <c r="B844" s="13"/>
      <c r="C844" s="18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spans="1:44" ht="13">
      <c r="A845" s="13"/>
      <c r="B845" s="13"/>
      <c r="C845" s="18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spans="1:44" ht="13">
      <c r="A846" s="13"/>
      <c r="B846" s="13"/>
      <c r="C846" s="18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spans="1:44" ht="13">
      <c r="A847" s="13"/>
      <c r="B847" s="13"/>
      <c r="C847" s="18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spans="1:44" ht="13">
      <c r="A848" s="13"/>
      <c r="B848" s="13"/>
      <c r="C848" s="18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spans="1:44" ht="13">
      <c r="A849" s="13"/>
      <c r="B849" s="13"/>
      <c r="C849" s="18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spans="1:44" ht="13">
      <c r="A850" s="13"/>
      <c r="B850" s="13"/>
      <c r="C850" s="18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spans="1:44" ht="13">
      <c r="A851" s="13"/>
      <c r="B851" s="13"/>
      <c r="C851" s="18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spans="1:44" ht="13">
      <c r="A852" s="13"/>
      <c r="B852" s="13"/>
      <c r="C852" s="18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spans="1:44" ht="13">
      <c r="A853" s="13"/>
      <c r="B853" s="13"/>
      <c r="C853" s="18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spans="1:44" ht="13">
      <c r="A854" s="13"/>
      <c r="B854" s="13"/>
      <c r="C854" s="18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spans="1:44" ht="13">
      <c r="A855" s="13"/>
      <c r="B855" s="13"/>
      <c r="C855" s="18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spans="1:44" ht="13">
      <c r="A856" s="13"/>
      <c r="B856" s="13"/>
      <c r="C856" s="18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spans="1:44" ht="13">
      <c r="A857" s="13"/>
      <c r="B857" s="13"/>
      <c r="C857" s="18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spans="1:44" ht="13">
      <c r="A858" s="13"/>
      <c r="B858" s="13"/>
      <c r="C858" s="18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spans="1:44" ht="13">
      <c r="A859" s="13"/>
      <c r="B859" s="13"/>
      <c r="C859" s="18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spans="1:44" ht="13">
      <c r="A860" s="13"/>
      <c r="B860" s="13"/>
      <c r="C860" s="18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spans="1:44" ht="13">
      <c r="A861" s="13"/>
      <c r="B861" s="13"/>
      <c r="C861" s="18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spans="1:44" ht="13">
      <c r="A862" s="13"/>
      <c r="B862" s="13"/>
      <c r="C862" s="18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spans="1:44" ht="13">
      <c r="A863" s="13"/>
      <c r="B863" s="13"/>
      <c r="C863" s="18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spans="1:44" ht="13">
      <c r="A864" s="13"/>
      <c r="B864" s="13"/>
      <c r="C864" s="18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spans="1:44" ht="13">
      <c r="A865" s="13"/>
      <c r="B865" s="13"/>
      <c r="C865" s="18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spans="1:44" ht="13">
      <c r="A866" s="13"/>
      <c r="B866" s="13"/>
      <c r="C866" s="18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spans="1:44" ht="13">
      <c r="A867" s="13"/>
      <c r="B867" s="13"/>
      <c r="C867" s="18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spans="1:44" ht="13">
      <c r="A868" s="13"/>
      <c r="B868" s="13"/>
      <c r="C868" s="18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spans="1:44" ht="13">
      <c r="A869" s="13"/>
      <c r="B869" s="13"/>
      <c r="C869" s="18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spans="1:44" ht="13">
      <c r="A870" s="13"/>
      <c r="B870" s="13"/>
      <c r="C870" s="18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spans="1:44" ht="13">
      <c r="A871" s="13"/>
      <c r="B871" s="13"/>
      <c r="C871" s="18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spans="1:44" ht="13">
      <c r="A872" s="13"/>
      <c r="B872" s="13"/>
      <c r="C872" s="18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spans="1:44" ht="13">
      <c r="A873" s="13"/>
      <c r="B873" s="13"/>
      <c r="C873" s="18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spans="1:44" ht="13">
      <c r="A874" s="13"/>
      <c r="B874" s="13"/>
      <c r="C874" s="18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spans="1:44" ht="13">
      <c r="A875" s="13"/>
      <c r="B875" s="13"/>
      <c r="C875" s="18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spans="1:44" ht="13">
      <c r="A876" s="13"/>
      <c r="B876" s="13"/>
      <c r="C876" s="18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spans="1:44" ht="13">
      <c r="A877" s="13"/>
      <c r="B877" s="13"/>
      <c r="C877" s="18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spans="1:44" ht="13">
      <c r="A878" s="13"/>
      <c r="B878" s="13"/>
      <c r="C878" s="18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spans="1:44" ht="13">
      <c r="A879" s="13"/>
      <c r="B879" s="13"/>
      <c r="C879" s="18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spans="1:44" ht="13">
      <c r="A880" s="13"/>
      <c r="B880" s="13"/>
      <c r="C880" s="18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spans="1:44" ht="13">
      <c r="A881" s="13"/>
      <c r="B881" s="13"/>
      <c r="C881" s="18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spans="1:44" ht="13">
      <c r="A882" s="13"/>
      <c r="B882" s="13"/>
      <c r="C882" s="18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spans="1:44" ht="13">
      <c r="A883" s="13"/>
      <c r="B883" s="13"/>
      <c r="C883" s="18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spans="1:44" ht="13">
      <c r="A884" s="13"/>
      <c r="B884" s="13"/>
      <c r="C884" s="18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spans="1:44" ht="13">
      <c r="A885" s="13"/>
      <c r="B885" s="13"/>
      <c r="C885" s="18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spans="1:44" ht="13">
      <c r="A886" s="13"/>
      <c r="B886" s="13"/>
      <c r="C886" s="18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spans="1:44" ht="13">
      <c r="A887" s="13"/>
      <c r="B887" s="13"/>
      <c r="C887" s="18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spans="1:44" ht="13">
      <c r="A888" s="13"/>
      <c r="B888" s="13"/>
      <c r="C888" s="18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spans="1:44" ht="13">
      <c r="A889" s="13"/>
      <c r="B889" s="13"/>
      <c r="C889" s="18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spans="1:44" ht="13">
      <c r="A890" s="13"/>
      <c r="B890" s="13"/>
      <c r="C890" s="18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spans="1:44" ht="13">
      <c r="A891" s="13"/>
      <c r="B891" s="13"/>
      <c r="C891" s="18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spans="1:44" ht="13">
      <c r="A892" s="13"/>
      <c r="B892" s="13"/>
      <c r="C892" s="18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spans="1:44" ht="13">
      <c r="A893" s="13"/>
      <c r="B893" s="13"/>
      <c r="C893" s="18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spans="1:44" ht="13">
      <c r="A894" s="13"/>
      <c r="B894" s="13"/>
      <c r="C894" s="18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spans="1:44" ht="13">
      <c r="A895" s="13"/>
      <c r="B895" s="13"/>
      <c r="C895" s="18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spans="1:44" ht="13">
      <c r="A896" s="13"/>
      <c r="B896" s="13"/>
      <c r="C896" s="18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spans="1:44" ht="13">
      <c r="A897" s="13"/>
      <c r="B897" s="13"/>
      <c r="C897" s="18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spans="1:44" ht="13">
      <c r="A898" s="13"/>
      <c r="B898" s="13"/>
      <c r="C898" s="18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spans="1:44" ht="13">
      <c r="A899" s="13"/>
      <c r="B899" s="13"/>
      <c r="C899" s="18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spans="1:44" ht="13">
      <c r="A900" s="13"/>
      <c r="B900" s="13"/>
      <c r="C900" s="18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spans="1:44" ht="13">
      <c r="A901" s="13"/>
      <c r="B901" s="13"/>
      <c r="C901" s="18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spans="1:44" ht="13">
      <c r="A902" s="13"/>
      <c r="B902" s="13"/>
      <c r="C902" s="18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spans="1:44" ht="13">
      <c r="A903" s="13"/>
      <c r="B903" s="13"/>
      <c r="C903" s="18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spans="1:44" ht="13">
      <c r="A904" s="13"/>
      <c r="B904" s="13"/>
      <c r="C904" s="18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spans="1:44" ht="13">
      <c r="A905" s="13"/>
      <c r="B905" s="13"/>
      <c r="C905" s="18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spans="1:44" ht="13">
      <c r="A906" s="13"/>
      <c r="B906" s="13"/>
      <c r="C906" s="18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spans="1:44" ht="13">
      <c r="A907" s="13"/>
      <c r="B907" s="13"/>
      <c r="C907" s="18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spans="1:44" ht="13">
      <c r="A908" s="13"/>
      <c r="B908" s="13"/>
      <c r="C908" s="18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spans="1:44" ht="13">
      <c r="A909" s="13"/>
      <c r="B909" s="13"/>
      <c r="C909" s="18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spans="1:44" ht="13">
      <c r="A910" s="13"/>
      <c r="B910" s="13"/>
      <c r="C910" s="18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spans="1:44" ht="13">
      <c r="A911" s="13"/>
      <c r="B911" s="13"/>
      <c r="C911" s="18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spans="1:44" ht="13">
      <c r="A912" s="13"/>
      <c r="B912" s="13"/>
      <c r="C912" s="18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spans="1:44" ht="13">
      <c r="A913" s="13"/>
      <c r="B913" s="13"/>
      <c r="C913" s="18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spans="1:44" ht="13">
      <c r="A914" s="13"/>
      <c r="B914" s="13"/>
      <c r="C914" s="18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spans="1:44" ht="13">
      <c r="A915" s="13"/>
      <c r="B915" s="13"/>
      <c r="C915" s="18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spans="1:44" ht="13">
      <c r="A916" s="13"/>
      <c r="B916" s="13"/>
      <c r="C916" s="18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spans="1:44" ht="13">
      <c r="A917" s="13"/>
      <c r="B917" s="13"/>
      <c r="C917" s="18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spans="1:44" ht="13">
      <c r="A918" s="13"/>
      <c r="B918" s="13"/>
      <c r="C918" s="18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spans="1:44" ht="13">
      <c r="A919" s="13"/>
      <c r="B919" s="13"/>
      <c r="C919" s="18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spans="1:44" ht="13">
      <c r="A920" s="13"/>
      <c r="B920" s="13"/>
      <c r="C920" s="18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spans="1:44" ht="13">
      <c r="A921" s="13"/>
      <c r="B921" s="13"/>
      <c r="C921" s="18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spans="1:44" ht="13">
      <c r="A922" s="13"/>
      <c r="B922" s="13"/>
      <c r="C922" s="18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spans="1:44" ht="13">
      <c r="A923" s="13"/>
      <c r="B923" s="13"/>
      <c r="C923" s="18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spans="1:44" ht="13">
      <c r="A924" s="13"/>
      <c r="B924" s="13"/>
      <c r="C924" s="18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spans="1:44" ht="13">
      <c r="A925" s="13"/>
      <c r="B925" s="13"/>
      <c r="C925" s="18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spans="1:44" ht="13">
      <c r="A926" s="13"/>
      <c r="B926" s="13"/>
      <c r="C926" s="18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spans="1:44" ht="13">
      <c r="A927" s="13"/>
      <c r="B927" s="13"/>
      <c r="C927" s="18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spans="1:44" ht="13">
      <c r="A928" s="13"/>
      <c r="B928" s="13"/>
      <c r="C928" s="18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spans="1:44" ht="13">
      <c r="A929" s="13"/>
      <c r="B929" s="13"/>
      <c r="C929" s="18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spans="1:44" ht="13">
      <c r="A930" s="13"/>
      <c r="B930" s="13"/>
      <c r="C930" s="18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spans="1:44" ht="13">
      <c r="A931" s="13"/>
      <c r="B931" s="13"/>
      <c r="C931" s="18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spans="1:44" ht="13">
      <c r="A932" s="13"/>
      <c r="B932" s="13"/>
      <c r="C932" s="18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spans="1:44" ht="13">
      <c r="A933" s="13"/>
      <c r="B933" s="13"/>
      <c r="C933" s="18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spans="1:44" ht="13">
      <c r="A934" s="13"/>
      <c r="B934" s="13"/>
      <c r="C934" s="18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spans="1:44" ht="13">
      <c r="A935" s="13"/>
      <c r="B935" s="13"/>
      <c r="C935" s="18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spans="1:44" ht="13">
      <c r="A936" s="13"/>
      <c r="B936" s="13"/>
      <c r="C936" s="18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spans="1:44" ht="13">
      <c r="A937" s="13"/>
      <c r="B937" s="13"/>
      <c r="C937" s="18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spans="1:44" ht="13">
      <c r="A938" s="13"/>
      <c r="B938" s="13"/>
      <c r="C938" s="18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spans="1:44" ht="13">
      <c r="A939" s="13"/>
      <c r="B939" s="13"/>
      <c r="C939" s="18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spans="1:44" ht="13">
      <c r="A940" s="13"/>
      <c r="B940" s="13"/>
      <c r="C940" s="18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spans="1:44" ht="13">
      <c r="A941" s="13"/>
      <c r="B941" s="13"/>
      <c r="C941" s="18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spans="1:44" ht="13">
      <c r="A942" s="13"/>
      <c r="B942" s="13"/>
      <c r="C942" s="18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spans="1:44" ht="13">
      <c r="A943" s="13"/>
      <c r="B943" s="13"/>
      <c r="C943" s="18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spans="1:44" ht="13">
      <c r="A944" s="13"/>
      <c r="B944" s="13"/>
      <c r="C944" s="18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spans="1:44" ht="13">
      <c r="A945" s="13"/>
      <c r="B945" s="13"/>
      <c r="C945" s="18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spans="1:44" ht="13">
      <c r="A946" s="13"/>
      <c r="B946" s="13"/>
      <c r="C946" s="18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spans="1:44" ht="13">
      <c r="A947" s="13"/>
      <c r="B947" s="13"/>
      <c r="C947" s="18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spans="1:44" ht="13">
      <c r="A948" s="13"/>
      <c r="B948" s="13"/>
      <c r="C948" s="18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spans="1:44" ht="13">
      <c r="A949" s="13"/>
      <c r="B949" s="13"/>
      <c r="C949" s="18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spans="1:44" ht="13">
      <c r="A950" s="13"/>
      <c r="B950" s="13"/>
      <c r="C950" s="18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spans="1:44" ht="13">
      <c r="A951" s="13"/>
      <c r="B951" s="13"/>
      <c r="C951" s="18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spans="1:44" ht="13">
      <c r="A952" s="13"/>
      <c r="B952" s="13"/>
      <c r="C952" s="18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spans="1:44" ht="13">
      <c r="A953" s="13"/>
      <c r="B953" s="13"/>
      <c r="C953" s="18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spans="1:44" ht="13">
      <c r="A954" s="13"/>
      <c r="B954" s="13"/>
      <c r="C954" s="18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spans="1:44" ht="13">
      <c r="A955" s="13"/>
      <c r="B955" s="13"/>
      <c r="C955" s="18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spans="1:44" ht="13">
      <c r="A956" s="13"/>
      <c r="B956" s="13"/>
      <c r="C956" s="18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spans="1:44" ht="13">
      <c r="A957" s="13"/>
      <c r="B957" s="13"/>
      <c r="C957" s="18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spans="1:44" ht="13">
      <c r="A958" s="13"/>
      <c r="B958" s="13"/>
      <c r="C958" s="18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spans="1:44" ht="13">
      <c r="A959" s="13"/>
      <c r="B959" s="13"/>
      <c r="C959" s="18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spans="1:44" ht="13">
      <c r="A960" s="13"/>
      <c r="B960" s="13"/>
      <c r="C960" s="18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spans="1:44" ht="13">
      <c r="A961" s="13"/>
      <c r="B961" s="13"/>
      <c r="C961" s="18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spans="1:44" ht="13">
      <c r="A962" s="13"/>
      <c r="B962" s="13"/>
      <c r="C962" s="18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spans="1:44" ht="13">
      <c r="A963" s="13"/>
      <c r="B963" s="13"/>
      <c r="C963" s="18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spans="1:44" ht="13">
      <c r="A964" s="13"/>
      <c r="B964" s="13"/>
      <c r="C964" s="18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spans="1:44" ht="13">
      <c r="A965" s="13"/>
      <c r="B965" s="13"/>
      <c r="C965" s="18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spans="1:44" ht="13">
      <c r="A966" s="13"/>
      <c r="B966" s="13"/>
      <c r="C966" s="18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spans="1:44" ht="13">
      <c r="A967" s="13"/>
      <c r="B967" s="13"/>
      <c r="C967" s="18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spans="1:44" ht="13">
      <c r="A968" s="13"/>
      <c r="B968" s="13"/>
      <c r="C968" s="18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spans="1:44" ht="13">
      <c r="A969" s="13"/>
      <c r="B969" s="13"/>
      <c r="C969" s="18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spans="1:44" ht="13">
      <c r="A970" s="13"/>
      <c r="B970" s="13"/>
      <c r="C970" s="18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spans="1:44" ht="13">
      <c r="A971" s="13"/>
      <c r="B971" s="13"/>
      <c r="C971" s="18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spans="1:44" ht="13">
      <c r="A972" s="13"/>
      <c r="B972" s="13"/>
      <c r="C972" s="18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spans="1:44" ht="13">
      <c r="A973" s="13"/>
      <c r="B973" s="13"/>
      <c r="C973" s="18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spans="1:44" ht="13">
      <c r="A974" s="13"/>
      <c r="B974" s="13"/>
      <c r="C974" s="18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spans="1:44" ht="13">
      <c r="A975" s="13"/>
      <c r="B975" s="13"/>
      <c r="C975" s="18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spans="1:44" ht="13">
      <c r="A976" s="13"/>
      <c r="B976" s="13"/>
      <c r="C976" s="18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spans="1:44" ht="13">
      <c r="A977" s="13"/>
      <c r="B977" s="13"/>
      <c r="C977" s="18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spans="1:44" ht="13">
      <c r="A978" s="13"/>
      <c r="B978" s="13"/>
      <c r="C978" s="18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spans="1:44" ht="13">
      <c r="A979" s="13"/>
      <c r="B979" s="13"/>
      <c r="C979" s="18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spans="1:44" ht="13">
      <c r="A980" s="13"/>
      <c r="B980" s="13"/>
      <c r="C980" s="18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spans="1:44" ht="13">
      <c r="A981" s="13"/>
      <c r="B981" s="13"/>
      <c r="C981" s="18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spans="1:44" ht="13">
      <c r="A982" s="13"/>
      <c r="B982" s="13"/>
      <c r="C982" s="18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spans="1:44" ht="13">
      <c r="A983" s="13"/>
      <c r="B983" s="13"/>
      <c r="C983" s="18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spans="1:44" ht="13">
      <c r="A984" s="13"/>
      <c r="B984" s="13"/>
      <c r="C984" s="18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spans="1:44" ht="13">
      <c r="A985" s="13"/>
      <c r="B985" s="13"/>
      <c r="C985" s="18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spans="1:44" ht="13">
      <c r="A986" s="13"/>
      <c r="B986" s="13"/>
      <c r="C986" s="18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spans="1:44" ht="13">
      <c r="A987" s="13"/>
      <c r="B987" s="13"/>
      <c r="C987" s="18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spans="1:44" ht="13">
      <c r="A988" s="13"/>
      <c r="B988" s="13"/>
      <c r="C988" s="18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spans="1:44" ht="13">
      <c r="A989" s="13"/>
      <c r="B989" s="13"/>
      <c r="C989" s="18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spans="1:44" ht="13">
      <c r="A990" s="13"/>
      <c r="B990" s="13"/>
      <c r="C990" s="18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spans="1:44" ht="13">
      <c r="A991" s="13"/>
      <c r="B991" s="13"/>
      <c r="C991" s="18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spans="1:44" ht="13">
      <c r="A992" s="13"/>
      <c r="B992" s="13"/>
      <c r="C992" s="18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spans="1:44" ht="13">
      <c r="A993" s="13"/>
      <c r="B993" s="13"/>
      <c r="C993" s="18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spans="1:44" ht="13">
      <c r="A994" s="13"/>
      <c r="B994" s="13"/>
      <c r="C994" s="18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spans="1:44" ht="13">
      <c r="A995" s="13"/>
      <c r="B995" s="13"/>
      <c r="C995" s="18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spans="1:44" ht="13">
      <c r="A996" s="13"/>
      <c r="B996" s="13"/>
      <c r="C996" s="18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spans="1:44" ht="13">
      <c r="A997" s="13"/>
      <c r="B997" s="13"/>
      <c r="C997" s="18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</row>
    <row r="998" spans="1:44" ht="13">
      <c r="A998" s="13"/>
      <c r="B998" s="13"/>
      <c r="C998" s="18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</row>
    <row r="999" spans="1:44" ht="13">
      <c r="A999" s="13"/>
      <c r="B999" s="13"/>
      <c r="C999" s="18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</row>
    <row r="1000" spans="1:44" ht="13">
      <c r="A1000" s="13"/>
      <c r="B1000" s="13"/>
      <c r="C1000" s="18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</row>
    <row r="1001" spans="1:44" ht="13">
      <c r="A1001" s="13"/>
      <c r="B1001" s="13"/>
      <c r="C1001" s="18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</row>
    <row r="1002" spans="1:44" ht="13">
      <c r="A1002" s="13"/>
      <c r="B1002" s="13"/>
      <c r="C1002" s="18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</row>
    <row r="1003" spans="1:44" ht="13">
      <c r="A1003" s="13"/>
      <c r="B1003" s="13"/>
      <c r="C1003" s="18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</row>
    <row r="1004" spans="1:44" ht="13">
      <c r="A1004" s="13"/>
      <c r="B1004" s="13"/>
      <c r="C1004" s="18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</row>
    <row r="1005" spans="1:44" ht="13">
      <c r="A1005" s="13"/>
      <c r="B1005" s="13"/>
      <c r="C1005" s="18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</row>
    <row r="1006" spans="1:44" ht="13">
      <c r="A1006" s="13"/>
      <c r="B1006" s="13"/>
      <c r="C1006" s="18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</row>
    <row r="1007" spans="1:44" ht="13">
      <c r="A1007" s="13"/>
      <c r="B1007" s="13"/>
      <c r="C1007" s="18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</row>
    <row r="1008" spans="1:44" ht="13">
      <c r="A1008" s="13"/>
      <c r="B1008" s="13"/>
      <c r="C1008" s="18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</row>
    <row r="1009" spans="1:44" ht="13">
      <c r="A1009" s="13"/>
      <c r="B1009" s="13"/>
      <c r="C1009" s="18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</row>
    <row r="1010" spans="1:44" ht="13">
      <c r="A1010" s="13"/>
      <c r="B1010" s="13"/>
      <c r="C1010" s="18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</row>
    <row r="1011" spans="1:44" ht="13">
      <c r="A1011" s="13"/>
      <c r="B1011" s="13"/>
      <c r="C1011" s="18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</row>
    <row r="1012" spans="1:44" ht="13">
      <c r="A1012" s="13"/>
      <c r="B1012" s="13"/>
      <c r="C1012" s="18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</row>
    <row r="1013" spans="1:44" ht="13">
      <c r="A1013" s="13"/>
      <c r="B1013" s="13"/>
      <c r="C1013" s="18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</row>
    <row r="1014" spans="1:44" ht="13">
      <c r="A1014" s="13"/>
      <c r="B1014" s="13"/>
      <c r="C1014" s="18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</row>
    <row r="1015" spans="1:44" ht="13">
      <c r="A1015" s="13"/>
      <c r="B1015" s="13"/>
      <c r="C1015" s="18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</row>
    <row r="1016" spans="1:44" ht="13">
      <c r="A1016" s="13"/>
      <c r="B1016" s="13"/>
      <c r="C1016" s="18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</row>
    <row r="1017" spans="1:44" ht="13">
      <c r="A1017" s="13"/>
      <c r="B1017" s="13"/>
      <c r="C1017" s="18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</row>
    <row r="1018" spans="1:44" ht="13">
      <c r="A1018" s="13"/>
      <c r="B1018" s="13"/>
      <c r="C1018" s="18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</row>
    <row r="1019" spans="1:44" ht="13">
      <c r="A1019" s="13"/>
      <c r="B1019" s="13"/>
      <c r="C1019" s="18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</row>
    <row r="1020" spans="1:44" ht="13">
      <c r="A1020" s="13"/>
      <c r="B1020" s="13"/>
      <c r="C1020" s="18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</row>
    <row r="1021" spans="1:44" ht="13">
      <c r="A1021" s="13"/>
      <c r="B1021" s="13"/>
      <c r="C1021" s="18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</row>
    <row r="1022" spans="1:44" ht="13">
      <c r="A1022" s="13"/>
      <c r="B1022" s="13"/>
      <c r="C1022" s="18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</row>
    <row r="1023" spans="1:44" ht="13">
      <c r="A1023" s="13"/>
      <c r="B1023" s="13"/>
      <c r="C1023" s="18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</row>
    <row r="1024" spans="1:44" ht="13">
      <c r="A1024" s="13"/>
      <c r="B1024" s="13"/>
      <c r="C1024" s="18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</row>
    <row r="1025" spans="1:44" ht="13">
      <c r="A1025" s="13"/>
      <c r="B1025" s="13"/>
      <c r="C1025" s="18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</row>
    <row r="1026" spans="1:44" ht="13">
      <c r="A1026" s="13"/>
      <c r="B1026" s="13"/>
      <c r="C1026" s="18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</row>
    <row r="1027" spans="1:44" ht="13">
      <c r="A1027" s="13"/>
      <c r="B1027" s="13"/>
      <c r="C1027" s="18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</row>
    <row r="1028" spans="1:44" ht="13">
      <c r="A1028" s="13"/>
      <c r="B1028" s="13"/>
      <c r="C1028" s="18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</row>
    <row r="1029" spans="1:44" ht="13">
      <c r="A1029" s="13"/>
      <c r="B1029" s="13"/>
      <c r="C1029" s="18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</row>
    <row r="1030" spans="1:44" ht="13">
      <c r="A1030" s="13"/>
      <c r="B1030" s="13"/>
      <c r="C1030" s="18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</row>
    <row r="1031" spans="1:44" ht="13">
      <c r="A1031" s="13"/>
      <c r="B1031" s="13"/>
      <c r="C1031" s="18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</row>
    <row r="1032" spans="1:44" ht="13">
      <c r="A1032" s="13"/>
      <c r="B1032" s="13"/>
      <c r="C1032" s="18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</row>
    <row r="1033" spans="1:44" ht="13">
      <c r="A1033" s="13"/>
      <c r="B1033" s="13"/>
      <c r="C1033" s="18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</row>
    <row r="1034" spans="1:44" ht="13">
      <c r="A1034" s="13"/>
      <c r="B1034" s="13"/>
      <c r="C1034" s="18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</row>
    <row r="1035" spans="1:44" ht="13">
      <c r="A1035" s="13"/>
      <c r="B1035" s="13"/>
      <c r="C1035" s="18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</row>
    <row r="1036" spans="1:44" ht="13">
      <c r="A1036" s="13"/>
      <c r="B1036" s="13"/>
      <c r="C1036" s="18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</row>
    <row r="1037" spans="1:44" ht="13">
      <c r="A1037" s="13"/>
      <c r="B1037" s="13"/>
      <c r="C1037" s="18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</row>
    <row r="1038" spans="1:44" ht="13">
      <c r="A1038" s="13"/>
      <c r="B1038" s="13"/>
      <c r="C1038" s="18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</row>
    <row r="1039" spans="1:44" ht="13">
      <c r="A1039" s="13"/>
      <c r="B1039" s="13"/>
      <c r="C1039" s="18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</row>
    <row r="1040" spans="1:44" ht="13">
      <c r="A1040" s="13"/>
      <c r="B1040" s="13"/>
      <c r="C1040" s="18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</row>
    <row r="1041" spans="1:44" ht="13">
      <c r="A1041" s="13"/>
      <c r="B1041" s="13"/>
      <c r="C1041" s="18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</row>
    <row r="1042" spans="1:44" ht="13">
      <c r="A1042" s="13"/>
      <c r="B1042" s="13"/>
      <c r="C1042" s="18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</row>
    <row r="1043" spans="1:44" ht="13">
      <c r="A1043" s="13"/>
      <c r="B1043" s="13"/>
      <c r="C1043" s="18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</row>
    <row r="1044" spans="1:44" ht="13">
      <c r="A1044" s="13"/>
      <c r="B1044" s="13"/>
      <c r="C1044" s="18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</row>
    <row r="1045" spans="1:44" ht="13">
      <c r="A1045" s="13"/>
      <c r="B1045" s="13"/>
      <c r="C1045" s="18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</row>
    <row r="1046" spans="1:44" ht="13">
      <c r="A1046" s="13"/>
      <c r="B1046" s="13"/>
      <c r="C1046" s="18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</row>
    <row r="1047" spans="1:44" ht="13">
      <c r="A1047" s="13"/>
      <c r="B1047" s="13"/>
      <c r="C1047" s="18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</row>
    <row r="1048" spans="1:44" ht="13">
      <c r="A1048" s="13"/>
      <c r="B1048" s="13"/>
      <c r="C1048" s="18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</row>
    <row r="1049" spans="1:44" ht="13">
      <c r="A1049" s="13"/>
      <c r="B1049" s="13"/>
      <c r="C1049" s="18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</row>
    <row r="1050" spans="1:44" ht="13">
      <c r="A1050" s="13"/>
      <c r="B1050" s="13"/>
      <c r="C1050" s="18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</row>
    <row r="1051" spans="1:44" ht="13">
      <c r="A1051" s="13"/>
      <c r="B1051" s="13"/>
      <c r="C1051" s="18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</row>
    <row r="1052" spans="1:44" ht="13">
      <c r="A1052" s="13"/>
      <c r="B1052" s="13"/>
      <c r="C1052" s="18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</row>
    <row r="1053" spans="1:44" ht="13">
      <c r="A1053" s="13"/>
      <c r="B1053" s="13"/>
      <c r="C1053" s="18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</row>
    <row r="1054" spans="1:44" ht="13">
      <c r="A1054" s="13"/>
      <c r="B1054" s="13"/>
      <c r="C1054" s="18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</row>
    <row r="1055" spans="1:44" ht="13">
      <c r="A1055" s="13"/>
      <c r="B1055" s="13"/>
      <c r="C1055" s="18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</row>
    <row r="1056" spans="1:44" ht="13">
      <c r="A1056" s="13"/>
      <c r="B1056" s="13"/>
      <c r="C1056" s="18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</row>
    <row r="1057" spans="1:44" ht="13">
      <c r="A1057" s="13"/>
      <c r="B1057" s="13"/>
      <c r="C1057" s="18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</row>
    <row r="1058" spans="1:44" ht="13">
      <c r="A1058" s="13"/>
      <c r="B1058" s="13"/>
      <c r="C1058" s="18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</row>
    <row r="1059" spans="1:44" ht="13">
      <c r="A1059" s="13"/>
      <c r="B1059" s="13"/>
      <c r="C1059" s="18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</row>
    <row r="1060" spans="1:44" ht="13">
      <c r="A1060" s="13"/>
      <c r="B1060" s="13"/>
      <c r="C1060" s="18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</row>
    <row r="1061" spans="1:44" ht="13">
      <c r="A1061" s="13"/>
      <c r="B1061" s="13"/>
      <c r="C1061" s="18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</row>
    <row r="1062" spans="1:44" ht="13">
      <c r="A1062" s="13"/>
      <c r="B1062" s="13"/>
      <c r="C1062" s="18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</row>
    <row r="1063" spans="1:44" ht="13">
      <c r="A1063" s="13"/>
      <c r="B1063" s="13"/>
      <c r="C1063" s="18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</row>
    <row r="1064" spans="1:44" ht="13">
      <c r="A1064" s="13"/>
      <c r="B1064" s="13"/>
      <c r="C1064" s="18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</row>
    <row r="1065" spans="1:44" ht="13">
      <c r="A1065" s="13"/>
      <c r="B1065" s="13"/>
      <c r="C1065" s="18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</row>
    <row r="1066" spans="1:44" ht="13">
      <c r="A1066" s="13"/>
      <c r="B1066" s="13"/>
      <c r="C1066" s="18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</row>
    <row r="1067" spans="1:44" ht="13">
      <c r="A1067" s="13"/>
      <c r="B1067" s="13"/>
      <c r="C1067" s="18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</row>
    <row r="1068" spans="1:44" ht="13">
      <c r="A1068" s="13"/>
      <c r="B1068" s="13"/>
      <c r="C1068" s="18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</row>
    <row r="1069" spans="1:44" ht="13">
      <c r="A1069" s="13"/>
      <c r="B1069" s="13"/>
      <c r="C1069" s="18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</row>
    <row r="1070" spans="1:44" ht="13">
      <c r="A1070" s="13"/>
      <c r="B1070" s="13"/>
      <c r="C1070" s="18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</row>
    <row r="1071" spans="1:44" ht="13">
      <c r="A1071" s="13"/>
      <c r="B1071" s="13"/>
      <c r="C1071" s="18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</row>
    <row r="1072" spans="1:44" ht="13">
      <c r="A1072" s="13"/>
      <c r="B1072" s="13"/>
      <c r="C1072" s="18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</row>
    <row r="1073" spans="1:44" ht="13">
      <c r="A1073" s="13"/>
      <c r="B1073" s="13"/>
      <c r="C1073" s="18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</row>
    <row r="1074" spans="1:44" ht="13">
      <c r="A1074" s="13"/>
      <c r="B1074" s="13"/>
      <c r="C1074" s="18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</row>
    <row r="1075" spans="1:44" ht="13">
      <c r="A1075" s="13"/>
      <c r="B1075" s="13"/>
      <c r="C1075" s="18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</row>
    <row r="1076" spans="1:44" ht="13">
      <c r="A1076" s="13"/>
      <c r="B1076" s="13"/>
      <c r="C1076" s="18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</row>
    <row r="1077" spans="1:44" ht="13">
      <c r="A1077" s="13"/>
      <c r="B1077" s="13"/>
      <c r="C1077" s="18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</row>
    <row r="1078" spans="1:44" ht="13">
      <c r="A1078" s="13"/>
      <c r="B1078" s="13"/>
      <c r="C1078" s="18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</row>
    <row r="1079" spans="1:44" ht="13">
      <c r="A1079" s="13"/>
      <c r="B1079" s="13"/>
      <c r="C1079" s="18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</row>
    <row r="1080" spans="1:44" ht="13">
      <c r="A1080" s="13"/>
      <c r="B1080" s="13"/>
      <c r="C1080" s="18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</row>
    <row r="1081" spans="1:44" ht="13">
      <c r="A1081" s="13"/>
      <c r="B1081" s="13"/>
      <c r="C1081" s="18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</row>
    <row r="1082" spans="1:44" ht="13">
      <c r="A1082" s="13"/>
      <c r="B1082" s="13"/>
      <c r="C1082" s="18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</row>
    <row r="1083" spans="1:44" ht="13">
      <c r="A1083" s="13"/>
      <c r="B1083" s="13"/>
      <c r="C1083" s="18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</row>
    <row r="1084" spans="1:44" ht="13">
      <c r="A1084" s="13"/>
      <c r="B1084" s="13"/>
      <c r="C1084" s="18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</row>
    <row r="1085" spans="1:44" ht="13">
      <c r="A1085" s="13"/>
      <c r="B1085" s="13"/>
      <c r="C1085" s="18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</row>
    <row r="1086" spans="1:44" ht="13">
      <c r="A1086" s="13"/>
      <c r="B1086" s="13"/>
      <c r="C1086" s="18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</row>
    <row r="1087" spans="1:44" ht="13">
      <c r="A1087" s="13"/>
      <c r="B1087" s="13"/>
      <c r="C1087" s="18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</row>
    <row r="1088" spans="1:44" ht="13">
      <c r="A1088" s="13"/>
      <c r="B1088" s="13"/>
      <c r="C1088" s="18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</row>
    <row r="1089" spans="1:44" ht="13">
      <c r="A1089" s="13"/>
      <c r="B1089" s="13"/>
      <c r="C1089" s="18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</row>
    <row r="1090" spans="1:44" ht="13">
      <c r="A1090" s="13"/>
      <c r="B1090" s="13"/>
      <c r="C1090" s="18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</row>
    <row r="1091" spans="1:44" ht="13">
      <c r="A1091" s="13"/>
      <c r="B1091" s="13"/>
      <c r="C1091" s="18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</row>
    <row r="1092" spans="1:44" ht="13">
      <c r="A1092" s="13"/>
      <c r="B1092" s="13"/>
      <c r="C1092" s="18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</row>
    <row r="1093" spans="1:44" ht="13">
      <c r="A1093" s="13"/>
      <c r="B1093" s="13"/>
      <c r="C1093" s="18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</row>
    <row r="1094" spans="1:44" ht="13">
      <c r="A1094" s="13"/>
      <c r="B1094" s="13"/>
      <c r="C1094" s="18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</row>
    <row r="1095" spans="1:44" ht="13">
      <c r="A1095" s="13"/>
      <c r="B1095" s="13"/>
      <c r="C1095" s="18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</row>
    <row r="1096" spans="1:44" ht="13">
      <c r="A1096" s="13"/>
      <c r="B1096" s="13"/>
      <c r="C1096" s="18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</row>
    <row r="1097" spans="1:44" ht="13">
      <c r="A1097" s="13"/>
      <c r="B1097" s="13"/>
      <c r="C1097" s="18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</row>
    <row r="1098" spans="1:44" ht="13">
      <c r="A1098" s="13"/>
      <c r="B1098" s="13"/>
      <c r="C1098" s="18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</row>
    <row r="1099" spans="1:44" ht="13">
      <c r="A1099" s="13"/>
      <c r="B1099" s="13"/>
      <c r="C1099" s="18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</row>
    <row r="1100" spans="1:44" ht="13">
      <c r="A1100" s="13"/>
      <c r="B1100" s="13"/>
      <c r="C1100" s="18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</row>
    <row r="1101" spans="1:44" ht="13">
      <c r="A1101" s="13"/>
      <c r="B1101" s="13"/>
      <c r="C1101" s="18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</row>
    <row r="1102" spans="1:44" ht="13">
      <c r="A1102" s="13"/>
      <c r="B1102" s="13"/>
      <c r="C1102" s="18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</row>
    <row r="1103" spans="1:44" ht="13">
      <c r="A1103" s="13"/>
      <c r="B1103" s="13"/>
      <c r="C1103" s="18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</row>
    <row r="1104" spans="1:44" ht="13">
      <c r="A1104" s="13"/>
      <c r="B1104" s="13"/>
      <c r="C1104" s="18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</row>
    <row r="1105" spans="1:44" ht="13">
      <c r="A1105" s="13"/>
      <c r="B1105" s="13"/>
      <c r="C1105" s="18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</row>
    <row r="1106" spans="1:44" ht="13">
      <c r="A1106" s="13"/>
      <c r="B1106" s="13"/>
      <c r="C1106" s="18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</row>
    <row r="1107" spans="1:44" ht="13">
      <c r="A1107" s="13"/>
      <c r="B1107" s="13"/>
      <c r="C1107" s="18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</row>
    <row r="1108" spans="1:44" ht="13">
      <c r="A1108" s="13"/>
      <c r="B1108" s="13"/>
      <c r="C1108" s="18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</row>
    <row r="1109" spans="1:44" ht="13">
      <c r="A1109" s="13"/>
      <c r="B1109" s="13"/>
      <c r="C1109" s="18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</row>
    <row r="1110" spans="1:44" ht="13">
      <c r="A1110" s="13"/>
      <c r="B1110" s="13"/>
      <c r="C1110" s="18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</row>
    <row r="1111" spans="1:44" ht="13">
      <c r="A1111" s="13"/>
      <c r="B1111" s="13"/>
      <c r="C1111" s="18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</row>
    <row r="1112" spans="1:44" ht="13">
      <c r="A1112" s="13"/>
      <c r="B1112" s="13"/>
      <c r="C1112" s="18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</row>
    <row r="1113" spans="1:44" ht="13">
      <c r="A1113" s="13"/>
      <c r="B1113" s="13"/>
      <c r="C1113" s="18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</row>
    <row r="1114" spans="1:44" ht="13">
      <c r="A1114" s="13"/>
      <c r="B1114" s="13"/>
      <c r="C1114" s="18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</row>
    <row r="1115" spans="1:44" ht="13">
      <c r="A1115" s="13"/>
      <c r="B1115" s="13"/>
      <c r="C1115" s="18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</row>
    <row r="1116" spans="1:44" ht="13">
      <c r="A1116" s="13"/>
      <c r="B1116" s="13"/>
      <c r="C1116" s="18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</row>
    <row r="1117" spans="1:44" ht="13">
      <c r="A1117" s="13"/>
      <c r="B1117" s="13"/>
      <c r="C1117" s="18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</row>
    <row r="1118" spans="1:44" ht="13">
      <c r="A1118" s="13"/>
      <c r="B1118" s="13"/>
      <c r="C1118" s="18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</row>
    <row r="1119" spans="1:44" ht="13">
      <c r="A1119" s="13"/>
      <c r="B1119" s="13"/>
      <c r="C1119" s="18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</row>
    <row r="1120" spans="1:44" ht="13">
      <c r="A1120" s="13"/>
      <c r="B1120" s="13"/>
      <c r="C1120" s="18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</row>
    <row r="1121" spans="1:44" ht="13">
      <c r="A1121" s="13"/>
      <c r="B1121" s="13"/>
      <c r="C1121" s="18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</row>
    <row r="1122" spans="1:44" ht="13">
      <c r="A1122" s="13"/>
      <c r="B1122" s="13"/>
      <c r="C1122" s="18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</row>
    <row r="1123" spans="1:44" ht="13">
      <c r="A1123" s="13"/>
      <c r="B1123" s="13"/>
      <c r="C1123" s="18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</row>
    <row r="1124" spans="1:44" ht="13">
      <c r="A1124" s="13"/>
      <c r="B1124" s="13"/>
      <c r="C1124" s="18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</row>
    <row r="1125" spans="1:44" ht="13">
      <c r="A1125" s="13"/>
      <c r="B1125" s="13"/>
      <c r="C1125" s="18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</row>
    <row r="1126" spans="1:44" ht="13">
      <c r="A1126" s="13"/>
      <c r="B1126" s="13"/>
      <c r="C1126" s="18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</row>
    <row r="1127" spans="1:44" ht="13">
      <c r="A1127" s="13"/>
      <c r="B1127" s="13"/>
      <c r="C1127" s="18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</row>
    <row r="1128" spans="1:44" ht="13">
      <c r="A1128" s="13"/>
      <c r="B1128" s="13"/>
      <c r="C1128" s="18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</row>
    <row r="1129" spans="1:44" ht="13">
      <c r="A1129" s="13"/>
      <c r="B1129" s="13"/>
      <c r="C1129" s="18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</row>
    <row r="1130" spans="1:44" ht="13">
      <c r="A1130" s="13"/>
      <c r="B1130" s="13"/>
      <c r="C1130" s="18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</row>
    <row r="1131" spans="1:44" ht="13">
      <c r="A1131" s="13"/>
      <c r="B1131" s="13"/>
      <c r="C1131" s="18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</row>
    <row r="1132" spans="1:44" ht="13">
      <c r="A1132" s="13"/>
      <c r="B1132" s="13"/>
      <c r="C1132" s="18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</row>
    <row r="1133" spans="1:44" ht="13">
      <c r="A1133" s="13"/>
      <c r="B1133" s="13"/>
      <c r="C1133" s="18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</row>
    <row r="1134" spans="1:44" ht="13">
      <c r="A1134" s="13"/>
      <c r="B1134" s="13"/>
      <c r="C1134" s="18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</row>
    <row r="1135" spans="1:44" ht="13">
      <c r="A1135" s="13"/>
      <c r="B1135" s="13"/>
      <c r="C1135" s="18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</row>
    <row r="1136" spans="1:44" ht="13">
      <c r="A1136" s="13"/>
      <c r="B1136" s="13"/>
      <c r="C1136" s="18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</row>
    <row r="1137" spans="1:44" ht="13">
      <c r="A1137" s="13"/>
      <c r="B1137" s="13"/>
      <c r="C1137" s="18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</row>
    <row r="1138" spans="1:44" ht="13">
      <c r="A1138" s="13"/>
      <c r="B1138" s="13"/>
      <c r="C1138" s="18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</row>
    <row r="1139" spans="1:44" ht="13">
      <c r="A1139" s="13"/>
      <c r="B1139" s="13"/>
      <c r="C1139" s="18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</row>
    <row r="1140" spans="1:44" ht="13">
      <c r="A1140" s="13"/>
      <c r="B1140" s="13"/>
      <c r="C1140" s="18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</row>
    <row r="1141" spans="1:44" ht="13">
      <c r="A1141" s="13"/>
      <c r="B1141" s="13"/>
      <c r="C1141" s="18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</row>
    <row r="1142" spans="1:44" ht="13">
      <c r="A1142" s="13"/>
      <c r="B1142" s="13"/>
      <c r="C1142" s="18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</row>
    <row r="1143" spans="1:44" ht="13">
      <c r="A1143" s="13"/>
      <c r="B1143" s="13"/>
      <c r="C1143" s="18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</row>
    <row r="1144" spans="1:44" ht="13">
      <c r="A1144" s="13"/>
      <c r="B1144" s="13"/>
      <c r="C1144" s="18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</row>
    <row r="1145" spans="1:44" ht="13">
      <c r="A1145" s="13"/>
      <c r="B1145" s="13"/>
      <c r="C1145" s="18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</row>
    <row r="1146" spans="1:44" ht="13">
      <c r="A1146" s="13"/>
      <c r="B1146" s="13"/>
      <c r="C1146" s="18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</row>
    <row r="1147" spans="1:44" ht="13">
      <c r="A1147" s="13"/>
      <c r="B1147" s="13"/>
      <c r="C1147" s="18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</row>
    <row r="1148" spans="1:44" ht="13">
      <c r="A1148" s="13"/>
      <c r="B1148" s="13"/>
      <c r="C1148" s="18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</row>
    <row r="1149" spans="1:44" ht="13">
      <c r="A1149" s="13"/>
      <c r="B1149" s="13"/>
      <c r="C1149" s="18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</row>
    <row r="1150" spans="1:44" ht="13">
      <c r="A1150" s="13"/>
      <c r="B1150" s="13"/>
      <c r="C1150" s="18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</row>
    <row r="1151" spans="1:44" ht="13">
      <c r="A1151" s="13"/>
      <c r="B1151" s="13"/>
      <c r="C1151" s="18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</row>
    <row r="1152" spans="1:44" ht="13">
      <c r="A1152" s="13"/>
      <c r="B1152" s="13"/>
      <c r="C1152" s="18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</row>
    <row r="1153" spans="1:44" ht="13">
      <c r="A1153" s="13"/>
      <c r="B1153" s="13"/>
      <c r="C1153" s="18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</row>
    <row r="1154" spans="1:44" ht="13">
      <c r="A1154" s="13"/>
      <c r="B1154" s="13"/>
      <c r="C1154" s="18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</row>
    <row r="1155" spans="1:44" ht="13">
      <c r="A1155" s="13"/>
      <c r="B1155" s="13"/>
      <c r="C1155" s="18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</row>
    <row r="1156" spans="1:44" ht="13">
      <c r="A1156" s="13"/>
      <c r="B1156" s="13"/>
      <c r="C1156" s="18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</row>
    <row r="1157" spans="1:44" ht="13">
      <c r="A1157" s="13"/>
      <c r="B1157" s="13"/>
      <c r="C1157" s="18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</row>
    <row r="1158" spans="1:44" ht="13">
      <c r="A1158" s="13"/>
      <c r="B1158" s="13"/>
      <c r="C1158" s="18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</row>
    <row r="1159" spans="1:44" ht="13">
      <c r="A1159" s="13"/>
      <c r="B1159" s="13"/>
      <c r="C1159" s="18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</row>
    <row r="1160" spans="1:44" ht="13">
      <c r="A1160" s="13"/>
      <c r="B1160" s="13"/>
      <c r="C1160" s="18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</row>
    <row r="1161" spans="1:44" ht="13">
      <c r="A1161" s="13"/>
      <c r="B1161" s="13"/>
      <c r="C1161" s="18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</row>
    <row r="1162" spans="1:44" ht="13">
      <c r="A1162" s="13"/>
      <c r="B1162" s="13"/>
      <c r="C1162" s="18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</row>
    <row r="1163" spans="1:44" ht="13">
      <c r="A1163" s="13"/>
      <c r="B1163" s="13"/>
      <c r="C1163" s="18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</row>
    <row r="1164" spans="1:44" ht="13">
      <c r="A1164" s="13"/>
      <c r="B1164" s="13"/>
      <c r="C1164" s="18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</row>
    <row r="1165" spans="1:44" ht="13">
      <c r="A1165" s="13"/>
      <c r="B1165" s="13"/>
      <c r="C1165" s="18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</row>
    <row r="1166" spans="1:44" ht="13">
      <c r="A1166" s="13"/>
      <c r="B1166" s="13"/>
      <c r="C1166" s="18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</row>
    <row r="1167" spans="1:44" ht="13">
      <c r="A1167" s="13"/>
      <c r="B1167" s="13"/>
      <c r="C1167" s="18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</row>
    <row r="1168" spans="1:44" ht="13">
      <c r="A1168" s="13"/>
      <c r="B1168" s="13"/>
      <c r="C1168" s="18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</row>
    <row r="1169" spans="1:44" ht="13">
      <c r="A1169" s="13"/>
      <c r="B1169" s="13"/>
      <c r="C1169" s="18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</row>
    <row r="1170" spans="1:44" ht="13">
      <c r="A1170" s="13"/>
      <c r="B1170" s="13"/>
      <c r="C1170" s="18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</row>
    <row r="1171" spans="1:44" ht="13">
      <c r="A1171" s="13"/>
      <c r="B1171" s="13"/>
      <c r="C1171" s="18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</row>
    <row r="1172" spans="1:44" ht="13">
      <c r="A1172" s="13"/>
      <c r="B1172" s="13"/>
      <c r="C1172" s="18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</row>
    <row r="1173" spans="1:44" ht="13">
      <c r="A1173" s="13"/>
      <c r="B1173" s="13"/>
      <c r="C1173" s="18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</row>
    <row r="1174" spans="1:44" ht="13">
      <c r="A1174" s="13"/>
      <c r="B1174" s="13"/>
      <c r="C1174" s="18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</row>
    <row r="1175" spans="1:44" ht="13">
      <c r="A1175" s="13"/>
      <c r="B1175" s="13"/>
      <c r="C1175" s="18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</row>
    <row r="1176" spans="1:44" ht="13">
      <c r="A1176" s="13"/>
      <c r="B1176" s="13"/>
      <c r="C1176" s="18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</row>
    <row r="1177" spans="1:44" ht="13">
      <c r="A1177" s="13"/>
      <c r="B1177" s="13"/>
      <c r="C1177" s="18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</row>
    <row r="1178" spans="1:44" ht="13">
      <c r="A1178" s="13"/>
      <c r="B1178" s="13"/>
      <c r="C1178" s="18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</row>
    <row r="1179" spans="1:44" ht="13">
      <c r="A1179" s="13"/>
      <c r="B1179" s="13"/>
      <c r="C1179" s="18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</row>
    <row r="1180" spans="1:44" ht="13">
      <c r="A1180" s="13"/>
      <c r="B1180" s="13"/>
      <c r="C1180" s="18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</row>
    <row r="1181" spans="1:44" ht="13">
      <c r="A1181" s="13"/>
      <c r="B1181" s="13"/>
      <c r="C1181" s="18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</row>
    <row r="1182" spans="1:44" ht="13">
      <c r="A1182" s="13"/>
      <c r="B1182" s="13"/>
      <c r="C1182" s="18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</row>
    <row r="1183" spans="1:44" ht="13">
      <c r="A1183" s="13"/>
      <c r="B1183" s="13"/>
      <c r="C1183" s="18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</row>
    <row r="1184" spans="1:44" ht="13">
      <c r="A1184" s="13"/>
      <c r="B1184" s="13"/>
      <c r="C1184" s="18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</row>
    <row r="1185" spans="1:44" ht="13">
      <c r="A1185" s="13"/>
      <c r="B1185" s="13"/>
      <c r="C1185" s="18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</row>
    <row r="1186" spans="1:44" ht="13">
      <c r="A1186" s="13"/>
      <c r="B1186" s="13"/>
      <c r="C1186" s="18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</row>
    <row r="1187" spans="1:44" ht="13">
      <c r="A1187" s="13"/>
      <c r="B1187" s="13"/>
      <c r="C1187" s="18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</row>
    <row r="1188" spans="1:44" ht="13">
      <c r="A1188" s="13"/>
      <c r="B1188" s="13"/>
      <c r="C1188" s="18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</row>
    <row r="1189" spans="1:44" ht="13">
      <c r="A1189" s="13"/>
      <c r="B1189" s="13"/>
      <c r="C1189" s="18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</row>
    <row r="1190" spans="1:44" ht="13">
      <c r="A1190" s="13"/>
      <c r="B1190" s="13"/>
      <c r="C1190" s="18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</row>
    <row r="1191" spans="1:44" ht="13">
      <c r="A1191" s="13"/>
      <c r="B1191" s="13"/>
      <c r="C1191" s="18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</row>
    <row r="1192" spans="1:44" ht="13">
      <c r="A1192" s="13"/>
      <c r="B1192" s="13"/>
      <c r="C1192" s="18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</row>
    <row r="1193" spans="1:44" ht="13">
      <c r="A1193" s="13"/>
      <c r="B1193" s="13"/>
      <c r="C1193" s="18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</row>
    <row r="1194" spans="1:44" ht="13">
      <c r="A1194" s="13"/>
      <c r="B1194" s="13"/>
      <c r="C1194" s="18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</row>
    <row r="1195" spans="1:44" ht="13">
      <c r="A1195" s="13"/>
      <c r="B1195" s="13"/>
      <c r="C1195" s="18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</row>
    <row r="1196" spans="1:44" ht="13">
      <c r="A1196" s="13"/>
      <c r="B1196" s="13"/>
      <c r="C1196" s="18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</row>
    <row r="1197" spans="1:44" ht="13">
      <c r="A1197" s="13"/>
      <c r="B1197" s="13"/>
      <c r="C1197" s="18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</row>
    <row r="1198" spans="1:44" ht="13">
      <c r="A1198" s="13"/>
      <c r="B1198" s="13"/>
      <c r="C1198" s="18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</row>
    <row r="1199" spans="1:44" ht="13">
      <c r="A1199" s="13"/>
      <c r="B1199" s="13"/>
      <c r="C1199" s="18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</row>
    <row r="1200" spans="1:44" ht="13">
      <c r="A1200" s="13"/>
      <c r="B1200" s="13"/>
      <c r="C1200" s="18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</row>
    <row r="1201" spans="1:44" ht="13">
      <c r="A1201" s="13"/>
      <c r="B1201" s="13"/>
      <c r="C1201" s="18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</row>
    <row r="1202" spans="1:44" ht="13">
      <c r="A1202" s="13"/>
      <c r="B1202" s="13"/>
      <c r="C1202" s="18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</row>
    <row r="1203" spans="1:44" ht="13">
      <c r="A1203" s="13"/>
      <c r="B1203" s="13"/>
      <c r="C1203" s="18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</row>
    <row r="1204" spans="1:44" ht="13">
      <c r="A1204" s="13"/>
      <c r="B1204" s="13"/>
      <c r="C1204" s="18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</row>
    <row r="1205" spans="1:44" ht="13">
      <c r="A1205" s="13"/>
      <c r="B1205" s="13"/>
      <c r="C1205" s="18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</row>
    <row r="1206" spans="1:44" ht="13">
      <c r="A1206" s="13"/>
      <c r="B1206" s="13"/>
      <c r="C1206" s="18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</row>
    <row r="1207" spans="1:44" ht="13">
      <c r="A1207" s="13"/>
      <c r="B1207" s="13"/>
      <c r="C1207" s="18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</row>
    <row r="1208" spans="1:44" ht="13">
      <c r="A1208" s="13"/>
      <c r="B1208" s="13"/>
      <c r="C1208" s="18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</row>
    <row r="1209" spans="1:44" ht="13">
      <c r="A1209" s="13"/>
      <c r="B1209" s="13"/>
      <c r="C1209" s="18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</row>
    <row r="1210" spans="1:44" ht="13">
      <c r="A1210" s="13"/>
      <c r="B1210" s="13"/>
      <c r="C1210" s="18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</row>
    <row r="1211" spans="1:44" ht="13">
      <c r="A1211" s="13"/>
      <c r="B1211" s="13"/>
      <c r="C1211" s="18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</row>
    <row r="1212" spans="1:44" ht="13">
      <c r="A1212" s="13"/>
      <c r="B1212" s="13"/>
      <c r="C1212" s="18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</row>
    <row r="1213" spans="1:44" ht="13">
      <c r="A1213" s="13"/>
      <c r="B1213" s="13"/>
      <c r="C1213" s="18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</row>
    <row r="1214" spans="1:44" ht="13">
      <c r="A1214" s="13"/>
      <c r="B1214" s="13"/>
      <c r="C1214" s="18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</row>
    <row r="1215" spans="1:44" ht="13">
      <c r="A1215" s="13"/>
      <c r="B1215" s="13"/>
      <c r="C1215" s="18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</row>
    <row r="1216" spans="1:44" ht="13">
      <c r="A1216" s="13"/>
      <c r="B1216" s="13"/>
      <c r="C1216" s="18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</row>
    <row r="1217" spans="1:44" ht="13">
      <c r="A1217" s="13"/>
      <c r="B1217" s="13"/>
      <c r="C1217" s="18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</row>
    <row r="1218" spans="1:44" ht="13">
      <c r="A1218" s="13"/>
      <c r="B1218" s="13"/>
      <c r="C1218" s="18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</row>
    <row r="1219" spans="1:44" ht="13">
      <c r="A1219" s="13"/>
      <c r="B1219" s="13"/>
      <c r="C1219" s="18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</row>
    <row r="1220" spans="1:44" ht="13">
      <c r="A1220" s="13"/>
      <c r="B1220" s="13"/>
      <c r="C1220" s="18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</row>
    <row r="1221" spans="1:44" ht="13">
      <c r="A1221" s="13"/>
      <c r="B1221" s="13"/>
      <c r="C1221" s="18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</row>
    <row r="1222" spans="1:44" ht="13">
      <c r="A1222" s="13"/>
      <c r="B1222" s="13"/>
      <c r="C1222" s="18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</row>
    <row r="1223" spans="1:44" ht="13">
      <c r="A1223" s="13"/>
      <c r="B1223" s="13"/>
      <c r="C1223" s="18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</row>
    <row r="1224" spans="1:44" ht="13">
      <c r="A1224" s="13"/>
      <c r="B1224" s="13"/>
      <c r="C1224" s="18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</row>
    <row r="1225" spans="1:44" ht="13">
      <c r="A1225" s="13"/>
      <c r="B1225" s="13"/>
      <c r="C1225" s="18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</row>
    <row r="1226" spans="1:44" ht="13">
      <c r="A1226" s="13"/>
      <c r="B1226" s="13"/>
      <c r="C1226" s="18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</row>
    <row r="1227" spans="1:44" ht="13">
      <c r="A1227" s="13"/>
      <c r="B1227" s="13"/>
      <c r="C1227" s="18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</row>
    <row r="1228" spans="1:44" ht="13">
      <c r="A1228" s="13"/>
      <c r="B1228" s="13"/>
      <c r="C1228" s="18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</row>
    <row r="1229" spans="1:44" ht="13">
      <c r="A1229" s="13"/>
      <c r="B1229" s="13"/>
      <c r="C1229" s="18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</row>
    <row r="1230" spans="1:44" ht="13">
      <c r="A1230" s="13"/>
      <c r="B1230" s="13"/>
      <c r="C1230" s="18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</row>
    <row r="1231" spans="1:44" ht="13">
      <c r="A1231" s="13"/>
      <c r="B1231" s="13"/>
      <c r="C1231" s="18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</row>
    <row r="1232" spans="1:44" ht="13">
      <c r="A1232" s="13"/>
      <c r="B1232" s="13"/>
      <c r="C1232" s="18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</row>
    <row r="1233" spans="1:44" ht="13">
      <c r="A1233" s="13"/>
      <c r="B1233" s="13"/>
      <c r="C1233" s="18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</row>
    <row r="1234" spans="1:44" ht="13">
      <c r="A1234" s="13"/>
      <c r="B1234" s="13"/>
      <c r="C1234" s="18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</row>
    <row r="1235" spans="1:44" ht="13">
      <c r="A1235" s="13"/>
      <c r="B1235" s="13"/>
      <c r="C1235" s="18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</row>
    <row r="1236" spans="1:44" ht="13">
      <c r="A1236" s="13"/>
      <c r="B1236" s="13"/>
      <c r="C1236" s="18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</row>
    <row r="1237" spans="1:44" ht="13">
      <c r="A1237" s="13"/>
      <c r="B1237" s="13"/>
      <c r="C1237" s="18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</row>
    <row r="1238" spans="1:44" ht="13">
      <c r="A1238" s="13"/>
      <c r="B1238" s="13"/>
      <c r="C1238" s="18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</row>
    <row r="1239" spans="1:44" ht="13">
      <c r="A1239" s="13"/>
      <c r="B1239" s="13"/>
      <c r="C1239" s="18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</row>
    <row r="1240" spans="1:44" ht="13">
      <c r="A1240" s="13"/>
      <c r="B1240" s="13"/>
      <c r="C1240" s="18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</row>
    <row r="1241" spans="1:44" ht="13">
      <c r="A1241" s="13"/>
      <c r="B1241" s="13"/>
      <c r="C1241" s="18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</row>
    <row r="1242" spans="1:44" ht="13">
      <c r="A1242" s="13"/>
      <c r="B1242" s="13"/>
      <c r="C1242" s="18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</row>
    <row r="1243" spans="1:44" ht="13">
      <c r="A1243" s="13"/>
      <c r="B1243" s="13"/>
      <c r="C1243" s="18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</row>
    <row r="1244" spans="1:44" ht="13">
      <c r="A1244" s="13"/>
      <c r="B1244" s="13"/>
      <c r="C1244" s="18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</row>
    <row r="1245" spans="1:44" ht="13">
      <c r="A1245" s="13"/>
      <c r="B1245" s="13"/>
      <c r="C1245" s="18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</row>
    <row r="1246" spans="1:44" ht="13">
      <c r="A1246" s="13"/>
      <c r="B1246" s="13"/>
      <c r="C1246" s="18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</row>
    <row r="1247" spans="1:44" ht="13">
      <c r="A1247" s="13"/>
      <c r="B1247" s="13"/>
      <c r="C1247" s="18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</row>
    <row r="1248" spans="1:44" ht="13">
      <c r="A1248" s="13"/>
      <c r="B1248" s="13"/>
      <c r="C1248" s="18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</row>
    <row r="1249" spans="1:44" ht="13">
      <c r="A1249" s="13"/>
      <c r="B1249" s="13"/>
      <c r="C1249" s="18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</row>
    <row r="1250" spans="1:44" ht="13">
      <c r="A1250" s="13"/>
      <c r="B1250" s="13"/>
      <c r="C1250" s="18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</row>
    <row r="1251" spans="1:44" ht="13">
      <c r="A1251" s="13"/>
      <c r="B1251" s="13"/>
      <c r="C1251" s="18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</row>
    <row r="1252" spans="1:44" ht="13">
      <c r="A1252" s="13"/>
      <c r="B1252" s="13"/>
      <c r="C1252" s="18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</row>
    <row r="1253" spans="1:44" ht="13">
      <c r="A1253" s="13"/>
      <c r="B1253" s="13"/>
      <c r="C1253" s="18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</row>
    <row r="1254" spans="1:44" ht="13">
      <c r="A1254" s="13"/>
      <c r="B1254" s="13"/>
      <c r="C1254" s="18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</row>
    <row r="1255" spans="1:44" ht="13">
      <c r="A1255" s="13"/>
      <c r="B1255" s="13"/>
      <c r="C1255" s="18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</row>
    <row r="1256" spans="1:44" ht="13">
      <c r="A1256" s="13"/>
      <c r="B1256" s="13"/>
      <c r="C1256" s="18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</row>
    <row r="1257" spans="1:44" ht="13">
      <c r="A1257" s="13"/>
      <c r="B1257" s="13"/>
      <c r="C1257" s="18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</row>
    <row r="1258" spans="1:44" ht="13">
      <c r="A1258" s="13"/>
      <c r="B1258" s="13"/>
      <c r="C1258" s="18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</row>
    <row r="1259" spans="1:44" ht="13">
      <c r="A1259" s="13"/>
      <c r="B1259" s="13"/>
      <c r="C1259" s="18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</row>
    <row r="1260" spans="1:44" ht="13">
      <c r="A1260" s="13"/>
      <c r="B1260" s="13"/>
      <c r="C1260" s="18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</row>
    <row r="1261" spans="1:44" ht="13">
      <c r="A1261" s="13"/>
      <c r="B1261" s="13"/>
      <c r="C1261" s="18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</row>
    <row r="1262" spans="1:44" ht="13">
      <c r="A1262" s="13"/>
      <c r="B1262" s="13"/>
      <c r="C1262" s="18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</row>
    <row r="1263" spans="1:44" ht="13">
      <c r="A1263" s="13"/>
      <c r="B1263" s="13"/>
      <c r="C1263" s="18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</row>
    <row r="1264" spans="1:44" ht="13">
      <c r="A1264" s="13"/>
      <c r="B1264" s="13"/>
      <c r="C1264" s="18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</row>
    <row r="1265" spans="1:44" ht="13">
      <c r="A1265" s="13"/>
      <c r="B1265" s="13"/>
      <c r="C1265" s="18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</row>
    <row r="1266" spans="1:44" ht="13">
      <c r="A1266" s="13"/>
      <c r="B1266" s="13"/>
      <c r="C1266" s="18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</row>
    <row r="1267" spans="1:44" ht="13">
      <c r="A1267" s="13"/>
      <c r="B1267" s="13"/>
      <c r="C1267" s="18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</row>
    <row r="1268" spans="1:44" ht="13">
      <c r="A1268" s="13"/>
      <c r="B1268" s="13"/>
      <c r="C1268" s="18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</row>
    <row r="1269" spans="1:44" ht="13">
      <c r="A1269" s="13"/>
      <c r="B1269" s="13"/>
      <c r="C1269" s="18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</row>
    <row r="1270" spans="1:44" ht="13">
      <c r="A1270" s="13"/>
      <c r="B1270" s="13"/>
      <c r="C1270" s="18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</row>
    <row r="1271" spans="1:44" ht="13">
      <c r="A1271" s="13"/>
      <c r="B1271" s="13"/>
      <c r="C1271" s="18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</row>
    <row r="1272" spans="1:44" ht="13">
      <c r="A1272" s="13"/>
      <c r="B1272" s="13"/>
      <c r="C1272" s="18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</row>
    <row r="1273" spans="1:44" ht="13">
      <c r="A1273" s="13"/>
      <c r="B1273" s="13"/>
      <c r="C1273" s="18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</row>
    <row r="1274" spans="1:44" ht="13">
      <c r="A1274" s="13"/>
      <c r="B1274" s="13"/>
      <c r="C1274" s="18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</row>
    <row r="1275" spans="1:44" ht="13">
      <c r="A1275" s="13"/>
      <c r="B1275" s="13"/>
      <c r="C1275" s="18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</row>
    <row r="1276" spans="1:44" ht="13">
      <c r="A1276" s="13"/>
      <c r="B1276" s="13"/>
      <c r="C1276" s="18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</row>
    <row r="1277" spans="1:44" ht="13">
      <c r="A1277" s="13"/>
      <c r="B1277" s="13"/>
      <c r="C1277" s="18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</row>
    <row r="1278" spans="1:44" ht="13">
      <c r="A1278" s="13"/>
      <c r="B1278" s="13"/>
      <c r="C1278" s="18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</row>
    <row r="1279" spans="1:44" ht="13">
      <c r="A1279" s="13"/>
      <c r="B1279" s="13"/>
      <c r="C1279" s="18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</row>
    <row r="1280" spans="1:44" ht="13">
      <c r="A1280" s="13"/>
      <c r="B1280" s="13"/>
      <c r="C1280" s="18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</row>
    <row r="1281" spans="1:44" ht="13">
      <c r="A1281" s="13"/>
      <c r="B1281" s="13"/>
      <c r="C1281" s="18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</row>
    <row r="1282" spans="1:44" ht="13">
      <c r="A1282" s="13"/>
      <c r="B1282" s="13"/>
      <c r="C1282" s="18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</row>
    <row r="1283" spans="1:44" ht="13">
      <c r="A1283" s="13"/>
      <c r="B1283" s="13"/>
      <c r="C1283" s="18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</row>
    <row r="1284" spans="1:44" ht="13">
      <c r="A1284" s="13"/>
      <c r="B1284" s="13"/>
      <c r="C1284" s="18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</row>
    <row r="1285" spans="1:44" ht="13">
      <c r="A1285" s="13"/>
      <c r="B1285" s="13"/>
      <c r="C1285" s="18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</row>
    <row r="1286" spans="1:44" ht="13">
      <c r="A1286" s="13"/>
      <c r="B1286" s="13"/>
      <c r="C1286" s="18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</row>
    <row r="1287" spans="1:44" ht="13">
      <c r="A1287" s="13"/>
      <c r="B1287" s="13"/>
      <c r="C1287" s="18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</row>
    <row r="1288" spans="1:44" ht="13">
      <c r="A1288" s="13"/>
      <c r="B1288" s="13"/>
      <c r="C1288" s="18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</row>
    <row r="1289" spans="1:44" ht="13">
      <c r="A1289" s="13"/>
      <c r="B1289" s="13"/>
      <c r="C1289" s="18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</row>
    <row r="1290" spans="1:44" ht="13">
      <c r="A1290" s="13"/>
      <c r="B1290" s="13"/>
      <c r="C1290" s="18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</row>
    <row r="1291" spans="1:44" ht="13">
      <c r="A1291" s="13"/>
      <c r="B1291" s="13"/>
      <c r="C1291" s="18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</row>
    <row r="1292" spans="1:44" ht="13">
      <c r="A1292" s="13"/>
      <c r="B1292" s="13"/>
      <c r="C1292" s="18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</row>
    <row r="1293" spans="1:44" ht="13">
      <c r="A1293" s="13"/>
      <c r="B1293" s="13"/>
      <c r="C1293" s="18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</row>
    <row r="1294" spans="1:44" ht="13">
      <c r="A1294" s="13"/>
      <c r="B1294" s="13"/>
      <c r="C1294" s="18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</row>
    <row r="1295" spans="1:44" ht="13">
      <c r="A1295" s="13"/>
      <c r="B1295" s="13"/>
      <c r="C1295" s="18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</row>
    <row r="1296" spans="1:44" ht="13">
      <c r="A1296" s="13"/>
      <c r="B1296" s="13"/>
      <c r="C1296" s="18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</row>
    <row r="1297" spans="1:44" ht="13">
      <c r="A1297" s="13"/>
      <c r="B1297" s="13"/>
      <c r="C1297" s="18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</row>
    <row r="1298" spans="1:44" ht="13">
      <c r="A1298" s="13"/>
      <c r="B1298" s="13"/>
      <c r="C1298" s="18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</row>
    <row r="1299" spans="1:44" ht="13">
      <c r="A1299" s="13"/>
      <c r="B1299" s="13"/>
      <c r="C1299" s="18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</row>
    <row r="1300" spans="1:44" ht="13">
      <c r="A1300" s="13"/>
      <c r="B1300" s="13"/>
      <c r="C1300" s="18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</row>
    <row r="1301" spans="1:44" ht="13">
      <c r="A1301" s="13"/>
      <c r="B1301" s="13"/>
      <c r="C1301" s="18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</row>
    <row r="1302" spans="1:44" ht="13">
      <c r="A1302" s="13"/>
      <c r="B1302" s="13"/>
      <c r="C1302" s="18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</row>
    <row r="1303" spans="1:44" ht="13">
      <c r="A1303" s="13"/>
      <c r="B1303" s="13"/>
      <c r="C1303" s="18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</row>
    <row r="1304" spans="1:44" ht="13">
      <c r="A1304" s="13"/>
      <c r="B1304" s="13"/>
      <c r="C1304" s="18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</row>
    <row r="1305" spans="1:44" ht="13">
      <c r="A1305" s="13"/>
      <c r="B1305" s="13"/>
      <c r="C1305" s="18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</row>
    <row r="1306" spans="1:44" ht="13">
      <c r="A1306" s="13"/>
      <c r="B1306" s="13"/>
      <c r="C1306" s="18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</row>
    <row r="1307" spans="1:44" ht="13">
      <c r="A1307" s="13"/>
      <c r="B1307" s="13"/>
      <c r="C1307" s="18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</row>
    <row r="1308" spans="1:44" ht="13">
      <c r="A1308" s="13"/>
      <c r="B1308" s="13"/>
      <c r="C1308" s="18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</row>
    <row r="1309" spans="1:44" ht="13">
      <c r="A1309" s="13"/>
      <c r="B1309" s="13"/>
      <c r="C1309" s="18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</row>
    <row r="1310" spans="1:44" ht="13">
      <c r="A1310" s="13"/>
      <c r="B1310" s="13"/>
      <c r="C1310" s="18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</row>
    <row r="1311" spans="1:44" ht="13">
      <c r="A1311" s="13"/>
      <c r="B1311" s="13"/>
      <c r="C1311" s="18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</row>
    <row r="1312" spans="1:44" ht="13">
      <c r="A1312" s="13"/>
      <c r="B1312" s="13"/>
      <c r="C1312" s="18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</row>
    <row r="1313" spans="1:44" ht="13">
      <c r="A1313" s="13"/>
      <c r="B1313" s="13"/>
      <c r="C1313" s="18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</row>
    <row r="1314" spans="1:44" ht="13">
      <c r="A1314" s="13"/>
      <c r="B1314" s="13"/>
      <c r="C1314" s="18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</row>
    <row r="1315" spans="1:44" ht="13">
      <c r="A1315" s="13"/>
      <c r="B1315" s="13"/>
      <c r="C1315" s="18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</row>
    <row r="1316" spans="1:44" ht="13">
      <c r="A1316" s="13"/>
      <c r="B1316" s="13"/>
      <c r="C1316" s="18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</row>
    <row r="1317" spans="1:44" ht="13">
      <c r="A1317" s="13"/>
      <c r="B1317" s="13"/>
      <c r="C1317" s="18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</row>
    <row r="1318" spans="1:44" ht="13">
      <c r="A1318" s="13"/>
      <c r="B1318" s="13"/>
      <c r="C1318" s="18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</row>
    <row r="1319" spans="1:44" ht="13">
      <c r="A1319" s="13"/>
      <c r="B1319" s="13"/>
      <c r="C1319" s="18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</row>
    <row r="1320" spans="1:44" ht="13">
      <c r="A1320" s="13"/>
      <c r="B1320" s="13"/>
      <c r="C1320" s="18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</row>
    <row r="1321" spans="1:44" ht="13">
      <c r="A1321" s="13"/>
      <c r="B1321" s="13"/>
      <c r="C1321" s="18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</row>
    <row r="1322" spans="1:44" ht="13">
      <c r="A1322" s="13"/>
      <c r="B1322" s="13"/>
      <c r="C1322" s="18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</row>
    <row r="1323" spans="1:44" ht="13">
      <c r="A1323" s="13"/>
      <c r="B1323" s="13"/>
      <c r="C1323" s="18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</row>
    <row r="1324" spans="1:44" ht="13">
      <c r="A1324" s="13"/>
      <c r="B1324" s="13"/>
      <c r="C1324" s="18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</row>
    <row r="1325" spans="1:44" ht="13">
      <c r="A1325" s="13"/>
      <c r="B1325" s="13"/>
      <c r="C1325" s="18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</row>
    <row r="1326" spans="1:44" ht="13">
      <c r="A1326" s="13"/>
      <c r="B1326" s="13"/>
      <c r="C1326" s="18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</row>
    <row r="1327" spans="1:44" ht="13">
      <c r="A1327" s="13"/>
      <c r="B1327" s="13"/>
      <c r="C1327" s="18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</row>
    <row r="1328" spans="1:44" ht="13">
      <c r="A1328" s="13"/>
      <c r="B1328" s="13"/>
      <c r="C1328" s="18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</row>
    <row r="1329" spans="1:44" ht="13">
      <c r="A1329" s="13"/>
      <c r="B1329" s="13"/>
      <c r="C1329" s="18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</row>
    <row r="1330" spans="1:44" ht="13">
      <c r="A1330" s="13"/>
      <c r="B1330" s="13"/>
      <c r="C1330" s="18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</row>
    <row r="1331" spans="1:44" ht="13">
      <c r="A1331" s="13"/>
      <c r="B1331" s="13"/>
      <c r="C1331" s="18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</row>
    <row r="1332" spans="1:44" ht="13">
      <c r="A1332" s="13"/>
      <c r="B1332" s="13"/>
      <c r="C1332" s="18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</row>
    <row r="1333" spans="1:44" ht="13">
      <c r="A1333" s="13"/>
      <c r="B1333" s="13"/>
      <c r="C1333" s="18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</row>
    <row r="1334" spans="1:44" ht="13">
      <c r="A1334" s="13"/>
      <c r="B1334" s="13"/>
      <c r="C1334" s="18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</row>
    <row r="1335" spans="1:44" ht="13">
      <c r="A1335" s="13"/>
      <c r="B1335" s="13"/>
      <c r="C1335" s="18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</row>
    <row r="1336" spans="1:44" ht="13">
      <c r="A1336" s="13"/>
      <c r="B1336" s="13"/>
      <c r="C1336" s="18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</row>
    <row r="1337" spans="1:44" ht="13">
      <c r="A1337" s="13"/>
      <c r="B1337" s="13"/>
      <c r="C1337" s="18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</row>
    <row r="1338" spans="1:44" ht="13">
      <c r="A1338" s="13"/>
      <c r="B1338" s="13"/>
      <c r="C1338" s="18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</row>
    <row r="1339" spans="1:44" ht="13">
      <c r="A1339" s="13"/>
      <c r="B1339" s="13"/>
      <c r="C1339" s="18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</row>
    <row r="1340" spans="1:44" ht="13">
      <c r="A1340" s="13"/>
      <c r="B1340" s="13"/>
      <c r="C1340" s="18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</row>
    <row r="1341" spans="1:44" ht="13">
      <c r="A1341" s="13"/>
      <c r="B1341" s="13"/>
      <c r="C1341" s="18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</row>
    <row r="1342" spans="1:44" ht="13">
      <c r="A1342" s="13"/>
      <c r="B1342" s="13"/>
      <c r="C1342" s="18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</row>
    <row r="1343" spans="1:44" ht="13">
      <c r="A1343" s="13"/>
      <c r="B1343" s="13"/>
      <c r="C1343" s="18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</row>
    <row r="1344" spans="1:44" ht="13">
      <c r="A1344" s="13"/>
      <c r="B1344" s="13"/>
      <c r="C1344" s="18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</row>
    <row r="1345" spans="1:44" ht="13">
      <c r="A1345" s="13"/>
      <c r="B1345" s="13"/>
      <c r="C1345" s="18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</row>
    <row r="1346" spans="1:44" ht="13">
      <c r="A1346" s="13"/>
      <c r="B1346" s="13"/>
      <c r="C1346" s="18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</row>
    <row r="1347" spans="1:44" ht="13">
      <c r="A1347" s="13"/>
      <c r="B1347" s="13"/>
      <c r="C1347" s="18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</row>
    <row r="1348" spans="1:44" ht="13">
      <c r="A1348" s="13"/>
      <c r="B1348" s="13"/>
      <c r="C1348" s="18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</row>
    <row r="1349" spans="1:44" ht="13">
      <c r="A1349" s="13"/>
      <c r="B1349" s="13"/>
      <c r="C1349" s="18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</row>
    <row r="1350" spans="1:44" ht="13">
      <c r="A1350" s="13"/>
      <c r="B1350" s="13"/>
      <c r="C1350" s="18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</row>
    <row r="1351" spans="1:44" ht="13">
      <c r="A1351" s="13"/>
      <c r="B1351" s="13"/>
      <c r="C1351" s="18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</row>
    <row r="1352" spans="1:44" ht="13">
      <c r="A1352" s="13"/>
      <c r="B1352" s="13"/>
      <c r="C1352" s="18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</row>
    <row r="1353" spans="1:44" ht="13">
      <c r="A1353" s="13"/>
      <c r="B1353" s="13"/>
      <c r="C1353" s="18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</row>
    <row r="1354" spans="1:44" ht="13">
      <c r="A1354" s="13"/>
      <c r="B1354" s="13"/>
      <c r="C1354" s="18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</row>
    <row r="1355" spans="1:44" ht="13">
      <c r="A1355" s="13"/>
      <c r="B1355" s="13"/>
      <c r="C1355" s="18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</row>
    <row r="1356" spans="1:44" ht="13">
      <c r="A1356" s="13"/>
      <c r="B1356" s="13"/>
      <c r="C1356" s="18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</row>
    <row r="1357" spans="1:44" ht="13">
      <c r="A1357" s="13"/>
      <c r="B1357" s="13"/>
      <c r="C1357" s="18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</row>
    <row r="1358" spans="1:44" ht="13">
      <c r="A1358" s="13"/>
      <c r="B1358" s="13"/>
      <c r="C1358" s="18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</row>
    <row r="1359" spans="1:44" ht="13">
      <c r="A1359" s="13"/>
      <c r="B1359" s="13"/>
      <c r="C1359" s="18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</row>
    <row r="1360" spans="1:44" ht="13">
      <c r="A1360" s="13"/>
      <c r="B1360" s="13"/>
      <c r="C1360" s="18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</row>
    <row r="1361" spans="1:44" ht="13">
      <c r="A1361" s="13"/>
      <c r="B1361" s="13"/>
      <c r="C1361" s="18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</row>
    <row r="1362" spans="1:44" ht="13">
      <c r="A1362" s="13"/>
      <c r="B1362" s="13"/>
      <c r="C1362" s="18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</row>
    <row r="1363" spans="1:44" ht="13">
      <c r="A1363" s="13"/>
      <c r="B1363" s="13"/>
      <c r="C1363" s="18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</row>
    <row r="1364" spans="1:44" ht="13">
      <c r="A1364" s="13"/>
      <c r="B1364" s="13"/>
      <c r="C1364" s="18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</row>
    <row r="1365" spans="1:44" ht="13">
      <c r="A1365" s="13"/>
      <c r="B1365" s="13"/>
      <c r="C1365" s="18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</row>
    <row r="1366" spans="1:44" ht="13">
      <c r="A1366" s="13"/>
      <c r="B1366" s="13"/>
      <c r="C1366" s="18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</row>
    <row r="1367" spans="1:44" ht="13">
      <c r="A1367" s="13"/>
      <c r="B1367" s="13"/>
      <c r="C1367" s="18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</row>
    <row r="1368" spans="1:44" ht="13">
      <c r="A1368" s="13"/>
      <c r="B1368" s="13"/>
      <c r="C1368" s="18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</row>
    <row r="1369" spans="1:44" ht="13">
      <c r="A1369" s="13"/>
      <c r="B1369" s="13"/>
      <c r="C1369" s="18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</row>
    <row r="1370" spans="1:44" ht="13">
      <c r="A1370" s="13"/>
      <c r="B1370" s="13"/>
      <c r="C1370" s="18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</row>
    <row r="1371" spans="1:44" ht="13">
      <c r="A1371" s="13"/>
      <c r="B1371" s="13"/>
      <c r="C1371" s="18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</row>
    <row r="1372" spans="1:44" ht="13">
      <c r="A1372" s="13"/>
      <c r="B1372" s="13"/>
      <c r="C1372" s="18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</row>
    <row r="1373" spans="1:44" ht="13">
      <c r="A1373" s="13"/>
      <c r="B1373" s="13"/>
      <c r="C1373" s="18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</row>
    <row r="1374" spans="1:44" ht="13">
      <c r="A1374" s="13"/>
      <c r="B1374" s="13"/>
      <c r="C1374" s="18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</row>
    <row r="1375" spans="1:44" ht="13">
      <c r="A1375" s="13"/>
      <c r="B1375" s="13"/>
      <c r="C1375" s="18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</row>
    <row r="1376" spans="1:44" ht="13">
      <c r="A1376" s="13"/>
      <c r="B1376" s="13"/>
      <c r="C1376" s="18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</row>
    <row r="1377" spans="1:44" ht="13">
      <c r="A1377" s="13"/>
      <c r="B1377" s="13"/>
      <c r="C1377" s="18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</row>
    <row r="1378" spans="1:44" ht="13">
      <c r="A1378" s="13"/>
      <c r="B1378" s="13"/>
      <c r="C1378" s="18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</row>
    <row r="1379" spans="1:44" ht="13">
      <c r="A1379" s="13"/>
      <c r="B1379" s="13"/>
      <c r="C1379" s="18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</row>
    <row r="1380" spans="1:44" ht="13">
      <c r="A1380" s="13"/>
      <c r="B1380" s="13"/>
      <c r="C1380" s="18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</row>
    <row r="1381" spans="1:44" ht="13">
      <c r="A1381" s="13"/>
      <c r="B1381" s="13"/>
      <c r="C1381" s="18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</row>
    <row r="1382" spans="1:44" ht="13">
      <c r="A1382" s="13"/>
      <c r="B1382" s="13"/>
      <c r="C1382" s="18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</row>
    <row r="1383" spans="1:44" ht="13">
      <c r="A1383" s="13"/>
      <c r="B1383" s="13"/>
      <c r="C1383" s="18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</row>
    <row r="1384" spans="1:44" ht="13">
      <c r="A1384" s="13"/>
      <c r="B1384" s="13"/>
      <c r="C1384" s="18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</row>
    <row r="1385" spans="1:44" ht="13">
      <c r="A1385" s="13"/>
      <c r="B1385" s="13"/>
      <c r="C1385" s="18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</row>
    <row r="1386" spans="1:44" ht="13">
      <c r="A1386" s="13"/>
      <c r="B1386" s="13"/>
      <c r="C1386" s="18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</row>
    <row r="1387" spans="1:44" ht="13">
      <c r="A1387" s="13"/>
      <c r="B1387" s="13"/>
      <c r="C1387" s="18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</row>
    <row r="1388" spans="1:44" ht="13">
      <c r="A1388" s="13"/>
      <c r="B1388" s="13"/>
      <c r="C1388" s="18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</row>
    <row r="1389" spans="1:44" ht="13">
      <c r="A1389" s="13"/>
      <c r="B1389" s="13"/>
      <c r="C1389" s="18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</row>
    <row r="1390" spans="1:44" ht="13">
      <c r="A1390" s="13"/>
      <c r="B1390" s="13"/>
      <c r="C1390" s="18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</row>
    <row r="1391" spans="1:44" ht="13">
      <c r="A1391" s="13"/>
      <c r="B1391" s="13"/>
      <c r="C1391" s="18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</row>
    <row r="1392" spans="1:44" ht="13">
      <c r="A1392" s="13"/>
      <c r="B1392" s="13"/>
      <c r="C1392" s="18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</row>
    <row r="1393" spans="1:44" ht="13">
      <c r="A1393" s="13"/>
      <c r="B1393" s="13"/>
      <c r="C1393" s="18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</row>
    <row r="1394" spans="1:44" ht="13">
      <c r="A1394" s="13"/>
      <c r="B1394" s="13"/>
      <c r="C1394" s="18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</row>
    <row r="1395" spans="1:44" ht="13">
      <c r="A1395" s="13"/>
      <c r="B1395" s="13"/>
      <c r="C1395" s="18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</row>
    <row r="1396" spans="1:44" ht="13">
      <c r="A1396" s="13"/>
      <c r="B1396" s="13"/>
      <c r="C1396" s="18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</row>
    <row r="1397" spans="1:44" ht="13">
      <c r="A1397" s="13"/>
      <c r="B1397" s="13"/>
      <c r="C1397" s="18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</row>
    <row r="1398" spans="1:44" ht="13">
      <c r="A1398" s="13"/>
      <c r="B1398" s="13"/>
      <c r="C1398" s="18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</row>
    <row r="1399" spans="1:44" ht="13">
      <c r="A1399" s="13"/>
      <c r="B1399" s="13"/>
      <c r="C1399" s="18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</row>
    <row r="1400" spans="1:44" ht="13">
      <c r="A1400" s="13"/>
      <c r="B1400" s="13"/>
      <c r="C1400" s="18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</row>
    <row r="1401" spans="1:44" ht="13">
      <c r="A1401" s="13"/>
      <c r="B1401" s="13"/>
      <c r="C1401" s="18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</row>
    <row r="1402" spans="1:44" ht="13">
      <c r="A1402" s="13"/>
      <c r="B1402" s="13"/>
      <c r="C1402" s="18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</row>
    <row r="1403" spans="1:44" ht="13">
      <c r="A1403" s="13"/>
      <c r="B1403" s="13"/>
      <c r="C1403" s="18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</row>
    <row r="1404" spans="1:44" ht="13">
      <c r="A1404" s="13"/>
      <c r="B1404" s="13"/>
      <c r="C1404" s="18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</row>
    <row r="1405" spans="1:44" ht="13">
      <c r="A1405" s="13"/>
      <c r="B1405" s="13"/>
      <c r="C1405" s="18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</row>
    <row r="1406" spans="1:44" ht="13">
      <c r="A1406" s="13"/>
      <c r="B1406" s="13"/>
      <c r="C1406" s="18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</row>
    <row r="1407" spans="1:44" ht="13">
      <c r="A1407" s="13"/>
      <c r="B1407" s="13"/>
      <c r="C1407" s="18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</row>
    <row r="1408" spans="1:44" ht="13">
      <c r="A1408" s="13"/>
      <c r="B1408" s="13"/>
      <c r="C1408" s="18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</row>
    <row r="1409" spans="1:44" ht="13">
      <c r="A1409" s="13"/>
      <c r="B1409" s="13"/>
      <c r="C1409" s="18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</row>
    <row r="1410" spans="1:44" ht="13">
      <c r="A1410" s="13"/>
      <c r="B1410" s="13"/>
      <c r="C1410" s="18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</row>
    <row r="1411" spans="1:44" ht="13">
      <c r="A1411" s="13"/>
      <c r="B1411" s="13"/>
      <c r="C1411" s="18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</row>
    <row r="1412" spans="1:44" ht="13">
      <c r="A1412" s="13"/>
      <c r="B1412" s="13"/>
      <c r="C1412" s="18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</row>
    <row r="1413" spans="1:44" ht="13">
      <c r="A1413" s="13"/>
      <c r="B1413" s="13"/>
      <c r="C1413" s="18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</row>
    <row r="1414" spans="1:44" ht="13">
      <c r="A1414" s="13"/>
      <c r="B1414" s="13"/>
      <c r="C1414" s="18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</row>
    <row r="1415" spans="1:44" ht="13">
      <c r="A1415" s="13"/>
      <c r="B1415" s="13"/>
      <c r="C1415" s="18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</row>
    <row r="1416" spans="1:44" ht="13">
      <c r="A1416" s="13"/>
      <c r="B1416" s="13"/>
      <c r="C1416" s="18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</row>
    <row r="1417" spans="1:44" ht="13">
      <c r="A1417" s="13"/>
      <c r="B1417" s="13"/>
      <c r="C1417" s="18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</row>
    <row r="1418" spans="1:44" ht="13">
      <c r="A1418" s="13"/>
      <c r="B1418" s="13"/>
      <c r="C1418" s="18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</row>
    <row r="1419" spans="1:44" ht="13">
      <c r="A1419" s="13"/>
      <c r="B1419" s="13"/>
      <c r="C1419" s="18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</row>
    <row r="1420" spans="1:44" ht="13">
      <c r="A1420" s="13"/>
      <c r="B1420" s="13"/>
      <c r="C1420" s="18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</row>
    <row r="1421" spans="1:44" ht="13">
      <c r="A1421" s="13"/>
      <c r="B1421" s="13"/>
      <c r="C1421" s="18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</row>
    <row r="1422" spans="1:44" ht="13">
      <c r="A1422" s="13"/>
      <c r="B1422" s="13"/>
      <c r="C1422" s="18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</row>
    <row r="1423" spans="1:44" ht="13">
      <c r="A1423" s="13"/>
      <c r="B1423" s="13"/>
      <c r="C1423" s="18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</row>
    <row r="1424" spans="1:44" ht="13">
      <c r="A1424" s="13"/>
      <c r="B1424" s="13"/>
      <c r="C1424" s="18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</row>
    <row r="1425" spans="1:44" ht="13">
      <c r="A1425" s="13"/>
      <c r="B1425" s="13"/>
      <c r="C1425" s="18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</row>
    <row r="1426" spans="1:44" ht="13">
      <c r="A1426" s="13"/>
      <c r="B1426" s="13"/>
      <c r="C1426" s="18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</row>
    <row r="1427" spans="1:44" ht="13">
      <c r="A1427" s="13"/>
      <c r="B1427" s="13"/>
      <c r="C1427" s="18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</row>
    <row r="1428" spans="1:44" ht="13">
      <c r="A1428" s="13"/>
      <c r="B1428" s="13"/>
      <c r="C1428" s="18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</row>
    <row r="1429" spans="1:44" ht="13">
      <c r="A1429" s="13"/>
      <c r="B1429" s="13"/>
      <c r="C1429" s="18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</row>
    <row r="1430" spans="1:44" ht="13">
      <c r="A1430" s="13"/>
      <c r="B1430" s="13"/>
      <c r="C1430" s="18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</row>
    <row r="1431" spans="1:44" ht="13">
      <c r="A1431" s="13"/>
      <c r="B1431" s="13"/>
      <c r="C1431" s="18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</row>
    <row r="1432" spans="1:44" ht="13">
      <c r="A1432" s="13"/>
      <c r="B1432" s="13"/>
      <c r="C1432" s="18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</row>
    <row r="1433" spans="1:44" ht="13">
      <c r="A1433" s="13"/>
      <c r="B1433" s="13"/>
      <c r="C1433" s="18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</row>
    <row r="1434" spans="1:44" ht="13">
      <c r="A1434" s="13"/>
      <c r="B1434" s="13"/>
      <c r="C1434" s="18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</row>
    <row r="1435" spans="1:44" ht="13">
      <c r="A1435" s="13"/>
      <c r="B1435" s="13"/>
      <c r="C1435" s="18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</row>
    <row r="1436" spans="1:44" ht="13">
      <c r="A1436" s="13"/>
      <c r="B1436" s="13"/>
      <c r="C1436" s="18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</row>
    <row r="1437" spans="1:44" ht="13">
      <c r="A1437" s="13"/>
      <c r="B1437" s="13"/>
      <c r="C1437" s="18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</row>
    <row r="1438" spans="1:44" ht="13">
      <c r="A1438" s="13"/>
      <c r="B1438" s="13"/>
      <c r="C1438" s="18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</row>
    <row r="1439" spans="1:44" ht="13">
      <c r="A1439" s="13"/>
      <c r="B1439" s="13"/>
      <c r="C1439" s="18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</row>
    <row r="1440" spans="1:44" ht="13">
      <c r="A1440" s="13"/>
      <c r="B1440" s="13"/>
      <c r="C1440" s="18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</row>
    <row r="1441" spans="1:44" ht="13">
      <c r="A1441" s="13"/>
      <c r="B1441" s="13"/>
      <c r="C1441" s="18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</row>
    <row r="1442" spans="1:44" ht="13">
      <c r="A1442" s="13"/>
      <c r="B1442" s="13"/>
      <c r="C1442" s="18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</row>
    <row r="1443" spans="1:44" ht="13">
      <c r="A1443" s="13"/>
      <c r="B1443" s="13"/>
      <c r="C1443" s="18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</row>
    <row r="1444" spans="1:44" ht="13">
      <c r="A1444" s="13"/>
      <c r="B1444" s="13"/>
      <c r="C1444" s="18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</row>
    <row r="1445" spans="1:44" ht="13">
      <c r="A1445" s="13"/>
      <c r="B1445" s="13"/>
      <c r="C1445" s="18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</row>
    <row r="1446" spans="1:44" ht="13">
      <c r="A1446" s="13"/>
      <c r="B1446" s="13"/>
      <c r="C1446" s="18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</row>
    <row r="1447" spans="1:44" ht="13">
      <c r="A1447" s="13"/>
      <c r="B1447" s="13"/>
      <c r="C1447" s="18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</row>
    <row r="1448" spans="1:44" ht="13">
      <c r="A1448" s="13"/>
      <c r="B1448" s="13"/>
      <c r="C1448" s="18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</row>
    <row r="1449" spans="1:44" ht="13">
      <c r="A1449" s="13"/>
      <c r="B1449" s="13"/>
      <c r="C1449" s="18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</row>
    <row r="1450" spans="1:44" ht="13">
      <c r="A1450" s="13"/>
      <c r="B1450" s="13"/>
      <c r="C1450" s="18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</row>
    <row r="1451" spans="1:44" ht="13">
      <c r="A1451" s="13"/>
      <c r="B1451" s="13"/>
      <c r="C1451" s="18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</row>
    <row r="1452" spans="1:44" ht="13">
      <c r="A1452" s="13"/>
      <c r="B1452" s="13"/>
      <c r="C1452" s="18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</row>
    <row r="1453" spans="1:44" ht="13">
      <c r="A1453" s="13"/>
      <c r="B1453" s="13"/>
      <c r="C1453" s="18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</row>
    <row r="1454" spans="1:44" ht="13">
      <c r="A1454" s="13"/>
      <c r="B1454" s="13"/>
      <c r="C1454" s="18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</row>
    <row r="1455" spans="1:44" ht="13">
      <c r="A1455" s="13"/>
      <c r="B1455" s="13"/>
      <c r="C1455" s="18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</row>
    <row r="1456" spans="1:44" ht="13">
      <c r="A1456" s="13"/>
      <c r="B1456" s="13"/>
      <c r="C1456" s="18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</row>
    <row r="1457" spans="1:44" ht="13">
      <c r="A1457" s="13"/>
      <c r="B1457" s="13"/>
      <c r="C1457" s="18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</row>
    <row r="1458" spans="1:44" ht="13">
      <c r="A1458" s="13"/>
      <c r="B1458" s="13"/>
      <c r="C1458" s="18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</row>
    <row r="1459" spans="1:44" ht="13">
      <c r="A1459" s="13"/>
      <c r="B1459" s="13"/>
      <c r="C1459" s="18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</row>
    <row r="1460" spans="1:44" ht="13">
      <c r="A1460" s="13"/>
      <c r="B1460" s="13"/>
      <c r="C1460" s="18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</row>
    <row r="1461" spans="1:44" ht="13">
      <c r="A1461" s="13"/>
      <c r="B1461" s="13"/>
      <c r="C1461" s="18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</row>
    <row r="1462" spans="1:44" ht="13">
      <c r="A1462" s="13"/>
      <c r="B1462" s="13"/>
      <c r="C1462" s="18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</row>
    <row r="1463" spans="1:44" ht="13">
      <c r="A1463" s="13"/>
      <c r="B1463" s="13"/>
      <c r="C1463" s="18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</row>
    <row r="1464" spans="1:44" ht="13">
      <c r="A1464" s="13"/>
      <c r="B1464" s="13"/>
      <c r="C1464" s="18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</row>
    <row r="1465" spans="1:44" ht="13">
      <c r="A1465" s="13"/>
      <c r="B1465" s="13"/>
      <c r="C1465" s="18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</row>
    <row r="1466" spans="1:44" ht="13">
      <c r="A1466" s="13"/>
      <c r="B1466" s="13"/>
      <c r="C1466" s="18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</row>
    <row r="1467" spans="1:44" ht="13">
      <c r="A1467" s="13"/>
      <c r="B1467" s="13"/>
      <c r="C1467" s="18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</row>
    <row r="1468" spans="1:44" ht="13">
      <c r="A1468" s="13"/>
      <c r="B1468" s="13"/>
      <c r="C1468" s="18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</row>
    <row r="1469" spans="1:44" ht="13">
      <c r="A1469" s="13"/>
      <c r="B1469" s="13"/>
      <c r="C1469" s="18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</row>
    <row r="1470" spans="1:44" ht="13">
      <c r="A1470" s="13"/>
      <c r="B1470" s="13"/>
      <c r="C1470" s="18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</row>
    <row r="1471" spans="1:44" ht="13">
      <c r="A1471" s="13"/>
      <c r="B1471" s="13"/>
      <c r="C1471" s="18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</row>
    <row r="1472" spans="1:44" ht="13">
      <c r="A1472" s="13"/>
      <c r="B1472" s="13"/>
      <c r="C1472" s="18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</row>
    <row r="1473" spans="1:44" ht="13">
      <c r="A1473" s="13"/>
      <c r="B1473" s="13"/>
      <c r="C1473" s="18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</row>
    <row r="1474" spans="1:44" ht="13">
      <c r="A1474" s="13"/>
      <c r="B1474" s="13"/>
      <c r="C1474" s="18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</row>
    <row r="1475" spans="1:44" ht="13">
      <c r="A1475" s="13"/>
      <c r="B1475" s="13"/>
      <c r="C1475" s="18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</row>
    <row r="1476" spans="1:44" ht="13">
      <c r="A1476" s="13"/>
      <c r="B1476" s="13"/>
      <c r="C1476" s="18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</row>
    <row r="1477" spans="1:44" ht="13">
      <c r="A1477" s="13"/>
      <c r="B1477" s="13"/>
      <c r="C1477" s="18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</row>
    <row r="1478" spans="1:44" ht="13">
      <c r="A1478" s="13"/>
      <c r="B1478" s="13"/>
      <c r="C1478" s="18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</row>
    <row r="1479" spans="1:44" ht="13">
      <c r="A1479" s="13"/>
      <c r="B1479" s="13"/>
      <c r="C1479" s="18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</row>
    <row r="1480" spans="1:44" ht="13">
      <c r="A1480" s="13"/>
      <c r="B1480" s="13"/>
      <c r="C1480" s="18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</row>
    <row r="1481" spans="1:44" ht="13">
      <c r="A1481" s="13"/>
      <c r="B1481" s="13"/>
      <c r="C1481" s="18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</row>
    <row r="1482" spans="1:44" ht="13">
      <c r="A1482" s="13"/>
      <c r="B1482" s="13"/>
      <c r="C1482" s="18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</row>
    <row r="1483" spans="1:44" ht="13">
      <c r="A1483" s="13"/>
      <c r="B1483" s="13"/>
      <c r="C1483" s="18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</row>
    <row r="1484" spans="1:44" ht="13">
      <c r="A1484" s="13"/>
      <c r="B1484" s="13"/>
      <c r="C1484" s="18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</row>
    <row r="1485" spans="1:44" ht="13">
      <c r="A1485" s="13"/>
      <c r="B1485" s="13"/>
      <c r="C1485" s="18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</row>
    <row r="1486" spans="1:44" ht="13">
      <c r="A1486" s="13"/>
      <c r="B1486" s="13"/>
      <c r="C1486" s="18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</row>
    <row r="1487" spans="1:44" ht="13">
      <c r="A1487" s="13"/>
      <c r="B1487" s="13"/>
      <c r="C1487" s="18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</row>
    <row r="1488" spans="1:44" ht="13">
      <c r="A1488" s="13"/>
      <c r="B1488" s="13"/>
      <c r="C1488" s="18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</row>
    <row r="1489" spans="1:44" ht="13">
      <c r="A1489" s="13"/>
      <c r="B1489" s="13"/>
      <c r="C1489" s="18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</row>
    <row r="1490" spans="1:44" ht="13">
      <c r="A1490" s="13"/>
      <c r="B1490" s="13"/>
      <c r="C1490" s="18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</row>
    <row r="1491" spans="1:44" ht="13">
      <c r="A1491" s="13"/>
      <c r="B1491" s="13"/>
      <c r="C1491" s="18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</row>
    <row r="1492" spans="1:44" ht="13">
      <c r="A1492" s="13"/>
      <c r="B1492" s="13"/>
      <c r="C1492" s="18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</row>
    <row r="1493" spans="1:44" ht="13">
      <c r="A1493" s="13"/>
      <c r="B1493" s="13"/>
      <c r="C1493" s="18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</row>
    <row r="1494" spans="1:44" ht="13">
      <c r="A1494" s="13"/>
      <c r="B1494" s="13"/>
      <c r="C1494" s="18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</row>
    <row r="1495" spans="1:44" ht="13">
      <c r="A1495" s="13"/>
      <c r="B1495" s="13"/>
      <c r="C1495" s="18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</row>
    <row r="1496" spans="1:44" ht="13">
      <c r="A1496" s="13"/>
      <c r="B1496" s="13"/>
      <c r="C1496" s="18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</row>
    <row r="1497" spans="1:44" ht="13">
      <c r="A1497" s="13"/>
      <c r="B1497" s="13"/>
      <c r="C1497" s="18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</row>
    <row r="1498" spans="1:44" ht="13">
      <c r="A1498" s="13"/>
      <c r="B1498" s="13"/>
      <c r="C1498" s="18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</row>
    <row r="1499" spans="1:44" ht="13">
      <c r="A1499" s="13"/>
      <c r="B1499" s="13"/>
      <c r="C1499" s="18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</row>
    <row r="1500" spans="1:44" ht="13">
      <c r="A1500" s="13"/>
      <c r="B1500" s="13"/>
      <c r="C1500" s="18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</row>
    <row r="1501" spans="1:44" ht="13">
      <c r="A1501" s="13"/>
      <c r="B1501" s="13"/>
      <c r="C1501" s="18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</row>
    <row r="1502" spans="1:44" ht="13">
      <c r="A1502" s="13"/>
      <c r="B1502" s="13"/>
      <c r="C1502" s="18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</row>
    <row r="1503" spans="1:44" ht="13">
      <c r="A1503" s="13"/>
      <c r="B1503" s="13"/>
      <c r="C1503" s="18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</row>
    <row r="1504" spans="1:44" ht="13">
      <c r="A1504" s="13"/>
      <c r="B1504" s="13"/>
      <c r="C1504" s="18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</row>
    <row r="1505" spans="1:44" ht="13">
      <c r="A1505" s="13"/>
      <c r="B1505" s="13"/>
      <c r="C1505" s="18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</row>
    <row r="1506" spans="1:44" ht="13">
      <c r="A1506" s="13"/>
      <c r="B1506" s="13"/>
      <c r="C1506" s="18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</row>
    <row r="1507" spans="1:44" ht="13">
      <c r="A1507" s="13"/>
      <c r="B1507" s="13"/>
      <c r="C1507" s="18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</row>
    <row r="1508" spans="1:44" ht="13">
      <c r="A1508" s="13"/>
      <c r="B1508" s="13"/>
      <c r="C1508" s="18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</row>
    <row r="1509" spans="1:44" ht="13">
      <c r="A1509" s="13"/>
      <c r="B1509" s="13"/>
      <c r="C1509" s="18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</row>
  </sheetData>
  <hyperlinks>
    <hyperlink ref="AM168" r:id="rId1" xr:uid="{00000000-0004-0000-0000-000000000000}"/>
    <hyperlink ref="AM169" r:id="rId2" xr:uid="{00000000-0004-0000-0000-000001000000}"/>
    <hyperlink ref="AM170" r:id="rId3" xr:uid="{00000000-0004-0000-0000-000002000000}"/>
    <hyperlink ref="AM171" r:id="rId4" xr:uid="{00000000-0004-0000-0000-000003000000}"/>
    <hyperlink ref="AM172" r:id="rId5" xr:uid="{00000000-0004-0000-0000-000004000000}"/>
    <hyperlink ref="AM173" r:id="rId6" xr:uid="{00000000-0004-0000-0000-000005000000}"/>
    <hyperlink ref="AM174" r:id="rId7" xr:uid="{00000000-0004-0000-0000-000006000000}"/>
    <hyperlink ref="AM175" r:id="rId8" xr:uid="{00000000-0004-0000-0000-000007000000}"/>
    <hyperlink ref="AM176" r:id="rId9" xr:uid="{00000000-0004-0000-0000-000008000000}"/>
    <hyperlink ref="AM177" r:id="rId10" xr:uid="{00000000-0004-0000-0000-000009000000}"/>
    <hyperlink ref="AM178" r:id="rId11" xr:uid="{00000000-0004-0000-0000-00000A000000}"/>
    <hyperlink ref="AM179" r:id="rId12" xr:uid="{00000000-0004-0000-0000-00000B000000}"/>
    <hyperlink ref="AM180" r:id="rId13" xr:uid="{00000000-0004-0000-0000-00000C000000}"/>
    <hyperlink ref="AM182" r:id="rId14" xr:uid="{00000000-0004-0000-0000-00000D000000}"/>
    <hyperlink ref="AM183" r:id="rId15" xr:uid="{00000000-0004-0000-0000-00000E000000}"/>
    <hyperlink ref="AM184" r:id="rId16" xr:uid="{00000000-0004-0000-0000-00000F000000}"/>
    <hyperlink ref="AM185" r:id="rId17" xr:uid="{00000000-0004-0000-0000-000010000000}"/>
    <hyperlink ref="AM186" r:id="rId18" xr:uid="{00000000-0004-0000-0000-000011000000}"/>
    <hyperlink ref="AM187" r:id="rId19" xr:uid="{00000000-0004-0000-0000-000012000000}"/>
    <hyperlink ref="AM188" r:id="rId20" xr:uid="{00000000-0004-0000-0000-000013000000}"/>
    <hyperlink ref="AM189" r:id="rId21" xr:uid="{00000000-0004-0000-0000-000014000000}"/>
    <hyperlink ref="AM190" r:id="rId22" xr:uid="{00000000-0004-0000-0000-000015000000}"/>
    <hyperlink ref="AM191" r:id="rId23" xr:uid="{00000000-0004-0000-0000-000016000000}"/>
    <hyperlink ref="AM192" r:id="rId24" xr:uid="{00000000-0004-0000-0000-000017000000}"/>
    <hyperlink ref="AM193" r:id="rId25" xr:uid="{00000000-0004-0000-0000-000018000000}"/>
    <hyperlink ref="AM194" r:id="rId26" xr:uid="{00000000-0004-0000-0000-000019000000}"/>
    <hyperlink ref="AM195" r:id="rId27" xr:uid="{00000000-0004-0000-0000-00001A000000}"/>
    <hyperlink ref="AM196" r:id="rId28" xr:uid="{00000000-0004-0000-0000-00001B000000}"/>
    <hyperlink ref="AM197" r:id="rId29" xr:uid="{00000000-0004-0000-0000-00001C000000}"/>
    <hyperlink ref="AM198" r:id="rId30" xr:uid="{00000000-0004-0000-0000-00001D000000}"/>
    <hyperlink ref="AM199" r:id="rId31" xr:uid="{00000000-0004-0000-0000-00001E000000}"/>
    <hyperlink ref="AM200" r:id="rId32" xr:uid="{00000000-0004-0000-0000-00001F000000}"/>
    <hyperlink ref="AM201" r:id="rId33" xr:uid="{00000000-0004-0000-0000-000020000000}"/>
    <hyperlink ref="AM202" r:id="rId34" xr:uid="{00000000-0004-0000-0000-000021000000}"/>
    <hyperlink ref="AM203" r:id="rId35" xr:uid="{00000000-0004-0000-0000-000022000000}"/>
    <hyperlink ref="AM204" r:id="rId36" xr:uid="{00000000-0004-0000-0000-000023000000}"/>
    <hyperlink ref="AM205" r:id="rId37" xr:uid="{00000000-0004-0000-0000-000024000000}"/>
    <hyperlink ref="AM206" r:id="rId38" xr:uid="{00000000-0004-0000-0000-000025000000}"/>
    <hyperlink ref="AM207" r:id="rId39" xr:uid="{00000000-0004-0000-0000-000026000000}"/>
    <hyperlink ref="AM208" r:id="rId40" xr:uid="{00000000-0004-0000-0000-000027000000}"/>
    <hyperlink ref="AM209" r:id="rId41" xr:uid="{00000000-0004-0000-0000-000028000000}"/>
    <hyperlink ref="AM210" r:id="rId42" xr:uid="{00000000-0004-0000-0000-000029000000}"/>
    <hyperlink ref="AM211" r:id="rId43" xr:uid="{00000000-0004-0000-0000-00002A000000}"/>
    <hyperlink ref="AM212" r:id="rId44" xr:uid="{00000000-0004-0000-0000-00002B000000}"/>
    <hyperlink ref="AM213" r:id="rId45" xr:uid="{00000000-0004-0000-0000-00002C000000}"/>
    <hyperlink ref="AM214" r:id="rId46" xr:uid="{00000000-0004-0000-0000-00002D000000}"/>
    <hyperlink ref="AM215" r:id="rId47" xr:uid="{00000000-0004-0000-0000-00002E000000}"/>
    <hyperlink ref="AM216" r:id="rId48" xr:uid="{00000000-0004-0000-0000-00002F000000}"/>
    <hyperlink ref="AM217" r:id="rId49" xr:uid="{00000000-0004-0000-0000-000030000000}"/>
    <hyperlink ref="AM218" r:id="rId50" xr:uid="{00000000-0004-0000-0000-000031000000}"/>
    <hyperlink ref="AM219" r:id="rId51" xr:uid="{00000000-0004-0000-0000-000032000000}"/>
    <hyperlink ref="AM220" r:id="rId52" xr:uid="{00000000-0004-0000-0000-000033000000}"/>
    <hyperlink ref="AM221" r:id="rId53" xr:uid="{00000000-0004-0000-0000-000034000000}"/>
    <hyperlink ref="AM222" r:id="rId54" xr:uid="{00000000-0004-0000-0000-000035000000}"/>
    <hyperlink ref="AM223" r:id="rId55" xr:uid="{00000000-0004-0000-0000-000036000000}"/>
    <hyperlink ref="AM224" r:id="rId56" xr:uid="{00000000-0004-0000-0000-000037000000}"/>
    <hyperlink ref="AM225" r:id="rId57" xr:uid="{00000000-0004-0000-0000-000038000000}"/>
    <hyperlink ref="AM226" r:id="rId58" xr:uid="{00000000-0004-0000-0000-000039000000}"/>
    <hyperlink ref="AM227" r:id="rId59" xr:uid="{00000000-0004-0000-0000-00003A000000}"/>
    <hyperlink ref="AM228" r:id="rId60" xr:uid="{00000000-0004-0000-0000-00003B000000}"/>
    <hyperlink ref="AM229" r:id="rId61" xr:uid="{00000000-0004-0000-0000-00003C000000}"/>
    <hyperlink ref="AM230" r:id="rId62" xr:uid="{00000000-0004-0000-0000-00003D000000}"/>
    <hyperlink ref="AM231" r:id="rId63" xr:uid="{00000000-0004-0000-0000-00003E000000}"/>
    <hyperlink ref="AM232" r:id="rId64" xr:uid="{00000000-0004-0000-0000-00003F000000}"/>
    <hyperlink ref="AM233" r:id="rId65" xr:uid="{00000000-0004-0000-0000-000040000000}"/>
    <hyperlink ref="AM234" r:id="rId66" xr:uid="{00000000-0004-0000-0000-000041000000}"/>
    <hyperlink ref="AM235" r:id="rId67" xr:uid="{00000000-0004-0000-0000-000042000000}"/>
    <hyperlink ref="AM236" r:id="rId68" xr:uid="{00000000-0004-0000-0000-000043000000}"/>
    <hyperlink ref="AM237" r:id="rId69" xr:uid="{00000000-0004-0000-0000-000044000000}"/>
    <hyperlink ref="AM238" r:id="rId70" xr:uid="{00000000-0004-0000-0000-000045000000}"/>
    <hyperlink ref="AM239" r:id="rId71" xr:uid="{00000000-0004-0000-0000-000046000000}"/>
    <hyperlink ref="AM240" r:id="rId72" xr:uid="{00000000-0004-0000-0000-000047000000}"/>
    <hyperlink ref="AM241" r:id="rId73" xr:uid="{00000000-0004-0000-0000-000048000000}"/>
    <hyperlink ref="AM242" r:id="rId74" xr:uid="{00000000-0004-0000-0000-000049000000}"/>
    <hyperlink ref="AM243" r:id="rId75" xr:uid="{00000000-0004-0000-0000-00004A000000}"/>
    <hyperlink ref="AM244" r:id="rId76" xr:uid="{00000000-0004-0000-0000-00004B000000}"/>
    <hyperlink ref="AM245" r:id="rId77" xr:uid="{00000000-0004-0000-0000-00004C000000}"/>
    <hyperlink ref="AM246" r:id="rId78" xr:uid="{00000000-0004-0000-0000-00004D000000}"/>
    <hyperlink ref="AM247" r:id="rId79" xr:uid="{00000000-0004-0000-0000-00004E000000}"/>
    <hyperlink ref="AM248" r:id="rId80" xr:uid="{00000000-0004-0000-0000-00004F000000}"/>
    <hyperlink ref="AM249" r:id="rId81" xr:uid="{00000000-0004-0000-0000-000050000000}"/>
    <hyperlink ref="AM250" r:id="rId82" xr:uid="{00000000-0004-0000-0000-000051000000}"/>
    <hyperlink ref="AM251" r:id="rId83" xr:uid="{00000000-0004-0000-0000-000052000000}"/>
    <hyperlink ref="AM252" r:id="rId84" xr:uid="{00000000-0004-0000-0000-000053000000}"/>
    <hyperlink ref="AM253" r:id="rId85" xr:uid="{00000000-0004-0000-0000-000054000000}"/>
    <hyperlink ref="AM254" r:id="rId86" xr:uid="{00000000-0004-0000-0000-000055000000}"/>
    <hyperlink ref="AM255" r:id="rId87" xr:uid="{00000000-0004-0000-0000-000056000000}"/>
    <hyperlink ref="AM256" r:id="rId88" xr:uid="{00000000-0004-0000-0000-000057000000}"/>
    <hyperlink ref="AM257" r:id="rId89" xr:uid="{00000000-0004-0000-0000-000058000000}"/>
    <hyperlink ref="AM258" r:id="rId90" xr:uid="{00000000-0004-0000-0000-000059000000}"/>
    <hyperlink ref="AM259" r:id="rId91" xr:uid="{00000000-0004-0000-0000-00005A000000}"/>
    <hyperlink ref="AM260" r:id="rId92" xr:uid="{00000000-0004-0000-0000-00005B000000}"/>
    <hyperlink ref="AM261" r:id="rId93" xr:uid="{00000000-0004-0000-0000-00005C000000}"/>
    <hyperlink ref="AM262" r:id="rId94" xr:uid="{00000000-0004-0000-0000-00005D000000}"/>
    <hyperlink ref="AM263" r:id="rId95" xr:uid="{00000000-0004-0000-0000-00005E000000}"/>
    <hyperlink ref="AM264" r:id="rId96" xr:uid="{00000000-0004-0000-0000-00005F000000}"/>
    <hyperlink ref="AM265" r:id="rId97" xr:uid="{00000000-0004-0000-0000-000060000000}"/>
    <hyperlink ref="AM266" r:id="rId98" xr:uid="{00000000-0004-0000-0000-000061000000}"/>
    <hyperlink ref="AM267" r:id="rId99" xr:uid="{00000000-0004-0000-0000-000062000000}"/>
    <hyperlink ref="AM268" r:id="rId100" xr:uid="{00000000-0004-0000-0000-000063000000}"/>
    <hyperlink ref="AM269" r:id="rId101" xr:uid="{00000000-0004-0000-0000-000064000000}"/>
    <hyperlink ref="AM270" r:id="rId102" xr:uid="{00000000-0004-0000-0000-000065000000}"/>
    <hyperlink ref="AM271" r:id="rId103" xr:uid="{00000000-0004-0000-0000-000066000000}"/>
    <hyperlink ref="AM272" r:id="rId104" xr:uid="{00000000-0004-0000-0000-000067000000}"/>
    <hyperlink ref="AM273" r:id="rId105" xr:uid="{00000000-0004-0000-0000-000068000000}"/>
    <hyperlink ref="AM274" r:id="rId106" xr:uid="{00000000-0004-0000-0000-000069000000}"/>
    <hyperlink ref="AM275" r:id="rId107" xr:uid="{00000000-0004-0000-0000-00006A000000}"/>
    <hyperlink ref="AM276" r:id="rId108" xr:uid="{00000000-0004-0000-0000-00006B000000}"/>
    <hyperlink ref="AM277" r:id="rId109" xr:uid="{00000000-0004-0000-0000-00006C000000}"/>
    <hyperlink ref="AM278" r:id="rId110" xr:uid="{00000000-0004-0000-0000-00006D000000}"/>
    <hyperlink ref="AM279" r:id="rId111" xr:uid="{00000000-0004-0000-0000-00006E000000}"/>
    <hyperlink ref="AM280" r:id="rId112" xr:uid="{00000000-0004-0000-0000-00006F000000}"/>
    <hyperlink ref="AM281" r:id="rId113" xr:uid="{00000000-0004-0000-0000-000070000000}"/>
    <hyperlink ref="AM282" r:id="rId114" xr:uid="{00000000-0004-0000-0000-000071000000}"/>
    <hyperlink ref="AM283" r:id="rId115" xr:uid="{00000000-0004-0000-0000-000072000000}"/>
    <hyperlink ref="AM284" r:id="rId116" xr:uid="{00000000-0004-0000-0000-000073000000}"/>
    <hyperlink ref="AM285" r:id="rId117" xr:uid="{00000000-0004-0000-0000-000074000000}"/>
    <hyperlink ref="AM286" r:id="rId118" xr:uid="{00000000-0004-0000-0000-000075000000}"/>
    <hyperlink ref="AM287" r:id="rId119" xr:uid="{00000000-0004-0000-0000-000076000000}"/>
    <hyperlink ref="AM288" r:id="rId120" xr:uid="{00000000-0004-0000-0000-000077000000}"/>
    <hyperlink ref="AM289" r:id="rId121" xr:uid="{00000000-0004-0000-0000-000078000000}"/>
    <hyperlink ref="AM290" r:id="rId122" xr:uid="{00000000-0004-0000-0000-000079000000}"/>
    <hyperlink ref="AM291" r:id="rId123" xr:uid="{00000000-0004-0000-0000-00007A000000}"/>
    <hyperlink ref="AM292" r:id="rId124" xr:uid="{00000000-0004-0000-0000-00007B000000}"/>
    <hyperlink ref="AM293" r:id="rId125" xr:uid="{00000000-0004-0000-0000-00007C000000}"/>
    <hyperlink ref="AM294" r:id="rId126" xr:uid="{00000000-0004-0000-0000-00007D000000}"/>
    <hyperlink ref="AM295" r:id="rId127" xr:uid="{00000000-0004-0000-0000-00007E000000}"/>
    <hyperlink ref="AM296" r:id="rId128" xr:uid="{00000000-0004-0000-0000-00007F000000}"/>
    <hyperlink ref="AM297" r:id="rId129" xr:uid="{00000000-0004-0000-0000-000080000000}"/>
    <hyperlink ref="AM298" r:id="rId130" xr:uid="{00000000-0004-0000-0000-000081000000}"/>
    <hyperlink ref="AM299" r:id="rId131" xr:uid="{00000000-0004-0000-0000-000082000000}"/>
    <hyperlink ref="AM300" r:id="rId132" xr:uid="{00000000-0004-0000-0000-000083000000}"/>
    <hyperlink ref="AM301" r:id="rId133" xr:uid="{00000000-0004-0000-0000-000084000000}"/>
    <hyperlink ref="AM302" r:id="rId134" xr:uid="{00000000-0004-0000-0000-000085000000}"/>
    <hyperlink ref="AM303" r:id="rId135" xr:uid="{00000000-0004-0000-0000-000086000000}"/>
    <hyperlink ref="AM304" r:id="rId136" xr:uid="{00000000-0004-0000-0000-000087000000}"/>
    <hyperlink ref="AM306" r:id="rId137" xr:uid="{00000000-0004-0000-0000-000088000000}"/>
    <hyperlink ref="AM307" r:id="rId138" xr:uid="{00000000-0004-0000-0000-000089000000}"/>
    <hyperlink ref="AM308" r:id="rId139" xr:uid="{00000000-0004-0000-0000-00008A000000}"/>
    <hyperlink ref="AM309" r:id="rId140" xr:uid="{00000000-0004-0000-0000-00008B000000}"/>
    <hyperlink ref="AM310" r:id="rId141" xr:uid="{00000000-0004-0000-0000-00008C000000}"/>
    <hyperlink ref="AM311" r:id="rId142" xr:uid="{00000000-0004-0000-0000-00008D000000}"/>
    <hyperlink ref="AM312" r:id="rId143" xr:uid="{00000000-0004-0000-0000-00008E000000}"/>
    <hyperlink ref="AM313" r:id="rId144" xr:uid="{00000000-0004-0000-0000-00008F000000}"/>
    <hyperlink ref="AM314" r:id="rId145" xr:uid="{00000000-0004-0000-0000-000090000000}"/>
    <hyperlink ref="AM315" r:id="rId146" xr:uid="{00000000-0004-0000-0000-000091000000}"/>
    <hyperlink ref="AM316" r:id="rId147" xr:uid="{00000000-0004-0000-0000-000092000000}"/>
    <hyperlink ref="AM317" r:id="rId148" xr:uid="{00000000-0004-0000-0000-000093000000}"/>
    <hyperlink ref="AM318" r:id="rId149" xr:uid="{00000000-0004-0000-0000-000094000000}"/>
    <hyperlink ref="AM319" r:id="rId150" xr:uid="{00000000-0004-0000-0000-000095000000}"/>
    <hyperlink ref="AM320" r:id="rId151" xr:uid="{00000000-0004-0000-0000-000096000000}"/>
    <hyperlink ref="AM321" r:id="rId152" xr:uid="{00000000-0004-0000-0000-000097000000}"/>
    <hyperlink ref="AM322" r:id="rId153" xr:uid="{00000000-0004-0000-0000-000098000000}"/>
    <hyperlink ref="AM323" r:id="rId154" xr:uid="{00000000-0004-0000-0000-000099000000}"/>
    <hyperlink ref="AM324" r:id="rId155" xr:uid="{00000000-0004-0000-0000-00009A000000}"/>
    <hyperlink ref="AM325" r:id="rId156" xr:uid="{00000000-0004-0000-0000-00009B000000}"/>
    <hyperlink ref="AM326" r:id="rId157" xr:uid="{00000000-0004-0000-0000-00009C000000}"/>
    <hyperlink ref="AM327" r:id="rId158" xr:uid="{00000000-0004-0000-0000-00009D000000}"/>
    <hyperlink ref="AM328" r:id="rId159" xr:uid="{00000000-0004-0000-0000-00009E000000}"/>
    <hyperlink ref="AM329" r:id="rId160" xr:uid="{00000000-0004-0000-0000-00009F000000}"/>
    <hyperlink ref="AM330" r:id="rId161" xr:uid="{00000000-0004-0000-0000-0000A0000000}"/>
    <hyperlink ref="AM331" r:id="rId162" xr:uid="{00000000-0004-0000-0000-0000A1000000}"/>
    <hyperlink ref="AM332" r:id="rId163" xr:uid="{00000000-0004-0000-0000-0000A2000000}"/>
    <hyperlink ref="AM333" r:id="rId164" xr:uid="{00000000-0004-0000-0000-0000A3000000}"/>
    <hyperlink ref="AM334" r:id="rId165" xr:uid="{00000000-0004-0000-0000-0000A4000000}"/>
    <hyperlink ref="AM335" r:id="rId166" xr:uid="{00000000-0004-0000-0000-0000A5000000}"/>
    <hyperlink ref="AM336" r:id="rId167" xr:uid="{00000000-0004-0000-0000-0000A6000000}"/>
    <hyperlink ref="AM337" r:id="rId168" xr:uid="{00000000-0004-0000-0000-0000A7000000}"/>
    <hyperlink ref="AM338" r:id="rId169" xr:uid="{00000000-0004-0000-0000-0000A8000000}"/>
    <hyperlink ref="AM339" r:id="rId170" xr:uid="{00000000-0004-0000-0000-0000A9000000}"/>
    <hyperlink ref="AM340" r:id="rId171" xr:uid="{00000000-0004-0000-0000-0000AA000000}"/>
    <hyperlink ref="AM341" r:id="rId172" xr:uid="{00000000-0004-0000-0000-0000AB000000}"/>
    <hyperlink ref="AM342" r:id="rId173" xr:uid="{00000000-0004-0000-0000-0000AC000000}"/>
    <hyperlink ref="AM343" r:id="rId174" xr:uid="{00000000-0004-0000-0000-0000AD000000}"/>
    <hyperlink ref="AM344" r:id="rId175" xr:uid="{00000000-0004-0000-0000-0000AE000000}"/>
    <hyperlink ref="AM345" r:id="rId176" xr:uid="{00000000-0004-0000-0000-0000AF000000}"/>
    <hyperlink ref="AM346" r:id="rId177" xr:uid="{00000000-0004-0000-0000-0000B0000000}"/>
    <hyperlink ref="AM347" r:id="rId178" xr:uid="{00000000-0004-0000-0000-0000B1000000}"/>
    <hyperlink ref="AM348" r:id="rId179" xr:uid="{00000000-0004-0000-0000-0000B2000000}"/>
    <hyperlink ref="AM349" r:id="rId180" xr:uid="{00000000-0004-0000-0000-0000B3000000}"/>
    <hyperlink ref="AM350" r:id="rId181" xr:uid="{00000000-0004-0000-0000-0000B4000000}"/>
    <hyperlink ref="AM351" r:id="rId182" xr:uid="{00000000-0004-0000-0000-0000B5000000}"/>
    <hyperlink ref="AM352" r:id="rId183" xr:uid="{00000000-0004-0000-0000-0000B6000000}"/>
    <hyperlink ref="AM353" r:id="rId184" xr:uid="{00000000-0004-0000-0000-0000B7000000}"/>
    <hyperlink ref="AM354" r:id="rId185" xr:uid="{00000000-0004-0000-0000-0000B8000000}"/>
    <hyperlink ref="AM355" r:id="rId186" xr:uid="{00000000-0004-0000-0000-0000B9000000}"/>
    <hyperlink ref="AM356" r:id="rId187" xr:uid="{00000000-0004-0000-0000-0000BA000000}"/>
    <hyperlink ref="AM357" r:id="rId188" xr:uid="{00000000-0004-0000-0000-0000BB000000}"/>
    <hyperlink ref="AM358" r:id="rId189" xr:uid="{00000000-0004-0000-0000-0000BC000000}"/>
    <hyperlink ref="AM359" r:id="rId190" xr:uid="{00000000-0004-0000-0000-0000BD000000}"/>
    <hyperlink ref="AM360" r:id="rId191" xr:uid="{00000000-0004-0000-0000-0000BE000000}"/>
    <hyperlink ref="AM361" r:id="rId192" xr:uid="{00000000-0004-0000-0000-0000BF000000}"/>
    <hyperlink ref="AM362" r:id="rId193" xr:uid="{00000000-0004-0000-0000-0000C0000000}"/>
    <hyperlink ref="AM363" r:id="rId194" xr:uid="{00000000-0004-0000-0000-0000C1000000}"/>
    <hyperlink ref="AM364" r:id="rId195" xr:uid="{00000000-0004-0000-0000-0000C2000000}"/>
    <hyperlink ref="AM365" r:id="rId196" xr:uid="{00000000-0004-0000-0000-0000C3000000}"/>
    <hyperlink ref="AM366" r:id="rId197" xr:uid="{00000000-0004-0000-0000-0000C4000000}"/>
    <hyperlink ref="AM367" r:id="rId198" xr:uid="{00000000-0004-0000-0000-0000C5000000}"/>
    <hyperlink ref="AM368" r:id="rId199" xr:uid="{00000000-0004-0000-0000-0000C6000000}"/>
    <hyperlink ref="AM369" r:id="rId200" xr:uid="{00000000-0004-0000-0000-0000C7000000}"/>
    <hyperlink ref="AM370" r:id="rId201" xr:uid="{00000000-0004-0000-0000-0000C8000000}"/>
    <hyperlink ref="AM371" r:id="rId202" xr:uid="{00000000-0004-0000-0000-0000C9000000}"/>
    <hyperlink ref="AM372" r:id="rId203" xr:uid="{00000000-0004-0000-0000-0000CA000000}"/>
    <hyperlink ref="AM373" r:id="rId204" xr:uid="{00000000-0004-0000-0000-0000CB000000}"/>
    <hyperlink ref="AM374" r:id="rId205" xr:uid="{00000000-0004-0000-0000-0000CC000000}"/>
    <hyperlink ref="AM375" r:id="rId206" xr:uid="{00000000-0004-0000-0000-0000CD000000}"/>
    <hyperlink ref="AM376" r:id="rId207" xr:uid="{00000000-0004-0000-0000-0000CE000000}"/>
    <hyperlink ref="AM377" r:id="rId208" xr:uid="{00000000-0004-0000-0000-0000CF000000}"/>
    <hyperlink ref="AM378" r:id="rId209" xr:uid="{00000000-0004-0000-0000-0000D0000000}"/>
    <hyperlink ref="AM379" r:id="rId210" xr:uid="{00000000-0004-0000-0000-0000D1000000}"/>
    <hyperlink ref="AM380" r:id="rId211" xr:uid="{00000000-0004-0000-0000-0000D2000000}"/>
    <hyperlink ref="AM381" r:id="rId212" xr:uid="{00000000-0004-0000-0000-0000D3000000}"/>
    <hyperlink ref="AM382" r:id="rId213" xr:uid="{00000000-0004-0000-0000-0000D4000000}"/>
    <hyperlink ref="AM383" r:id="rId214" xr:uid="{00000000-0004-0000-0000-0000D5000000}"/>
    <hyperlink ref="AM384" r:id="rId215" xr:uid="{00000000-0004-0000-0000-0000D6000000}"/>
    <hyperlink ref="AM385" r:id="rId216" xr:uid="{00000000-0004-0000-0000-0000D7000000}"/>
    <hyperlink ref="AM386" r:id="rId217" xr:uid="{00000000-0004-0000-0000-0000D8000000}"/>
    <hyperlink ref="AM387" r:id="rId218" xr:uid="{00000000-0004-0000-0000-0000D9000000}"/>
    <hyperlink ref="AM388" r:id="rId219" xr:uid="{00000000-0004-0000-0000-0000DA000000}"/>
    <hyperlink ref="AM389" r:id="rId220" xr:uid="{00000000-0004-0000-0000-0000DB000000}"/>
    <hyperlink ref="AM390" r:id="rId221" xr:uid="{00000000-0004-0000-0000-0000DC000000}"/>
    <hyperlink ref="AM391" r:id="rId222" xr:uid="{00000000-0004-0000-0000-0000DD000000}"/>
    <hyperlink ref="AM392" r:id="rId223" xr:uid="{00000000-0004-0000-0000-0000DE000000}"/>
    <hyperlink ref="AM393" r:id="rId224" xr:uid="{00000000-0004-0000-0000-0000DF000000}"/>
    <hyperlink ref="AM394" r:id="rId225" xr:uid="{00000000-0004-0000-0000-0000E0000000}"/>
    <hyperlink ref="AM395" r:id="rId226" xr:uid="{00000000-0004-0000-0000-0000E1000000}"/>
    <hyperlink ref="AM396" r:id="rId227" xr:uid="{00000000-0004-0000-0000-0000E2000000}"/>
    <hyperlink ref="AM397" r:id="rId228" xr:uid="{00000000-0004-0000-0000-0000E3000000}"/>
    <hyperlink ref="AM398" r:id="rId229" xr:uid="{00000000-0004-0000-0000-0000E4000000}"/>
    <hyperlink ref="AM399" r:id="rId230" xr:uid="{00000000-0004-0000-0000-0000E5000000}"/>
    <hyperlink ref="AM400" r:id="rId231" xr:uid="{00000000-0004-0000-0000-0000E6000000}"/>
    <hyperlink ref="AM401" r:id="rId232" xr:uid="{00000000-0004-0000-0000-0000E7000000}"/>
    <hyperlink ref="AM402" r:id="rId233" xr:uid="{00000000-0004-0000-0000-0000E8000000}"/>
    <hyperlink ref="AM403" r:id="rId234" xr:uid="{00000000-0004-0000-0000-0000E9000000}"/>
    <hyperlink ref="AM404" r:id="rId235" xr:uid="{00000000-0004-0000-0000-0000EA000000}"/>
    <hyperlink ref="AM405" r:id="rId236" xr:uid="{00000000-0004-0000-0000-0000EB000000}"/>
    <hyperlink ref="AM406" r:id="rId237" xr:uid="{00000000-0004-0000-0000-0000EC000000}"/>
    <hyperlink ref="AM407" r:id="rId238" xr:uid="{00000000-0004-0000-0000-0000ED000000}"/>
    <hyperlink ref="AM408" r:id="rId239" xr:uid="{00000000-0004-0000-0000-0000EE000000}"/>
    <hyperlink ref="AM409" r:id="rId240" xr:uid="{00000000-0004-0000-0000-0000EF000000}"/>
    <hyperlink ref="AM410" r:id="rId241" xr:uid="{00000000-0004-0000-0000-0000F0000000}"/>
    <hyperlink ref="AM411" r:id="rId242" xr:uid="{00000000-0004-0000-0000-0000F1000000}"/>
    <hyperlink ref="AM412" r:id="rId243" xr:uid="{00000000-0004-0000-0000-0000F2000000}"/>
    <hyperlink ref="AM413" r:id="rId244" xr:uid="{00000000-0004-0000-0000-0000F3000000}"/>
    <hyperlink ref="AM414" r:id="rId245" xr:uid="{00000000-0004-0000-0000-0000F4000000}"/>
    <hyperlink ref="AM415" r:id="rId246" xr:uid="{00000000-0004-0000-0000-0000F5000000}"/>
    <hyperlink ref="AM416" r:id="rId247" xr:uid="{00000000-0004-0000-0000-0000F6000000}"/>
    <hyperlink ref="AM417" r:id="rId248" xr:uid="{00000000-0004-0000-0000-0000F7000000}"/>
    <hyperlink ref="AM418" r:id="rId249" xr:uid="{00000000-0004-0000-0000-0000F8000000}"/>
    <hyperlink ref="AM419" r:id="rId250" xr:uid="{00000000-0004-0000-0000-0000F9000000}"/>
    <hyperlink ref="AM420" r:id="rId251" xr:uid="{00000000-0004-0000-0000-0000FA000000}"/>
    <hyperlink ref="AM421" r:id="rId252" xr:uid="{00000000-0004-0000-0000-0000FB000000}"/>
    <hyperlink ref="AM422" r:id="rId253" xr:uid="{00000000-0004-0000-0000-0000FC000000}"/>
    <hyperlink ref="AM423" r:id="rId254" xr:uid="{00000000-0004-0000-0000-0000FD000000}"/>
    <hyperlink ref="AM424" r:id="rId255" xr:uid="{00000000-0004-0000-0000-0000FE000000}"/>
    <hyperlink ref="AM425" r:id="rId256" xr:uid="{00000000-0004-0000-0000-0000FF000000}"/>
    <hyperlink ref="AM426" r:id="rId257" xr:uid="{00000000-0004-0000-0000-000000010000}"/>
    <hyperlink ref="AM427" r:id="rId258" xr:uid="{00000000-0004-0000-0000-000001010000}"/>
    <hyperlink ref="AM428" r:id="rId259" xr:uid="{00000000-0004-0000-0000-000002010000}"/>
    <hyperlink ref="AM429" r:id="rId260" xr:uid="{00000000-0004-0000-0000-000003010000}"/>
    <hyperlink ref="AM430" r:id="rId261" xr:uid="{00000000-0004-0000-0000-000004010000}"/>
    <hyperlink ref="AM431" r:id="rId262" xr:uid="{00000000-0004-0000-0000-000005010000}"/>
    <hyperlink ref="AM432" r:id="rId263" xr:uid="{00000000-0004-0000-0000-000006010000}"/>
    <hyperlink ref="AM433" r:id="rId264" xr:uid="{00000000-0004-0000-0000-000007010000}"/>
    <hyperlink ref="AM434" r:id="rId265" xr:uid="{00000000-0004-0000-0000-000008010000}"/>
    <hyperlink ref="AM435" r:id="rId266" xr:uid="{00000000-0004-0000-0000-000009010000}"/>
    <hyperlink ref="AM436" r:id="rId267" xr:uid="{00000000-0004-0000-0000-00000A010000}"/>
    <hyperlink ref="AM437" r:id="rId268" xr:uid="{00000000-0004-0000-0000-00000B010000}"/>
    <hyperlink ref="AM438" r:id="rId269" xr:uid="{00000000-0004-0000-0000-00000C010000}"/>
    <hyperlink ref="AM439" r:id="rId270" xr:uid="{00000000-0004-0000-0000-00000D010000}"/>
    <hyperlink ref="AM440" r:id="rId271" xr:uid="{00000000-0004-0000-0000-00000E010000}"/>
    <hyperlink ref="AM441" r:id="rId272" xr:uid="{00000000-0004-0000-0000-00000F010000}"/>
    <hyperlink ref="AM442" r:id="rId273" xr:uid="{00000000-0004-0000-0000-000010010000}"/>
    <hyperlink ref="AM443" r:id="rId274" xr:uid="{00000000-0004-0000-0000-000011010000}"/>
    <hyperlink ref="AM444" r:id="rId275" xr:uid="{00000000-0004-0000-0000-000012010000}"/>
    <hyperlink ref="AM445" r:id="rId276" xr:uid="{00000000-0004-0000-0000-000013010000}"/>
    <hyperlink ref="AM446" r:id="rId277" xr:uid="{00000000-0004-0000-0000-000014010000}"/>
    <hyperlink ref="AM447" r:id="rId278" xr:uid="{00000000-0004-0000-0000-000015010000}"/>
    <hyperlink ref="AM448" r:id="rId279" xr:uid="{00000000-0004-0000-0000-000016010000}"/>
    <hyperlink ref="AM449" r:id="rId280" xr:uid="{00000000-0004-0000-0000-000017010000}"/>
    <hyperlink ref="AM450" r:id="rId281" xr:uid="{00000000-0004-0000-0000-000018010000}"/>
    <hyperlink ref="AM451" r:id="rId282" xr:uid="{00000000-0004-0000-0000-000019010000}"/>
    <hyperlink ref="AM452" r:id="rId283" xr:uid="{00000000-0004-0000-0000-00001A010000}"/>
    <hyperlink ref="AM453" r:id="rId284" xr:uid="{00000000-0004-0000-0000-00001B010000}"/>
    <hyperlink ref="AM454" r:id="rId285" xr:uid="{00000000-0004-0000-0000-00001C010000}"/>
    <hyperlink ref="AM455" r:id="rId286" xr:uid="{00000000-0004-0000-0000-00001D010000}"/>
    <hyperlink ref="AM456" r:id="rId287" xr:uid="{00000000-0004-0000-0000-00001E010000}"/>
    <hyperlink ref="AM457" r:id="rId288" xr:uid="{00000000-0004-0000-0000-00001F010000}"/>
    <hyperlink ref="AM458" r:id="rId289" xr:uid="{00000000-0004-0000-0000-000020010000}"/>
    <hyperlink ref="AM459" r:id="rId290" xr:uid="{00000000-0004-0000-0000-000021010000}"/>
    <hyperlink ref="AM460" r:id="rId291" xr:uid="{00000000-0004-0000-0000-000022010000}"/>
    <hyperlink ref="AM461" r:id="rId292" xr:uid="{00000000-0004-0000-0000-000023010000}"/>
    <hyperlink ref="AM462" r:id="rId293" xr:uid="{00000000-0004-0000-0000-000024010000}"/>
    <hyperlink ref="AM463" r:id="rId294" xr:uid="{00000000-0004-0000-0000-000025010000}"/>
    <hyperlink ref="AM464" r:id="rId295" xr:uid="{00000000-0004-0000-0000-000026010000}"/>
    <hyperlink ref="AM465" r:id="rId296" xr:uid="{00000000-0004-0000-0000-000027010000}"/>
    <hyperlink ref="AM466" r:id="rId297" xr:uid="{00000000-0004-0000-0000-000028010000}"/>
    <hyperlink ref="AM467" r:id="rId298" xr:uid="{00000000-0004-0000-0000-000029010000}"/>
    <hyperlink ref="AM468" r:id="rId299" xr:uid="{00000000-0004-0000-0000-00002A010000}"/>
    <hyperlink ref="AM469" r:id="rId300" xr:uid="{00000000-0004-0000-0000-00002B010000}"/>
    <hyperlink ref="AM470" r:id="rId301" xr:uid="{00000000-0004-0000-0000-00002C010000}"/>
    <hyperlink ref="AM471" r:id="rId302" xr:uid="{00000000-0004-0000-0000-00002D010000}"/>
    <hyperlink ref="AM472" r:id="rId303" xr:uid="{00000000-0004-0000-0000-00002E010000}"/>
    <hyperlink ref="AM473" r:id="rId304" xr:uid="{00000000-0004-0000-0000-00002F010000}"/>
    <hyperlink ref="AM474" r:id="rId305" xr:uid="{00000000-0004-0000-0000-000030010000}"/>
    <hyperlink ref="AM475" r:id="rId306" xr:uid="{00000000-0004-0000-0000-000031010000}"/>
    <hyperlink ref="AM476" r:id="rId307" xr:uid="{00000000-0004-0000-0000-000032010000}"/>
    <hyperlink ref="AM477" r:id="rId308" xr:uid="{00000000-0004-0000-0000-000033010000}"/>
    <hyperlink ref="AM478" r:id="rId309" xr:uid="{00000000-0004-0000-0000-000034010000}"/>
    <hyperlink ref="AM479" r:id="rId310" xr:uid="{00000000-0004-0000-0000-000035010000}"/>
    <hyperlink ref="AM480" r:id="rId311" xr:uid="{00000000-0004-0000-0000-000036010000}"/>
    <hyperlink ref="AM481" r:id="rId312" xr:uid="{00000000-0004-0000-0000-000037010000}"/>
    <hyperlink ref="AM482" r:id="rId313" xr:uid="{00000000-0004-0000-0000-000038010000}"/>
    <hyperlink ref="AM483" r:id="rId314" xr:uid="{00000000-0004-0000-0000-000039010000}"/>
    <hyperlink ref="AM484" r:id="rId315" xr:uid="{00000000-0004-0000-0000-00003A010000}"/>
    <hyperlink ref="AM485" r:id="rId316" xr:uid="{00000000-0004-0000-0000-00003B010000}"/>
    <hyperlink ref="AM486" r:id="rId317" xr:uid="{00000000-0004-0000-0000-00003C010000}"/>
    <hyperlink ref="AM487" r:id="rId318" xr:uid="{00000000-0004-0000-0000-00003D010000}"/>
    <hyperlink ref="AM488" r:id="rId319" xr:uid="{00000000-0004-0000-0000-00003E010000}"/>
    <hyperlink ref="AM489" r:id="rId320" xr:uid="{00000000-0004-0000-0000-00003F010000}"/>
    <hyperlink ref="AM490" r:id="rId321" xr:uid="{00000000-0004-0000-0000-000040010000}"/>
    <hyperlink ref="AM491" r:id="rId322" xr:uid="{00000000-0004-0000-0000-000041010000}"/>
    <hyperlink ref="AM492" r:id="rId323" xr:uid="{00000000-0004-0000-0000-000042010000}"/>
    <hyperlink ref="AM493" r:id="rId324" xr:uid="{00000000-0004-0000-0000-000043010000}"/>
    <hyperlink ref="AM494" r:id="rId325" xr:uid="{00000000-0004-0000-0000-000044010000}"/>
    <hyperlink ref="AM495" r:id="rId326" xr:uid="{00000000-0004-0000-0000-000045010000}"/>
    <hyperlink ref="AM496" r:id="rId327" xr:uid="{00000000-0004-0000-0000-000046010000}"/>
    <hyperlink ref="AM497" r:id="rId328" xr:uid="{00000000-0004-0000-0000-000047010000}"/>
    <hyperlink ref="AM498" r:id="rId329" xr:uid="{00000000-0004-0000-0000-000048010000}"/>
    <hyperlink ref="AM499" r:id="rId330" xr:uid="{00000000-0004-0000-0000-000049010000}"/>
    <hyperlink ref="AM500" r:id="rId331" xr:uid="{00000000-0004-0000-0000-00004A010000}"/>
    <hyperlink ref="AM501" r:id="rId332" xr:uid="{00000000-0004-0000-0000-00004B010000}"/>
    <hyperlink ref="AM502" r:id="rId333" xr:uid="{00000000-0004-0000-0000-00004C010000}"/>
    <hyperlink ref="AM503" r:id="rId334" xr:uid="{00000000-0004-0000-0000-00004D010000}"/>
    <hyperlink ref="AM504" r:id="rId335" xr:uid="{00000000-0004-0000-0000-00004E010000}"/>
    <hyperlink ref="AM505" r:id="rId336" xr:uid="{00000000-0004-0000-0000-00004F010000}"/>
    <hyperlink ref="AM506" r:id="rId337" xr:uid="{00000000-0004-0000-0000-000050010000}"/>
    <hyperlink ref="AM507" r:id="rId338" xr:uid="{00000000-0004-0000-0000-000051010000}"/>
    <hyperlink ref="AM508" r:id="rId339" xr:uid="{00000000-0004-0000-0000-000052010000}"/>
    <hyperlink ref="AM509" r:id="rId340" xr:uid="{00000000-0004-0000-0000-000053010000}"/>
    <hyperlink ref="AM510" r:id="rId341" xr:uid="{00000000-0004-0000-0000-000054010000}"/>
    <hyperlink ref="AM511" r:id="rId342" xr:uid="{00000000-0004-0000-0000-000055010000}"/>
    <hyperlink ref="AM512" r:id="rId343" xr:uid="{00000000-0004-0000-0000-000056010000}"/>
    <hyperlink ref="AM513" r:id="rId344" xr:uid="{00000000-0004-0000-0000-000057010000}"/>
    <hyperlink ref="AM514" r:id="rId345" xr:uid="{00000000-0004-0000-0000-000058010000}"/>
    <hyperlink ref="AM515" r:id="rId346" xr:uid="{00000000-0004-0000-0000-000059010000}"/>
    <hyperlink ref="AM516" r:id="rId347" xr:uid="{00000000-0004-0000-0000-00005A010000}"/>
    <hyperlink ref="AM517" r:id="rId348" xr:uid="{00000000-0004-0000-0000-00005B010000}"/>
    <hyperlink ref="AM518" r:id="rId349" xr:uid="{00000000-0004-0000-0000-00005C010000}"/>
    <hyperlink ref="AM519" r:id="rId350" xr:uid="{00000000-0004-0000-0000-00005D010000}"/>
    <hyperlink ref="AM520" r:id="rId351" xr:uid="{00000000-0004-0000-0000-00005E010000}"/>
    <hyperlink ref="AM521" r:id="rId352" xr:uid="{00000000-0004-0000-0000-00005F010000}"/>
    <hyperlink ref="AM522" r:id="rId353" xr:uid="{00000000-0004-0000-0000-000060010000}"/>
    <hyperlink ref="AM523" r:id="rId354" xr:uid="{00000000-0004-0000-0000-000061010000}"/>
    <hyperlink ref="AM524" r:id="rId355" xr:uid="{00000000-0004-0000-0000-000062010000}"/>
    <hyperlink ref="AM525" r:id="rId356" xr:uid="{00000000-0004-0000-0000-000063010000}"/>
    <hyperlink ref="AM526" r:id="rId357" xr:uid="{00000000-0004-0000-0000-000064010000}"/>
    <hyperlink ref="AM527" r:id="rId358" xr:uid="{00000000-0004-0000-0000-000065010000}"/>
    <hyperlink ref="AM528" r:id="rId359" xr:uid="{00000000-0004-0000-0000-000066010000}"/>
    <hyperlink ref="AM529" r:id="rId360" xr:uid="{00000000-0004-0000-0000-000067010000}"/>
    <hyperlink ref="AM530" r:id="rId361" xr:uid="{00000000-0004-0000-0000-000068010000}"/>
    <hyperlink ref="AM531" r:id="rId362" xr:uid="{00000000-0004-0000-0000-000069010000}"/>
    <hyperlink ref="AM532" r:id="rId363" xr:uid="{00000000-0004-0000-0000-00006A010000}"/>
    <hyperlink ref="AM533" r:id="rId364" xr:uid="{00000000-0004-0000-0000-00006B010000}"/>
    <hyperlink ref="AM534" r:id="rId365" xr:uid="{00000000-0004-0000-0000-00006C010000}"/>
    <hyperlink ref="AM535" r:id="rId366" xr:uid="{00000000-0004-0000-0000-00006D010000}"/>
    <hyperlink ref="AM536" r:id="rId367" xr:uid="{00000000-0004-0000-0000-00006E010000}"/>
    <hyperlink ref="AM537" r:id="rId368" xr:uid="{00000000-0004-0000-0000-00006F010000}"/>
    <hyperlink ref="AM538" r:id="rId369" xr:uid="{00000000-0004-0000-0000-000070010000}"/>
    <hyperlink ref="AM539" r:id="rId370" xr:uid="{00000000-0004-0000-0000-000071010000}"/>
    <hyperlink ref="AM540" r:id="rId371" xr:uid="{00000000-0004-0000-0000-000072010000}"/>
    <hyperlink ref="AM541" r:id="rId372" xr:uid="{00000000-0004-0000-0000-000073010000}"/>
    <hyperlink ref="AM542" r:id="rId373" xr:uid="{00000000-0004-0000-0000-000074010000}"/>
    <hyperlink ref="AM543" r:id="rId374" xr:uid="{00000000-0004-0000-0000-000075010000}"/>
    <hyperlink ref="AM544" r:id="rId375" xr:uid="{00000000-0004-0000-0000-000076010000}"/>
    <hyperlink ref="AM545" r:id="rId376" xr:uid="{00000000-0004-0000-0000-000077010000}"/>
    <hyperlink ref="AM547" r:id="rId377" xr:uid="{00000000-0004-0000-0000-000078010000}"/>
    <hyperlink ref="AM548" r:id="rId378" xr:uid="{00000000-0004-0000-0000-000079010000}"/>
    <hyperlink ref="AM549" r:id="rId379" xr:uid="{00000000-0004-0000-0000-00007A010000}"/>
    <hyperlink ref="AM550" r:id="rId380" xr:uid="{00000000-0004-0000-0000-00007B010000}"/>
    <hyperlink ref="AM551" r:id="rId381" xr:uid="{00000000-0004-0000-0000-00007C010000}"/>
    <hyperlink ref="AM552" r:id="rId382" xr:uid="{00000000-0004-0000-0000-00007D010000}"/>
    <hyperlink ref="AM553" r:id="rId383" xr:uid="{00000000-0004-0000-0000-00007E010000}"/>
    <hyperlink ref="AM554" r:id="rId384" xr:uid="{00000000-0004-0000-0000-00007F010000}"/>
    <hyperlink ref="AM555" r:id="rId385" xr:uid="{00000000-0004-0000-0000-000080010000}"/>
    <hyperlink ref="AM556" r:id="rId386" xr:uid="{00000000-0004-0000-0000-000081010000}"/>
    <hyperlink ref="AM557" r:id="rId387" xr:uid="{00000000-0004-0000-0000-000082010000}"/>
    <hyperlink ref="AM558" r:id="rId388" xr:uid="{00000000-0004-0000-0000-000083010000}"/>
    <hyperlink ref="AM559" r:id="rId389" xr:uid="{00000000-0004-0000-0000-000084010000}"/>
    <hyperlink ref="AM560" r:id="rId390" xr:uid="{00000000-0004-0000-0000-000085010000}"/>
    <hyperlink ref="AM561" r:id="rId391" xr:uid="{00000000-0004-0000-0000-000086010000}"/>
    <hyperlink ref="AM562" r:id="rId392" xr:uid="{00000000-0004-0000-0000-000087010000}"/>
    <hyperlink ref="AM563" r:id="rId393" xr:uid="{00000000-0004-0000-0000-000088010000}"/>
    <hyperlink ref="AM564" r:id="rId394" xr:uid="{00000000-0004-0000-0000-000089010000}"/>
    <hyperlink ref="AM565" r:id="rId395" xr:uid="{00000000-0004-0000-0000-00008A010000}"/>
    <hyperlink ref="AM566" r:id="rId396" xr:uid="{00000000-0004-0000-0000-00008B010000}"/>
    <hyperlink ref="AM567" r:id="rId397" xr:uid="{00000000-0004-0000-0000-00008C010000}"/>
    <hyperlink ref="AM568" r:id="rId398" xr:uid="{00000000-0004-0000-0000-00008D010000}"/>
    <hyperlink ref="AM569" r:id="rId399" xr:uid="{00000000-0004-0000-0000-00008E010000}"/>
    <hyperlink ref="AM570" r:id="rId400" xr:uid="{00000000-0004-0000-0000-00008F010000}"/>
    <hyperlink ref="AM571" r:id="rId401" xr:uid="{00000000-0004-0000-0000-000090010000}"/>
    <hyperlink ref="AM572" r:id="rId402" xr:uid="{00000000-0004-0000-0000-000091010000}"/>
    <hyperlink ref="AM573" r:id="rId403" xr:uid="{00000000-0004-0000-0000-000092010000}"/>
    <hyperlink ref="AM574" r:id="rId404" xr:uid="{00000000-0004-0000-0000-000093010000}"/>
    <hyperlink ref="AM575" r:id="rId405" xr:uid="{00000000-0004-0000-0000-000094010000}"/>
    <hyperlink ref="AM576" r:id="rId406" xr:uid="{00000000-0004-0000-0000-000095010000}"/>
    <hyperlink ref="AM577" r:id="rId407" xr:uid="{00000000-0004-0000-0000-000096010000}"/>
    <hyperlink ref="AM578" r:id="rId408" xr:uid="{00000000-0004-0000-0000-000097010000}"/>
    <hyperlink ref="AM579" r:id="rId409" xr:uid="{00000000-0004-0000-0000-000098010000}"/>
    <hyperlink ref="AM580" r:id="rId410" xr:uid="{00000000-0004-0000-0000-000099010000}"/>
    <hyperlink ref="AM581" r:id="rId411" xr:uid="{00000000-0004-0000-0000-00009A010000}"/>
    <hyperlink ref="AM582" r:id="rId412" xr:uid="{00000000-0004-0000-0000-00009B010000}"/>
    <hyperlink ref="AM583" r:id="rId413" xr:uid="{00000000-0004-0000-0000-00009C010000}"/>
    <hyperlink ref="AM584" r:id="rId414" xr:uid="{00000000-0004-0000-0000-00009D010000}"/>
    <hyperlink ref="AM585" r:id="rId415" xr:uid="{00000000-0004-0000-0000-00009E010000}"/>
    <hyperlink ref="AM586" r:id="rId416" xr:uid="{00000000-0004-0000-0000-00009F010000}"/>
    <hyperlink ref="AM587" r:id="rId417" xr:uid="{00000000-0004-0000-0000-0000A0010000}"/>
    <hyperlink ref="AM588" r:id="rId418" xr:uid="{00000000-0004-0000-0000-0000A1010000}"/>
    <hyperlink ref="AM589" r:id="rId419" xr:uid="{00000000-0004-0000-0000-0000A2010000}"/>
    <hyperlink ref="AM590" r:id="rId420" xr:uid="{00000000-0004-0000-0000-0000A3010000}"/>
    <hyperlink ref="AM591" r:id="rId421" xr:uid="{00000000-0004-0000-0000-0000A4010000}"/>
    <hyperlink ref="AM592" r:id="rId422" xr:uid="{00000000-0004-0000-0000-0000A5010000}"/>
    <hyperlink ref="AM593" r:id="rId423" xr:uid="{00000000-0004-0000-0000-0000A6010000}"/>
    <hyperlink ref="AM594" r:id="rId424" xr:uid="{00000000-0004-0000-0000-0000A7010000}"/>
    <hyperlink ref="AM595" r:id="rId425" xr:uid="{00000000-0004-0000-0000-0000A8010000}"/>
    <hyperlink ref="AM596" r:id="rId426" xr:uid="{00000000-0004-0000-0000-0000A9010000}"/>
    <hyperlink ref="AM597" r:id="rId427" xr:uid="{00000000-0004-0000-0000-0000AA010000}"/>
    <hyperlink ref="AM598" r:id="rId428" xr:uid="{00000000-0004-0000-0000-0000AB010000}"/>
    <hyperlink ref="AM599" r:id="rId429" xr:uid="{00000000-0004-0000-0000-0000AC010000}"/>
    <hyperlink ref="AM600" r:id="rId430" xr:uid="{00000000-0004-0000-0000-0000AD010000}"/>
    <hyperlink ref="AM601" r:id="rId431" xr:uid="{00000000-0004-0000-0000-0000AE010000}"/>
    <hyperlink ref="AM602" r:id="rId432" xr:uid="{00000000-0004-0000-0000-0000AF010000}"/>
    <hyperlink ref="AM603" r:id="rId433" xr:uid="{00000000-0004-0000-0000-0000B0010000}"/>
    <hyperlink ref="AM604" r:id="rId434" xr:uid="{00000000-0004-0000-0000-0000B1010000}"/>
    <hyperlink ref="AM605" r:id="rId435" xr:uid="{00000000-0004-0000-0000-0000B2010000}"/>
    <hyperlink ref="AM606" r:id="rId436" xr:uid="{00000000-0004-0000-0000-0000B3010000}"/>
    <hyperlink ref="AM607" r:id="rId437" xr:uid="{00000000-0004-0000-0000-0000B4010000}"/>
    <hyperlink ref="AM608" r:id="rId438" xr:uid="{00000000-0004-0000-0000-0000B5010000}"/>
    <hyperlink ref="AM609" r:id="rId439" xr:uid="{00000000-0004-0000-0000-0000B6010000}"/>
    <hyperlink ref="AM610" r:id="rId440" xr:uid="{00000000-0004-0000-0000-0000B7010000}"/>
    <hyperlink ref="AM611" r:id="rId441" xr:uid="{00000000-0004-0000-0000-0000B8010000}"/>
    <hyperlink ref="AM612" r:id="rId442" xr:uid="{00000000-0004-0000-0000-0000B9010000}"/>
    <hyperlink ref="AM613" r:id="rId443" xr:uid="{00000000-0004-0000-0000-0000BA010000}"/>
    <hyperlink ref="AM614" r:id="rId444" xr:uid="{00000000-0004-0000-0000-0000BB010000}"/>
    <hyperlink ref="AM615" r:id="rId445" xr:uid="{00000000-0004-0000-0000-0000BC010000}"/>
    <hyperlink ref="AM616" r:id="rId446" xr:uid="{00000000-0004-0000-0000-0000BD010000}"/>
    <hyperlink ref="AM617" r:id="rId447" xr:uid="{00000000-0004-0000-0000-0000BE010000}"/>
    <hyperlink ref="AM618" r:id="rId448" xr:uid="{00000000-0004-0000-0000-0000BF010000}"/>
    <hyperlink ref="AM619" r:id="rId449" xr:uid="{00000000-0004-0000-0000-0000C0010000}"/>
    <hyperlink ref="AM620" r:id="rId450" xr:uid="{00000000-0004-0000-0000-0000C1010000}"/>
    <hyperlink ref="AM621" r:id="rId451" xr:uid="{00000000-0004-0000-0000-0000C2010000}"/>
    <hyperlink ref="AM622" r:id="rId452" xr:uid="{00000000-0004-0000-0000-0000C3010000}"/>
    <hyperlink ref="AM623" r:id="rId453" xr:uid="{00000000-0004-0000-0000-0000C4010000}"/>
    <hyperlink ref="AM624" r:id="rId454" xr:uid="{00000000-0004-0000-0000-0000C5010000}"/>
    <hyperlink ref="AM625" r:id="rId455" xr:uid="{00000000-0004-0000-0000-0000C6010000}"/>
    <hyperlink ref="AM626" r:id="rId456" xr:uid="{00000000-0004-0000-0000-0000C7010000}"/>
    <hyperlink ref="AM627" r:id="rId457" xr:uid="{00000000-0004-0000-0000-0000C8010000}"/>
    <hyperlink ref="AM628" r:id="rId458" xr:uid="{00000000-0004-0000-0000-0000C9010000}"/>
    <hyperlink ref="AM629" r:id="rId459" xr:uid="{00000000-0004-0000-0000-0000CA010000}"/>
    <hyperlink ref="AM630" r:id="rId460" xr:uid="{00000000-0004-0000-0000-0000CB010000}"/>
    <hyperlink ref="AM631" r:id="rId461" xr:uid="{00000000-0004-0000-0000-0000CC010000}"/>
    <hyperlink ref="AM632" r:id="rId462" xr:uid="{00000000-0004-0000-0000-0000CD010000}"/>
    <hyperlink ref="AM633" r:id="rId463" xr:uid="{00000000-0004-0000-0000-0000CE010000}"/>
    <hyperlink ref="AM634" r:id="rId464" xr:uid="{00000000-0004-0000-0000-0000CF010000}"/>
    <hyperlink ref="AM635" r:id="rId465" xr:uid="{00000000-0004-0000-0000-0000D0010000}"/>
    <hyperlink ref="AM636" r:id="rId466" xr:uid="{00000000-0004-0000-0000-0000D1010000}"/>
    <hyperlink ref="AM637" r:id="rId467" xr:uid="{00000000-0004-0000-0000-0000D2010000}"/>
    <hyperlink ref="AM638" r:id="rId468" xr:uid="{00000000-0004-0000-0000-0000D3010000}"/>
    <hyperlink ref="AM639" r:id="rId469" xr:uid="{00000000-0004-0000-0000-0000D4010000}"/>
    <hyperlink ref="AM640" r:id="rId470" xr:uid="{00000000-0004-0000-0000-0000D5010000}"/>
    <hyperlink ref="AM641" r:id="rId471" xr:uid="{00000000-0004-0000-0000-0000D6010000}"/>
    <hyperlink ref="AM642" r:id="rId472" xr:uid="{00000000-0004-0000-0000-0000D7010000}"/>
    <hyperlink ref="AM643" r:id="rId473" xr:uid="{00000000-0004-0000-0000-0000D8010000}"/>
    <hyperlink ref="AM644" r:id="rId474" xr:uid="{00000000-0004-0000-0000-0000D9010000}"/>
    <hyperlink ref="AM645" r:id="rId475" xr:uid="{00000000-0004-0000-0000-0000DA010000}"/>
    <hyperlink ref="AM646" r:id="rId476" xr:uid="{00000000-0004-0000-0000-0000DB010000}"/>
    <hyperlink ref="AM647" r:id="rId477" xr:uid="{00000000-0004-0000-0000-0000DC010000}"/>
    <hyperlink ref="AM648" r:id="rId478" xr:uid="{00000000-0004-0000-0000-0000DD010000}"/>
    <hyperlink ref="AM649" r:id="rId479" xr:uid="{00000000-0004-0000-0000-0000DE010000}"/>
    <hyperlink ref="AM650" r:id="rId480" xr:uid="{00000000-0004-0000-0000-0000DF010000}"/>
    <hyperlink ref="AM651" r:id="rId481" xr:uid="{00000000-0004-0000-0000-0000E0010000}"/>
    <hyperlink ref="AM652" r:id="rId482" xr:uid="{00000000-0004-0000-0000-0000E1010000}"/>
    <hyperlink ref="AM653" r:id="rId483" xr:uid="{00000000-0004-0000-0000-0000E2010000}"/>
    <hyperlink ref="AM654" r:id="rId484" xr:uid="{00000000-0004-0000-0000-0000E3010000}"/>
    <hyperlink ref="AM655" r:id="rId485" xr:uid="{00000000-0004-0000-0000-0000E4010000}"/>
    <hyperlink ref="AM656" r:id="rId486" xr:uid="{00000000-0004-0000-0000-0000E5010000}"/>
    <hyperlink ref="AM657" r:id="rId487" xr:uid="{00000000-0004-0000-0000-0000E6010000}"/>
    <hyperlink ref="AM658" r:id="rId488" xr:uid="{00000000-0004-0000-0000-0000E7010000}"/>
    <hyperlink ref="AM659" r:id="rId489" xr:uid="{00000000-0004-0000-0000-0000E8010000}"/>
    <hyperlink ref="AM660" r:id="rId490" xr:uid="{00000000-0004-0000-0000-0000E9010000}"/>
    <hyperlink ref="AM661" r:id="rId491" xr:uid="{00000000-0004-0000-0000-0000EA010000}"/>
    <hyperlink ref="AM662" r:id="rId492" xr:uid="{00000000-0004-0000-0000-0000EB010000}"/>
    <hyperlink ref="AM663" r:id="rId493" xr:uid="{00000000-0004-0000-0000-0000EC010000}"/>
    <hyperlink ref="AM664" r:id="rId494" xr:uid="{00000000-0004-0000-0000-0000ED010000}"/>
    <hyperlink ref="AM665" r:id="rId495" xr:uid="{00000000-0004-0000-0000-0000EE010000}"/>
    <hyperlink ref="AM666" r:id="rId496" xr:uid="{00000000-0004-0000-0000-0000EF010000}"/>
    <hyperlink ref="AM667" r:id="rId497" xr:uid="{00000000-0004-0000-0000-0000F0010000}"/>
    <hyperlink ref="AM668" r:id="rId498" xr:uid="{00000000-0004-0000-0000-0000F1010000}"/>
    <hyperlink ref="AM669" r:id="rId499" xr:uid="{00000000-0004-0000-0000-0000F2010000}"/>
    <hyperlink ref="AM670" r:id="rId500" xr:uid="{00000000-0004-0000-0000-0000F3010000}"/>
    <hyperlink ref="AM671" r:id="rId501" xr:uid="{00000000-0004-0000-0000-0000F4010000}"/>
    <hyperlink ref="AM672" r:id="rId502" xr:uid="{00000000-0004-0000-0000-0000F5010000}"/>
    <hyperlink ref="AM673" r:id="rId503" xr:uid="{00000000-0004-0000-0000-0000F6010000}"/>
    <hyperlink ref="AM674" r:id="rId504" xr:uid="{00000000-0004-0000-0000-0000F7010000}"/>
    <hyperlink ref="AM675" r:id="rId505" xr:uid="{00000000-0004-0000-0000-0000F8010000}"/>
    <hyperlink ref="AM676" r:id="rId506" xr:uid="{00000000-0004-0000-0000-0000F9010000}"/>
    <hyperlink ref="AM677" r:id="rId507" xr:uid="{00000000-0004-0000-0000-0000FA010000}"/>
    <hyperlink ref="AM678" r:id="rId508" xr:uid="{00000000-0004-0000-0000-0000FB010000}"/>
    <hyperlink ref="AM679" r:id="rId509" xr:uid="{00000000-0004-0000-0000-0000FC010000}"/>
    <hyperlink ref="AM680" r:id="rId510" xr:uid="{00000000-0004-0000-0000-0000FD010000}"/>
    <hyperlink ref="AM681" r:id="rId511" xr:uid="{00000000-0004-0000-0000-0000FE010000}"/>
    <hyperlink ref="AM682" r:id="rId512" xr:uid="{00000000-0004-0000-0000-0000FF010000}"/>
    <hyperlink ref="AM683" r:id="rId513" xr:uid="{00000000-0004-0000-0000-000000020000}"/>
    <hyperlink ref="AM684" r:id="rId514" xr:uid="{00000000-0004-0000-0000-000001020000}"/>
    <hyperlink ref="AM685" r:id="rId515" xr:uid="{00000000-0004-0000-0000-000002020000}"/>
    <hyperlink ref="AM686" r:id="rId516" xr:uid="{00000000-0004-0000-0000-000003020000}"/>
    <hyperlink ref="AM687" r:id="rId517" xr:uid="{00000000-0004-0000-0000-000004020000}"/>
    <hyperlink ref="AM688" r:id="rId518" xr:uid="{00000000-0004-0000-0000-000005020000}"/>
    <hyperlink ref="AM689" r:id="rId519" xr:uid="{00000000-0004-0000-0000-000006020000}"/>
    <hyperlink ref="AM690" r:id="rId520" xr:uid="{00000000-0004-0000-0000-000007020000}"/>
    <hyperlink ref="AM691" r:id="rId521" xr:uid="{00000000-0004-0000-0000-000008020000}"/>
    <hyperlink ref="AM692" r:id="rId522" xr:uid="{00000000-0004-0000-0000-000009020000}"/>
    <hyperlink ref="AM693" r:id="rId523" xr:uid="{00000000-0004-0000-0000-00000A020000}"/>
    <hyperlink ref="AM694" r:id="rId524" xr:uid="{00000000-0004-0000-0000-00000B020000}"/>
    <hyperlink ref="AM695" r:id="rId525" xr:uid="{00000000-0004-0000-0000-00000C020000}"/>
    <hyperlink ref="AM696" r:id="rId526" xr:uid="{00000000-0004-0000-0000-00000D020000}"/>
    <hyperlink ref="AM697" r:id="rId527" xr:uid="{00000000-0004-0000-0000-00000E020000}"/>
    <hyperlink ref="AM698" r:id="rId528" xr:uid="{00000000-0004-0000-0000-00000F020000}"/>
    <hyperlink ref="AM699" r:id="rId529" xr:uid="{00000000-0004-0000-0000-000010020000}"/>
    <hyperlink ref="AM700" r:id="rId530" xr:uid="{00000000-0004-0000-0000-000011020000}"/>
    <hyperlink ref="AM701" r:id="rId531" xr:uid="{00000000-0004-0000-0000-000012020000}"/>
    <hyperlink ref="AM702" r:id="rId532" xr:uid="{00000000-0004-0000-0000-000013020000}"/>
    <hyperlink ref="AM703" r:id="rId533" xr:uid="{00000000-0004-0000-0000-000014020000}"/>
    <hyperlink ref="AM704" r:id="rId534" xr:uid="{00000000-0004-0000-0000-000015020000}"/>
    <hyperlink ref="AM705" r:id="rId535" xr:uid="{00000000-0004-0000-0000-000016020000}"/>
    <hyperlink ref="AM706" r:id="rId536" xr:uid="{00000000-0004-0000-0000-000017020000}"/>
    <hyperlink ref="AM707" r:id="rId537" xr:uid="{00000000-0004-0000-0000-000018020000}"/>
    <hyperlink ref="AM708" r:id="rId538" xr:uid="{00000000-0004-0000-0000-000019020000}"/>
    <hyperlink ref="AM709" r:id="rId539" xr:uid="{00000000-0004-0000-0000-00001A020000}"/>
    <hyperlink ref="AM710" r:id="rId540" xr:uid="{00000000-0004-0000-0000-00001B020000}"/>
    <hyperlink ref="AM711" r:id="rId541" xr:uid="{00000000-0004-0000-0000-00001C020000}"/>
    <hyperlink ref="AM712" r:id="rId542" xr:uid="{00000000-0004-0000-0000-00001D020000}"/>
    <hyperlink ref="AM713" r:id="rId543" xr:uid="{00000000-0004-0000-0000-00001E020000}"/>
    <hyperlink ref="AM714" r:id="rId544" xr:uid="{00000000-0004-0000-0000-00001F020000}"/>
    <hyperlink ref="AM715" r:id="rId545" xr:uid="{00000000-0004-0000-0000-000020020000}"/>
    <hyperlink ref="AM716" r:id="rId546" xr:uid="{00000000-0004-0000-0000-000021020000}"/>
    <hyperlink ref="AM717" r:id="rId547" xr:uid="{00000000-0004-0000-0000-000022020000}"/>
    <hyperlink ref="AM718" r:id="rId548" xr:uid="{00000000-0004-0000-0000-000023020000}"/>
    <hyperlink ref="AM719" r:id="rId549" xr:uid="{00000000-0004-0000-0000-000024020000}"/>
    <hyperlink ref="AM720" r:id="rId550" xr:uid="{00000000-0004-0000-0000-000025020000}"/>
    <hyperlink ref="AM721" r:id="rId551" xr:uid="{00000000-0004-0000-0000-000026020000}"/>
    <hyperlink ref="AM722" r:id="rId552" xr:uid="{00000000-0004-0000-0000-000027020000}"/>
    <hyperlink ref="AM723" r:id="rId553" xr:uid="{00000000-0004-0000-0000-000028020000}"/>
    <hyperlink ref="AM724" r:id="rId554" xr:uid="{00000000-0004-0000-0000-000029020000}"/>
    <hyperlink ref="AM725" r:id="rId555" xr:uid="{00000000-0004-0000-0000-00002A020000}"/>
    <hyperlink ref="AM726" r:id="rId556" xr:uid="{00000000-0004-0000-0000-00002B020000}"/>
    <hyperlink ref="AM727" r:id="rId557" xr:uid="{00000000-0004-0000-0000-00002C020000}"/>
  </hyperlinks>
  <pageMargins left="0.7" right="0.7" top="0.75" bottom="0.75" header="0.3" footer="0.3"/>
  <legacyDrawing r:id="rId5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614"/>
  <sheetViews>
    <sheetView workbookViewId="0">
      <selection activeCell="C1" sqref="A1:XFD1"/>
    </sheetView>
  </sheetViews>
  <sheetFormatPr defaultColWidth="12.6328125" defaultRowHeight="15.75" customHeight="1"/>
  <cols>
    <col min="1" max="1" width="28.453125" customWidth="1"/>
    <col min="2" max="2" width="30.90625" customWidth="1"/>
    <col min="3" max="9" width="15.6328125" customWidth="1"/>
  </cols>
  <sheetData>
    <row r="1" spans="1:28" s="73" customFormat="1" ht="15.75" customHeight="1">
      <c r="A1" s="72" t="s">
        <v>968</v>
      </c>
      <c r="B1" s="72" t="s">
        <v>969</v>
      </c>
      <c r="C1" s="72" t="s">
        <v>970</v>
      </c>
      <c r="D1" s="72" t="s">
        <v>971</v>
      </c>
      <c r="E1" s="72" t="s">
        <v>972</v>
      </c>
      <c r="I1" s="72" t="s">
        <v>973</v>
      </c>
      <c r="J1" s="72" t="s">
        <v>974</v>
      </c>
      <c r="K1" s="72" t="s">
        <v>975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5.75" customHeight="1">
      <c r="A2" s="31" t="s">
        <v>38</v>
      </c>
      <c r="B2" s="31" t="s">
        <v>976</v>
      </c>
      <c r="C2" s="31" t="s">
        <v>40</v>
      </c>
      <c r="D2" s="32">
        <v>697000000</v>
      </c>
      <c r="E2" s="33" t="s">
        <v>41</v>
      </c>
      <c r="I2" s="32">
        <v>697000000</v>
      </c>
      <c r="J2" s="32">
        <v>597427391</v>
      </c>
      <c r="K2" s="34">
        <v>675688794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 ht="15.75" customHeight="1">
      <c r="A3" s="31" t="s">
        <v>977</v>
      </c>
      <c r="B3" s="31" t="s">
        <v>978</v>
      </c>
      <c r="C3" s="31" t="s">
        <v>40</v>
      </c>
      <c r="D3" s="32">
        <v>400400000</v>
      </c>
      <c r="E3" s="33" t="s">
        <v>41</v>
      </c>
      <c r="I3" s="32">
        <v>400400000</v>
      </c>
      <c r="J3" s="32">
        <v>377344547</v>
      </c>
      <c r="K3" s="34">
        <v>398799828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 ht="15.75" customHeight="1">
      <c r="A4" s="31" t="s">
        <v>52</v>
      </c>
      <c r="B4" s="31" t="s">
        <v>52</v>
      </c>
      <c r="C4" s="31" t="s">
        <v>40</v>
      </c>
      <c r="D4" s="32">
        <v>1309700000</v>
      </c>
      <c r="E4" s="33" t="s">
        <v>41</v>
      </c>
      <c r="I4" s="32">
        <v>1309700000</v>
      </c>
      <c r="J4" s="32">
        <v>1302274673</v>
      </c>
      <c r="K4" s="34">
        <v>1302274673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 ht="15.75" customHeight="1">
      <c r="A5" s="31" t="s">
        <v>53</v>
      </c>
      <c r="B5" s="31" t="s">
        <v>979</v>
      </c>
      <c r="C5" s="31" t="s">
        <v>40</v>
      </c>
      <c r="D5" s="32">
        <v>795000000</v>
      </c>
      <c r="E5" s="33" t="s">
        <v>41</v>
      </c>
      <c r="I5" s="32">
        <v>795000000</v>
      </c>
      <c r="J5" s="32">
        <v>602643739</v>
      </c>
      <c r="K5" s="34">
        <v>635077161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 ht="15.75" customHeight="1">
      <c r="A6" s="31" t="s">
        <v>55</v>
      </c>
      <c r="B6" s="31" t="s">
        <v>980</v>
      </c>
      <c r="C6" s="31" t="s">
        <v>40</v>
      </c>
      <c r="D6" s="32">
        <v>4387000000</v>
      </c>
      <c r="E6" s="32">
        <v>1340000000</v>
      </c>
      <c r="I6" s="32">
        <v>3047000000</v>
      </c>
      <c r="J6" s="32">
        <v>2722847637</v>
      </c>
      <c r="K6" s="34">
        <v>4657862232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 ht="15.75" customHeight="1">
      <c r="A7" s="31" t="s">
        <v>57</v>
      </c>
      <c r="B7" s="31" t="s">
        <v>981</v>
      </c>
      <c r="C7" s="31" t="s">
        <v>40</v>
      </c>
      <c r="D7" s="32">
        <v>2291910000</v>
      </c>
      <c r="E7" s="33" t="s">
        <v>41</v>
      </c>
      <c r="I7" s="32">
        <v>2291910000</v>
      </c>
      <c r="J7" s="32">
        <v>1148973590</v>
      </c>
      <c r="K7" s="34">
        <v>2287078288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 ht="15.75" customHeight="1">
      <c r="A8" s="31" t="s">
        <v>982</v>
      </c>
      <c r="B8" s="31" t="s">
        <v>983</v>
      </c>
      <c r="C8" s="31" t="s">
        <v>40</v>
      </c>
      <c r="D8" s="32">
        <v>7479220000</v>
      </c>
      <c r="E8" s="33" t="s">
        <v>41</v>
      </c>
      <c r="I8" s="32">
        <v>7479220000</v>
      </c>
      <c r="J8" s="32">
        <v>7479220000</v>
      </c>
      <c r="K8" s="34">
        <v>6524751108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 ht="15.75" customHeight="1">
      <c r="A9" s="31" t="s">
        <v>984</v>
      </c>
      <c r="B9" s="31" t="s">
        <v>985</v>
      </c>
      <c r="C9" s="31" t="s">
        <v>40</v>
      </c>
      <c r="D9" s="32">
        <v>204000000</v>
      </c>
      <c r="E9" s="33" t="s">
        <v>41</v>
      </c>
      <c r="I9" s="32">
        <v>204000000</v>
      </c>
      <c r="J9" s="32">
        <v>60038425</v>
      </c>
      <c r="K9" s="34">
        <v>74561897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15.75" customHeight="1">
      <c r="A10" s="31" t="s">
        <v>63</v>
      </c>
      <c r="B10" s="31" t="s">
        <v>986</v>
      </c>
      <c r="C10" s="31" t="s">
        <v>40</v>
      </c>
      <c r="D10" s="32">
        <v>9599979665</v>
      </c>
      <c r="E10" s="32">
        <v>250000000</v>
      </c>
      <c r="I10" s="32">
        <v>9349979665</v>
      </c>
      <c r="J10" s="32">
        <v>6154637356</v>
      </c>
      <c r="K10" s="34">
        <v>5223846294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spans="1:28" ht="15.75" customHeight="1">
      <c r="A11" s="31" t="s">
        <v>65</v>
      </c>
      <c r="B11" s="31" t="s">
        <v>987</v>
      </c>
      <c r="C11" s="31" t="s">
        <v>40</v>
      </c>
      <c r="D11" s="32">
        <v>3254000000</v>
      </c>
      <c r="E11" s="32">
        <v>534000000</v>
      </c>
      <c r="I11" s="32">
        <v>2720000000</v>
      </c>
      <c r="J11" s="32">
        <v>1443746686</v>
      </c>
      <c r="K11" s="34">
        <v>2275966397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ht="15.75" customHeight="1">
      <c r="A12" s="31" t="s">
        <v>988</v>
      </c>
      <c r="B12" s="31" t="s">
        <v>989</v>
      </c>
      <c r="C12" s="31" t="s">
        <v>40</v>
      </c>
      <c r="D12" s="32">
        <v>1171000000</v>
      </c>
      <c r="E12" s="33" t="s">
        <v>41</v>
      </c>
      <c r="I12" s="32">
        <v>1171000000</v>
      </c>
      <c r="J12" s="32">
        <v>1035406682</v>
      </c>
      <c r="K12" s="34">
        <v>1170998829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ht="15.75" customHeight="1">
      <c r="A13" s="31" t="s">
        <v>990</v>
      </c>
      <c r="B13" s="31" t="s">
        <v>991</v>
      </c>
      <c r="C13" s="31" t="s">
        <v>40</v>
      </c>
      <c r="D13" s="32">
        <v>7005000000</v>
      </c>
      <c r="E13" s="32">
        <v>2240000000</v>
      </c>
      <c r="I13" s="32">
        <v>4765000000</v>
      </c>
      <c r="J13" s="32">
        <v>2316541597</v>
      </c>
      <c r="K13" s="34">
        <v>6235219265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ht="15.75" customHeight="1">
      <c r="A14" s="31" t="s">
        <v>992</v>
      </c>
      <c r="B14" s="31" t="s">
        <v>993</v>
      </c>
      <c r="C14" s="31" t="s">
        <v>40</v>
      </c>
      <c r="D14" s="32">
        <v>3743000000</v>
      </c>
      <c r="E14" s="32">
        <v>20000000</v>
      </c>
      <c r="I14" s="32">
        <v>3723000000</v>
      </c>
      <c r="J14" s="32">
        <v>1814775334</v>
      </c>
      <c r="K14" s="34">
        <v>2652000000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spans="1:28" ht="15.75" customHeight="1">
      <c r="A15" s="31" t="s">
        <v>74</v>
      </c>
      <c r="B15" s="31" t="s">
        <v>994</v>
      </c>
      <c r="C15" s="31" t="s">
        <v>40</v>
      </c>
      <c r="D15" s="32">
        <v>20631068228</v>
      </c>
      <c r="E15" s="32">
        <v>435000000</v>
      </c>
      <c r="I15" s="32">
        <v>20196068228</v>
      </c>
      <c r="J15" s="32">
        <v>16419421586</v>
      </c>
      <c r="K15" s="34">
        <v>15561625143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spans="1:28" ht="15.75" customHeight="1">
      <c r="A16" s="31" t="s">
        <v>76</v>
      </c>
      <c r="B16" s="31" t="s">
        <v>995</v>
      </c>
      <c r="C16" s="31" t="s">
        <v>40</v>
      </c>
      <c r="D16" s="32">
        <v>56653698763</v>
      </c>
      <c r="E16" s="32">
        <v>9805804539</v>
      </c>
      <c r="I16" s="32">
        <v>46847894224</v>
      </c>
      <c r="J16" s="32">
        <v>28983740067</v>
      </c>
      <c r="K16" s="34">
        <v>32021917302</v>
      </c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spans="1:28" ht="15.75" customHeight="1">
      <c r="A17" s="31" t="s">
        <v>996</v>
      </c>
      <c r="B17" s="31" t="s">
        <v>997</v>
      </c>
      <c r="C17" s="31" t="s">
        <v>40</v>
      </c>
      <c r="D17" s="32">
        <v>59714690000</v>
      </c>
      <c r="E17" s="32">
        <v>300000000</v>
      </c>
      <c r="I17" s="32">
        <v>59414690000</v>
      </c>
      <c r="J17" s="32">
        <v>45861117150</v>
      </c>
      <c r="K17" s="34">
        <v>45844599444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spans="1:28" ht="15.75" customHeight="1">
      <c r="A18" s="31" t="s">
        <v>80</v>
      </c>
      <c r="B18" s="31" t="s">
        <v>998</v>
      </c>
      <c r="C18" s="31" t="s">
        <v>40</v>
      </c>
      <c r="D18" s="32">
        <v>39435343807</v>
      </c>
      <c r="E18" s="32">
        <v>7576144849</v>
      </c>
      <c r="I18" s="32">
        <v>31859198958</v>
      </c>
      <c r="J18" s="32">
        <v>17774125750</v>
      </c>
      <c r="K18" s="34">
        <v>38807506519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spans="1:28" ht="15.75" customHeight="1">
      <c r="A19" s="31" t="s">
        <v>82</v>
      </c>
      <c r="B19" s="31" t="s">
        <v>999</v>
      </c>
      <c r="C19" s="31" t="s">
        <v>40</v>
      </c>
      <c r="D19" s="32">
        <v>6501691214</v>
      </c>
      <c r="E19" s="32">
        <v>20000000</v>
      </c>
      <c r="I19" s="32">
        <v>6481691214</v>
      </c>
      <c r="J19" s="32">
        <v>4198920948</v>
      </c>
      <c r="K19" s="34">
        <v>5204856555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 ht="15.75" customHeight="1">
      <c r="A20" s="31" t="s">
        <v>84</v>
      </c>
      <c r="B20" s="31" t="s">
        <v>1000</v>
      </c>
      <c r="C20" s="31" t="s">
        <v>40</v>
      </c>
      <c r="D20" s="32">
        <v>107752667058</v>
      </c>
      <c r="E20" s="32">
        <v>44477723445</v>
      </c>
      <c r="I20" s="32">
        <v>63274943613</v>
      </c>
      <c r="J20" s="32">
        <v>40581041939</v>
      </c>
      <c r="K20" s="34">
        <v>78624716158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spans="1:28" ht="15.75" customHeight="1">
      <c r="A21" s="31" t="s">
        <v>86</v>
      </c>
      <c r="B21" s="31" t="s">
        <v>1001</v>
      </c>
      <c r="C21" s="31" t="s">
        <v>40</v>
      </c>
      <c r="D21" s="32">
        <v>43249569417</v>
      </c>
      <c r="E21" s="32">
        <v>38459000000</v>
      </c>
      <c r="I21" s="32">
        <v>4790569417</v>
      </c>
      <c r="J21" s="32">
        <v>2842476399</v>
      </c>
      <c r="K21" s="34">
        <v>40512052997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spans="1:28" ht="15.75" customHeight="1">
      <c r="A22" s="31" t="s">
        <v>88</v>
      </c>
      <c r="B22" s="31" t="s">
        <v>1002</v>
      </c>
      <c r="C22" s="31" t="s">
        <v>40</v>
      </c>
      <c r="D22" s="32">
        <v>750000000</v>
      </c>
      <c r="E22" s="32">
        <v>480000000</v>
      </c>
      <c r="I22" s="32">
        <v>270000000</v>
      </c>
      <c r="J22" s="32">
        <v>270000000</v>
      </c>
      <c r="K22" s="34">
        <v>542382445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spans="1:28" ht="15.75" customHeight="1">
      <c r="A23" s="31" t="s">
        <v>1003</v>
      </c>
      <c r="B23" s="31" t="s">
        <v>1004</v>
      </c>
      <c r="C23" s="31" t="s">
        <v>40</v>
      </c>
      <c r="D23" s="32">
        <v>76815681707</v>
      </c>
      <c r="E23" s="32">
        <v>64249000000</v>
      </c>
      <c r="I23" s="32">
        <v>12566681707</v>
      </c>
      <c r="J23" s="32">
        <v>8516170155</v>
      </c>
      <c r="K23" s="34">
        <v>25286791443</v>
      </c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1:28" ht="15.75" customHeight="1">
      <c r="A24" s="31" t="s">
        <v>92</v>
      </c>
      <c r="B24" s="31" t="s">
        <v>1005</v>
      </c>
      <c r="C24" s="31" t="s">
        <v>40</v>
      </c>
      <c r="D24" s="32">
        <v>828917332</v>
      </c>
      <c r="E24" s="32">
        <v>100000000</v>
      </c>
      <c r="I24" s="32">
        <v>728917332</v>
      </c>
      <c r="J24" s="32">
        <v>395692271</v>
      </c>
      <c r="K24" s="34">
        <v>397039071</v>
      </c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1:28" ht="15.75" customHeight="1">
      <c r="A25" s="31" t="s">
        <v>94</v>
      </c>
      <c r="B25" s="31" t="s">
        <v>1006</v>
      </c>
      <c r="C25" s="31" t="s">
        <v>40</v>
      </c>
      <c r="D25" s="32">
        <v>20604000000</v>
      </c>
      <c r="E25" s="32">
        <v>6852000000</v>
      </c>
      <c r="I25" s="32">
        <v>13752000000</v>
      </c>
      <c r="J25" s="32">
        <v>13215591330</v>
      </c>
      <c r="K25" s="34">
        <v>18247885399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1:28" ht="15.75" customHeight="1">
      <c r="A26" s="31" t="s">
        <v>96</v>
      </c>
      <c r="B26" s="31" t="s">
        <v>1007</v>
      </c>
      <c r="C26" s="31" t="s">
        <v>40</v>
      </c>
      <c r="D26" s="32">
        <v>44682762238</v>
      </c>
      <c r="E26" s="32">
        <v>14428762238</v>
      </c>
      <c r="I26" s="32">
        <v>30254000000</v>
      </c>
      <c r="J26" s="32">
        <v>20476038983</v>
      </c>
      <c r="K26" s="34">
        <v>36544540726</v>
      </c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1:28" ht="15.75" customHeight="1">
      <c r="A27" s="31" t="s">
        <v>98</v>
      </c>
      <c r="B27" s="31" t="s">
        <v>1008</v>
      </c>
      <c r="C27" s="31" t="s">
        <v>40</v>
      </c>
      <c r="D27" s="32">
        <v>5230000000</v>
      </c>
      <c r="E27" s="32">
        <v>630000000</v>
      </c>
      <c r="I27" s="32">
        <v>4600000000</v>
      </c>
      <c r="J27" s="32">
        <v>4390349668</v>
      </c>
      <c r="K27" s="34">
        <v>4644743806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1:28" ht="15.75" customHeight="1">
      <c r="A28" s="31" t="s">
        <v>1009</v>
      </c>
      <c r="B28" s="31" t="s">
        <v>1010</v>
      </c>
      <c r="C28" s="31" t="s">
        <v>40</v>
      </c>
      <c r="D28" s="32">
        <v>15393201611</v>
      </c>
      <c r="E28" s="32">
        <v>11688201611</v>
      </c>
      <c r="I28" s="32">
        <v>3705000000</v>
      </c>
      <c r="J28" s="32">
        <v>2987568646</v>
      </c>
      <c r="K28" s="34">
        <v>12607861799</v>
      </c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1:28" ht="15.75" customHeight="1">
      <c r="A29" s="31" t="s">
        <v>1011</v>
      </c>
      <c r="B29" s="31" t="s">
        <v>1012</v>
      </c>
      <c r="C29" s="31" t="s">
        <v>40</v>
      </c>
      <c r="D29" s="32">
        <v>526000000</v>
      </c>
      <c r="E29" s="33" t="s">
        <v>41</v>
      </c>
      <c r="I29" s="32">
        <v>526000000</v>
      </c>
      <c r="J29" s="32">
        <v>160000000</v>
      </c>
      <c r="K29" s="34">
        <v>488464010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1:28" ht="15.75" customHeight="1">
      <c r="A30" s="31" t="s">
        <v>104</v>
      </c>
      <c r="B30" s="31" t="s">
        <v>1013</v>
      </c>
      <c r="C30" s="31" t="s">
        <v>40</v>
      </c>
      <c r="D30" s="32">
        <v>16079200000</v>
      </c>
      <c r="E30" s="32">
        <v>16000000000</v>
      </c>
      <c r="I30" s="32">
        <v>79200000</v>
      </c>
      <c r="J30" s="32">
        <v>75530960</v>
      </c>
      <c r="K30" s="34">
        <v>14508710289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1:28" ht="15.75" customHeight="1">
      <c r="A31" s="31" t="s">
        <v>106</v>
      </c>
      <c r="B31" s="31" t="s">
        <v>1014</v>
      </c>
      <c r="C31" s="31" t="s">
        <v>40</v>
      </c>
      <c r="D31" s="32">
        <v>152850000</v>
      </c>
      <c r="E31" s="32" t="s">
        <v>41</v>
      </c>
      <c r="I31" s="32">
        <v>152850000</v>
      </c>
      <c r="J31" s="32">
        <v>135035190</v>
      </c>
      <c r="K31" s="34">
        <v>147147045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1:28" ht="15.75" customHeight="1">
      <c r="A32" s="31" t="s">
        <v>1015</v>
      </c>
      <c r="B32" s="31" t="s">
        <v>1016</v>
      </c>
      <c r="C32" s="31" t="s">
        <v>40</v>
      </c>
      <c r="D32" s="32">
        <v>1084700000</v>
      </c>
      <c r="E32" s="32">
        <v>300000000</v>
      </c>
      <c r="I32" s="32">
        <v>784700000</v>
      </c>
      <c r="J32" s="32">
        <v>578352435</v>
      </c>
      <c r="K32" s="34">
        <v>730923980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1:28" ht="15.75" customHeight="1">
      <c r="A33" s="31" t="s">
        <v>110</v>
      </c>
      <c r="B33" s="31" t="s">
        <v>1017</v>
      </c>
      <c r="C33" s="31" t="s">
        <v>40</v>
      </c>
      <c r="D33" s="32">
        <v>46374488883</v>
      </c>
      <c r="E33" s="32">
        <v>27049488883</v>
      </c>
      <c r="I33" s="32">
        <v>19325000000</v>
      </c>
      <c r="J33" s="32">
        <v>10170929043</v>
      </c>
      <c r="K33" s="34">
        <v>26192335553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1:28" ht="15.75" customHeight="1">
      <c r="A34" s="31" t="s">
        <v>112</v>
      </c>
      <c r="B34" s="31" t="s">
        <v>1018</v>
      </c>
      <c r="C34" s="31" t="s">
        <v>40</v>
      </c>
      <c r="D34" s="32">
        <v>5694000000</v>
      </c>
      <c r="E34" s="32">
        <v>2314000000</v>
      </c>
      <c r="I34" s="32">
        <v>3380000000</v>
      </c>
      <c r="J34" s="32">
        <v>2950985786</v>
      </c>
      <c r="K34" s="34">
        <v>4872615159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28" ht="15.75" customHeight="1">
      <c r="A35" s="31" t="s">
        <v>114</v>
      </c>
      <c r="B35" s="31" t="s">
        <v>1019</v>
      </c>
      <c r="C35" s="31" t="s">
        <v>40</v>
      </c>
      <c r="D35" s="32">
        <v>7935878335</v>
      </c>
      <c r="E35" s="32">
        <v>658578335</v>
      </c>
      <c r="I35" s="32">
        <v>7277300000</v>
      </c>
      <c r="J35" s="32">
        <v>6719580786</v>
      </c>
      <c r="K35" s="34">
        <v>7321449884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15.75" customHeight="1">
      <c r="A36" s="31" t="s">
        <v>1020</v>
      </c>
      <c r="B36" s="31" t="s">
        <v>1021</v>
      </c>
      <c r="C36" s="31" t="s">
        <v>40</v>
      </c>
      <c r="D36" s="32">
        <v>42908849674</v>
      </c>
      <c r="E36" s="32">
        <v>2207137612</v>
      </c>
      <c r="I36" s="32">
        <v>40701712062</v>
      </c>
      <c r="J36" s="32">
        <v>37062429774</v>
      </c>
      <c r="K36" s="34">
        <v>38875115679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1:28" ht="15.75" customHeight="1">
      <c r="A37" s="31" t="s">
        <v>118</v>
      </c>
      <c r="B37" s="31" t="s">
        <v>1022</v>
      </c>
      <c r="C37" s="31" t="s">
        <v>40</v>
      </c>
      <c r="D37" s="32">
        <v>5649846000</v>
      </c>
      <c r="E37" s="32" t="s">
        <v>41</v>
      </c>
      <c r="I37" s="32">
        <v>5649846000</v>
      </c>
      <c r="J37" s="32">
        <v>2087000428</v>
      </c>
      <c r="K37" s="34">
        <v>2082939308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28" ht="15.75" customHeight="1">
      <c r="A38" s="31" t="s">
        <v>120</v>
      </c>
      <c r="B38" s="31" t="s">
        <v>1023</v>
      </c>
      <c r="C38" s="31" t="s">
        <v>40</v>
      </c>
      <c r="D38" s="32">
        <v>50000000</v>
      </c>
      <c r="E38" s="32" t="s">
        <v>41</v>
      </c>
      <c r="I38" s="32">
        <v>50000000</v>
      </c>
      <c r="J38" s="32">
        <v>50000000</v>
      </c>
      <c r="K38" s="34">
        <v>50000000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1:28" ht="15.75" customHeight="1">
      <c r="A39" s="31" t="s">
        <v>122</v>
      </c>
      <c r="B39" s="31" t="s">
        <v>1024</v>
      </c>
      <c r="C39" s="31" t="s">
        <v>40</v>
      </c>
      <c r="D39" s="32">
        <v>5743190870</v>
      </c>
      <c r="E39" s="32" t="s">
        <v>41</v>
      </c>
      <c r="I39" s="32">
        <v>5743190870</v>
      </c>
      <c r="J39" s="32">
        <v>2495634139</v>
      </c>
      <c r="K39" s="34">
        <v>5742218142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28" ht="15.75" customHeight="1">
      <c r="A40" s="31" t="s">
        <v>124</v>
      </c>
      <c r="B40" s="31" t="s">
        <v>1025</v>
      </c>
      <c r="C40" s="31" t="s">
        <v>40</v>
      </c>
      <c r="D40" s="32">
        <v>5929200000</v>
      </c>
      <c r="E40" s="32" t="s">
        <v>41</v>
      </c>
      <c r="I40" s="32">
        <v>5929200000</v>
      </c>
      <c r="J40" s="32">
        <v>1721800800</v>
      </c>
      <c r="K40" s="34">
        <v>5924186500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1:28" ht="15.75" customHeight="1">
      <c r="A41" s="31" t="s">
        <v>126</v>
      </c>
      <c r="B41" s="31" t="s">
        <v>1026</v>
      </c>
      <c r="C41" s="31" t="s">
        <v>40</v>
      </c>
      <c r="D41" s="32">
        <v>5517000000</v>
      </c>
      <c r="E41" s="32" t="s">
        <v>41</v>
      </c>
      <c r="I41" s="32">
        <v>5517000000</v>
      </c>
      <c r="J41" s="32">
        <v>1256500000</v>
      </c>
      <c r="K41" s="34">
        <v>1256500000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1:28" ht="15.75" customHeight="1">
      <c r="A42" s="31" t="s">
        <v>86</v>
      </c>
      <c r="B42" s="31" t="s">
        <v>1001</v>
      </c>
      <c r="C42" s="31" t="s">
        <v>40</v>
      </c>
      <c r="D42" s="32">
        <v>43249569417</v>
      </c>
      <c r="E42" s="32">
        <v>38459000000</v>
      </c>
      <c r="I42" s="32">
        <v>4790569417</v>
      </c>
      <c r="J42" s="32">
        <v>2842476399</v>
      </c>
      <c r="K42" s="34">
        <v>40512052997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28" ht="15.75" customHeight="1">
      <c r="A43" s="31" t="s">
        <v>88</v>
      </c>
      <c r="B43" s="31" t="s">
        <v>1002</v>
      </c>
      <c r="C43" s="31" t="s">
        <v>40</v>
      </c>
      <c r="D43" s="32">
        <v>750000000</v>
      </c>
      <c r="E43" s="32">
        <v>480000000</v>
      </c>
      <c r="I43" s="32">
        <v>270000000</v>
      </c>
      <c r="J43" s="32">
        <v>270000000</v>
      </c>
      <c r="K43" s="34">
        <v>542382445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1:28" ht="15.75" customHeight="1">
      <c r="A44" s="31" t="s">
        <v>1003</v>
      </c>
      <c r="B44" s="31" t="s">
        <v>1004</v>
      </c>
      <c r="C44" s="31" t="s">
        <v>40</v>
      </c>
      <c r="D44" s="32">
        <v>76815681707</v>
      </c>
      <c r="E44" s="32">
        <v>64249000000</v>
      </c>
      <c r="I44" s="32">
        <v>12566681707</v>
      </c>
      <c r="J44" s="32">
        <v>8516170155</v>
      </c>
      <c r="K44" s="34">
        <v>25286791443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1:28" ht="15.75" customHeight="1">
      <c r="A45" s="31" t="s">
        <v>92</v>
      </c>
      <c r="B45" s="31" t="s">
        <v>1005</v>
      </c>
      <c r="C45" s="31" t="s">
        <v>40</v>
      </c>
      <c r="D45" s="32">
        <v>828917332</v>
      </c>
      <c r="E45" s="32">
        <v>100000000</v>
      </c>
      <c r="I45" s="32">
        <v>728917332</v>
      </c>
      <c r="J45" s="32">
        <v>395692271</v>
      </c>
      <c r="K45" s="34">
        <v>397039071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1:28" ht="15.75" customHeight="1">
      <c r="A46" s="31" t="s">
        <v>94</v>
      </c>
      <c r="B46" s="31" t="s">
        <v>1006</v>
      </c>
      <c r="C46" s="31" t="s">
        <v>40</v>
      </c>
      <c r="D46" s="32">
        <v>20604000000</v>
      </c>
      <c r="E46" s="32">
        <v>6852000000</v>
      </c>
      <c r="I46" s="32">
        <v>13752000000</v>
      </c>
      <c r="J46" s="32">
        <v>13215591330</v>
      </c>
      <c r="K46" s="34">
        <v>18247885399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1:28" ht="15.75" customHeight="1">
      <c r="A47" s="31" t="s">
        <v>96</v>
      </c>
      <c r="B47" s="31" t="s">
        <v>1007</v>
      </c>
      <c r="C47" s="31" t="s">
        <v>40</v>
      </c>
      <c r="D47" s="32">
        <v>44682762238</v>
      </c>
      <c r="E47" s="32">
        <v>14428762238</v>
      </c>
      <c r="I47" s="32">
        <v>30254000000</v>
      </c>
      <c r="J47" s="32">
        <v>20476038983</v>
      </c>
      <c r="K47" s="34">
        <v>36544540726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28" ht="15.75" customHeight="1">
      <c r="A48" s="31" t="s">
        <v>98</v>
      </c>
      <c r="B48" s="31" t="s">
        <v>1008</v>
      </c>
      <c r="C48" s="31" t="s">
        <v>40</v>
      </c>
      <c r="D48" s="32">
        <v>5230000000</v>
      </c>
      <c r="E48" s="32">
        <v>630000000</v>
      </c>
      <c r="I48" s="32">
        <v>4600000000</v>
      </c>
      <c r="J48" s="32">
        <v>4390349668</v>
      </c>
      <c r="K48" s="34">
        <v>4644743806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1:28" ht="15.75" customHeight="1">
      <c r="A49" s="31" t="s">
        <v>1009</v>
      </c>
      <c r="B49" s="31" t="s">
        <v>1010</v>
      </c>
      <c r="C49" s="31" t="s">
        <v>40</v>
      </c>
      <c r="D49" s="32">
        <v>15393201611</v>
      </c>
      <c r="E49" s="32">
        <v>11688201611</v>
      </c>
      <c r="I49" s="32">
        <v>3705000000</v>
      </c>
      <c r="J49" s="32">
        <v>2987568646</v>
      </c>
      <c r="K49" s="34">
        <v>12607861799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1:28" ht="15.75" customHeight="1">
      <c r="A50" s="31" t="s">
        <v>1011</v>
      </c>
      <c r="B50" s="31" t="s">
        <v>1012</v>
      </c>
      <c r="C50" s="31" t="s">
        <v>40</v>
      </c>
      <c r="D50" s="32">
        <v>526000000</v>
      </c>
      <c r="E50" s="33" t="s">
        <v>41</v>
      </c>
      <c r="I50" s="32">
        <v>526000000</v>
      </c>
      <c r="J50" s="32">
        <v>160000000</v>
      </c>
      <c r="K50" s="34">
        <v>488464010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1:28" ht="15.75" customHeight="1">
      <c r="A51" s="31" t="s">
        <v>104</v>
      </c>
      <c r="B51" s="31" t="s">
        <v>1013</v>
      </c>
      <c r="C51" s="31" t="s">
        <v>40</v>
      </c>
      <c r="D51" s="32">
        <v>16079200000</v>
      </c>
      <c r="E51" s="32">
        <v>16000000000</v>
      </c>
      <c r="I51" s="32">
        <v>79200000</v>
      </c>
      <c r="J51" s="32">
        <v>75530960</v>
      </c>
      <c r="K51" s="34">
        <v>14508710289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1:28" ht="15.75" customHeight="1">
      <c r="A52" s="31" t="s">
        <v>106</v>
      </c>
      <c r="B52" s="31" t="s">
        <v>1014</v>
      </c>
      <c r="C52" s="31" t="s">
        <v>40</v>
      </c>
      <c r="D52" s="32">
        <v>152850000</v>
      </c>
      <c r="E52" s="33" t="s">
        <v>41</v>
      </c>
      <c r="I52" s="32">
        <v>152850000</v>
      </c>
      <c r="J52" s="32">
        <v>135035190</v>
      </c>
      <c r="K52" s="34">
        <v>147147045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1:28" ht="15.75" customHeight="1">
      <c r="A53" s="31" t="s">
        <v>1015</v>
      </c>
      <c r="B53" s="31" t="s">
        <v>1016</v>
      </c>
      <c r="C53" s="31" t="s">
        <v>40</v>
      </c>
      <c r="D53" s="32">
        <v>1084700000</v>
      </c>
      <c r="E53" s="32">
        <v>300000000</v>
      </c>
      <c r="I53" s="32">
        <v>784700000</v>
      </c>
      <c r="J53" s="32">
        <v>578352435</v>
      </c>
      <c r="K53" s="34">
        <v>730923980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1:28" ht="15.75" customHeight="1">
      <c r="A54" s="31" t="s">
        <v>110</v>
      </c>
      <c r="B54" s="31" t="s">
        <v>1017</v>
      </c>
      <c r="C54" s="31" t="s">
        <v>40</v>
      </c>
      <c r="D54" s="32">
        <v>46374488883</v>
      </c>
      <c r="E54" s="32">
        <v>27049488883</v>
      </c>
      <c r="I54" s="32">
        <v>19325000000</v>
      </c>
      <c r="J54" s="32">
        <v>10170929043</v>
      </c>
      <c r="K54" s="34">
        <v>26192335553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1:28" ht="15.75" customHeight="1">
      <c r="A55" s="31" t="s">
        <v>112</v>
      </c>
      <c r="B55" s="31" t="s">
        <v>1018</v>
      </c>
      <c r="C55" s="31" t="s">
        <v>40</v>
      </c>
      <c r="D55" s="32">
        <v>5694000000</v>
      </c>
      <c r="E55" s="32">
        <v>2314000000</v>
      </c>
      <c r="I55" s="32">
        <v>3380000000</v>
      </c>
      <c r="J55" s="32">
        <v>2950985786</v>
      </c>
      <c r="K55" s="34">
        <v>4872615159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1:28" ht="15.75" customHeight="1">
      <c r="A56" s="31" t="s">
        <v>114</v>
      </c>
      <c r="B56" s="31" t="s">
        <v>1019</v>
      </c>
      <c r="C56" s="31" t="s">
        <v>40</v>
      </c>
      <c r="D56" s="32">
        <v>7935878335</v>
      </c>
      <c r="E56" s="32">
        <v>658578335</v>
      </c>
      <c r="I56" s="32">
        <v>7277300000</v>
      </c>
      <c r="J56" s="32">
        <v>6719580786</v>
      </c>
      <c r="K56" s="34">
        <v>7321449884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1:28" ht="15.75" customHeight="1">
      <c r="A57" s="31" t="s">
        <v>1020</v>
      </c>
      <c r="B57" s="31" t="s">
        <v>1021</v>
      </c>
      <c r="C57" s="31" t="s">
        <v>40</v>
      </c>
      <c r="D57" s="32">
        <v>42908849674</v>
      </c>
      <c r="E57" s="32">
        <v>2207137612</v>
      </c>
      <c r="I57" s="32">
        <v>40701712062</v>
      </c>
      <c r="J57" s="32">
        <v>37062429774</v>
      </c>
      <c r="K57" s="34">
        <v>38875115679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 ht="15.75" customHeight="1">
      <c r="A58" s="31" t="s">
        <v>118</v>
      </c>
      <c r="B58" s="31" t="s">
        <v>1022</v>
      </c>
      <c r="C58" s="31" t="s">
        <v>40</v>
      </c>
      <c r="D58" s="32">
        <v>5649846000</v>
      </c>
      <c r="E58" s="33" t="s">
        <v>41</v>
      </c>
      <c r="I58" s="32">
        <v>5649846000</v>
      </c>
      <c r="J58" s="32">
        <v>2087000428</v>
      </c>
      <c r="K58" s="34">
        <v>2082939308</v>
      </c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 ht="15.75" customHeight="1">
      <c r="A59" s="31" t="s">
        <v>120</v>
      </c>
      <c r="B59" s="31" t="s">
        <v>1023</v>
      </c>
      <c r="C59" s="31" t="s">
        <v>40</v>
      </c>
      <c r="D59" s="32">
        <v>50000000</v>
      </c>
      <c r="E59" s="33" t="s">
        <v>41</v>
      </c>
      <c r="I59" s="32">
        <v>50000000</v>
      </c>
      <c r="J59" s="32">
        <v>50000000</v>
      </c>
      <c r="K59" s="34">
        <v>50000000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spans="1:28" ht="15.75" customHeight="1">
      <c r="A60" s="31" t="s">
        <v>122</v>
      </c>
      <c r="B60" s="31" t="s">
        <v>1024</v>
      </c>
      <c r="C60" s="31" t="s">
        <v>40</v>
      </c>
      <c r="D60" s="32">
        <v>5743190870</v>
      </c>
      <c r="E60" s="33" t="s">
        <v>41</v>
      </c>
      <c r="I60" s="32">
        <v>5743190870</v>
      </c>
      <c r="J60" s="32">
        <v>2495634139</v>
      </c>
      <c r="K60" s="34">
        <v>5742218142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spans="1:28" ht="15.75" customHeight="1">
      <c r="A61" s="31" t="s">
        <v>124</v>
      </c>
      <c r="B61" s="31" t="s">
        <v>1025</v>
      </c>
      <c r="C61" s="31" t="s">
        <v>40</v>
      </c>
      <c r="D61" s="32">
        <v>5929200000</v>
      </c>
      <c r="E61" s="33" t="s">
        <v>41</v>
      </c>
      <c r="I61" s="32">
        <v>5929200000</v>
      </c>
      <c r="J61" s="32">
        <v>1721800800</v>
      </c>
      <c r="K61" s="34">
        <v>5924186500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1:28" ht="15.75" customHeight="1">
      <c r="A62" s="31" t="s">
        <v>126</v>
      </c>
      <c r="B62" s="31" t="s">
        <v>1026</v>
      </c>
      <c r="C62" s="31" t="s">
        <v>40</v>
      </c>
      <c r="D62" s="32">
        <v>5517000000</v>
      </c>
      <c r="E62" s="33" t="s">
        <v>41</v>
      </c>
      <c r="I62" s="32">
        <v>5517000000</v>
      </c>
      <c r="J62" s="32">
        <v>1256500000</v>
      </c>
      <c r="K62" s="34">
        <v>1256500000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spans="1:28" ht="15.75" customHeight="1">
      <c r="A63" s="31" t="s">
        <v>1027</v>
      </c>
      <c r="B63" s="31" t="s">
        <v>1028</v>
      </c>
      <c r="C63" s="31" t="s">
        <v>40</v>
      </c>
      <c r="D63" s="32">
        <v>4092470000</v>
      </c>
      <c r="E63" s="32">
        <v>245000000</v>
      </c>
      <c r="I63" s="32">
        <v>3847470000</v>
      </c>
      <c r="J63" s="32">
        <v>3276503582</v>
      </c>
      <c r="K63" s="34">
        <v>2393876842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spans="1:28" ht="15.75" customHeight="1">
      <c r="A64" s="31" t="s">
        <v>132</v>
      </c>
      <c r="B64" s="31" t="s">
        <v>1029</v>
      </c>
      <c r="C64" s="31" t="s">
        <v>40</v>
      </c>
      <c r="D64" s="32">
        <v>885500000</v>
      </c>
      <c r="E64" s="33" t="s">
        <v>41</v>
      </c>
      <c r="I64" s="32">
        <v>885500000</v>
      </c>
      <c r="J64" s="32">
        <v>205197711</v>
      </c>
      <c r="K64" s="34">
        <v>534520377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spans="1:28" ht="15.75" customHeight="1">
      <c r="A65" s="31" t="s">
        <v>134</v>
      </c>
      <c r="B65" s="31" t="s">
        <v>1030</v>
      </c>
      <c r="C65" s="31" t="s">
        <v>40</v>
      </c>
      <c r="D65" s="32">
        <v>2363000000</v>
      </c>
      <c r="E65" s="32">
        <v>2070000000</v>
      </c>
      <c r="I65" s="32">
        <v>293000000</v>
      </c>
      <c r="J65" s="32">
        <v>293000000</v>
      </c>
      <c r="K65" s="34">
        <v>2214365140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spans="1:28" ht="15.75" customHeight="1">
      <c r="A66" s="31" t="s">
        <v>136</v>
      </c>
      <c r="B66" s="31" t="s">
        <v>1031</v>
      </c>
      <c r="C66" s="31" t="s">
        <v>40</v>
      </c>
      <c r="D66" s="32">
        <v>142150000</v>
      </c>
      <c r="E66" s="32">
        <v>25000000</v>
      </c>
      <c r="I66" s="32">
        <v>117150000</v>
      </c>
      <c r="J66" s="32">
        <v>67273029</v>
      </c>
      <c r="K66" s="34">
        <v>86788678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1:28" ht="15.75" customHeight="1">
      <c r="A67" s="31" t="s">
        <v>138</v>
      </c>
      <c r="B67" s="31" t="s">
        <v>1032</v>
      </c>
      <c r="C67" s="31" t="s">
        <v>40</v>
      </c>
      <c r="D67" s="32">
        <v>1106976499</v>
      </c>
      <c r="E67" s="32">
        <v>135000000</v>
      </c>
      <c r="I67" s="32">
        <v>971976499</v>
      </c>
      <c r="J67" s="32">
        <v>460296123</v>
      </c>
      <c r="K67" s="34">
        <v>647844193</v>
      </c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spans="1:28" ht="15.75" customHeight="1">
      <c r="A68" s="31" t="s">
        <v>1033</v>
      </c>
      <c r="B68" s="31" t="s">
        <v>1034</v>
      </c>
      <c r="C68" s="31" t="s">
        <v>40</v>
      </c>
      <c r="D68" s="32">
        <v>3553830000</v>
      </c>
      <c r="E68" s="32">
        <v>100000000</v>
      </c>
      <c r="I68" s="32">
        <v>3453830000</v>
      </c>
      <c r="J68" s="32">
        <v>3436722493</v>
      </c>
      <c r="K68" s="34">
        <v>3543634076</v>
      </c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spans="1:28" ht="15.75" customHeight="1">
      <c r="A69" s="31" t="s">
        <v>142</v>
      </c>
      <c r="B69" s="31" t="s">
        <v>1035</v>
      </c>
      <c r="C69" s="31" t="s">
        <v>40</v>
      </c>
      <c r="D69" s="32">
        <v>1085945784</v>
      </c>
      <c r="E69" s="32">
        <v>260945784</v>
      </c>
      <c r="I69" s="32">
        <v>825000000</v>
      </c>
      <c r="J69" s="32">
        <v>743114271</v>
      </c>
      <c r="K69" s="34">
        <v>999970597</v>
      </c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spans="1:28" ht="15.75" customHeight="1">
      <c r="A70" s="31" t="s">
        <v>146</v>
      </c>
      <c r="B70" s="31" t="s">
        <v>1036</v>
      </c>
      <c r="C70" s="31" t="s">
        <v>40</v>
      </c>
      <c r="D70" s="32">
        <v>175500000</v>
      </c>
      <c r="E70" s="33" t="s">
        <v>41</v>
      </c>
      <c r="I70" s="32">
        <v>175500000</v>
      </c>
      <c r="J70" s="32">
        <v>31496320</v>
      </c>
      <c r="K70" s="34">
        <v>172182828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1:28" ht="15.75" customHeight="1">
      <c r="A71" s="31" t="s">
        <v>148</v>
      </c>
      <c r="B71" s="31" t="s">
        <v>148</v>
      </c>
      <c r="C71" s="31" t="s">
        <v>40</v>
      </c>
      <c r="D71" s="32">
        <v>1400000000</v>
      </c>
      <c r="E71" s="33" t="s">
        <v>41</v>
      </c>
      <c r="I71" s="32">
        <v>1400000000</v>
      </c>
      <c r="J71" s="32">
        <v>930000000</v>
      </c>
      <c r="K71" s="34">
        <v>1073510298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spans="1:28" ht="15.75" customHeight="1">
      <c r="A72" s="31" t="s">
        <v>149</v>
      </c>
      <c r="B72" s="31" t="s">
        <v>1037</v>
      </c>
      <c r="C72" s="31" t="s">
        <v>40</v>
      </c>
      <c r="D72" s="32">
        <v>68140000</v>
      </c>
      <c r="E72" s="33" t="s">
        <v>41</v>
      </c>
      <c r="I72" s="32">
        <v>68140000</v>
      </c>
      <c r="J72" s="32">
        <v>59566717</v>
      </c>
      <c r="K72" s="34">
        <v>59566717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spans="1:28" ht="15.75" customHeight="1">
      <c r="A73" s="31" t="s">
        <v>153</v>
      </c>
      <c r="B73" s="31" t="s">
        <v>1038</v>
      </c>
      <c r="C73" s="31" t="s">
        <v>40</v>
      </c>
      <c r="D73" s="32">
        <v>56000000</v>
      </c>
      <c r="E73" s="33" t="s">
        <v>41</v>
      </c>
      <c r="I73" s="32">
        <v>56000000</v>
      </c>
      <c r="J73" s="32">
        <v>52148170</v>
      </c>
      <c r="K73" s="34">
        <v>54358031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spans="1:28" ht="15.75" customHeight="1">
      <c r="A74" s="31" t="s">
        <v>159</v>
      </c>
      <c r="B74" s="31" t="s">
        <v>1039</v>
      </c>
      <c r="C74" s="31" t="s">
        <v>40</v>
      </c>
      <c r="D74" s="32">
        <v>2258205186</v>
      </c>
      <c r="E74" s="32">
        <v>254000000</v>
      </c>
      <c r="I74" s="32">
        <v>2004205186</v>
      </c>
      <c r="J74" s="32">
        <v>1574443129</v>
      </c>
      <c r="K74" s="34">
        <v>1787605102</v>
      </c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28" ht="15.75" customHeight="1">
      <c r="A75" s="31" t="s">
        <v>161</v>
      </c>
      <c r="B75" s="31" t="s">
        <v>1040</v>
      </c>
      <c r="C75" s="31" t="s">
        <v>40</v>
      </c>
      <c r="D75" s="32">
        <v>3408339205</v>
      </c>
      <c r="E75" s="32">
        <v>1210000000</v>
      </c>
      <c r="I75" s="32">
        <v>2198339205</v>
      </c>
      <c r="J75" s="32">
        <v>1657610720</v>
      </c>
      <c r="K75" s="34">
        <v>2951133582</v>
      </c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spans="1:28" ht="15.75" customHeight="1">
      <c r="A76" s="31" t="s">
        <v>165</v>
      </c>
      <c r="B76" s="31" t="s">
        <v>1041</v>
      </c>
      <c r="C76" s="31" t="s">
        <v>40</v>
      </c>
      <c r="D76" s="32">
        <v>271000000</v>
      </c>
      <c r="E76" s="33" t="s">
        <v>41</v>
      </c>
      <c r="I76" s="32">
        <v>271000000</v>
      </c>
      <c r="J76" s="32">
        <v>260342116</v>
      </c>
      <c r="K76" s="34">
        <v>268518642</v>
      </c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spans="1:28" ht="15.75" customHeight="1">
      <c r="A77" s="31" t="s">
        <v>167</v>
      </c>
      <c r="B77" s="31" t="s">
        <v>1042</v>
      </c>
      <c r="C77" s="31" t="s">
        <v>40</v>
      </c>
      <c r="D77" s="32">
        <v>77000000</v>
      </c>
      <c r="E77" s="33" t="s">
        <v>41</v>
      </c>
      <c r="I77" s="32">
        <v>77000000</v>
      </c>
      <c r="J77" s="32">
        <v>71679133</v>
      </c>
      <c r="K77" s="34">
        <v>71679133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spans="1:28" ht="15.75" customHeight="1">
      <c r="A78" s="31" t="s">
        <v>172</v>
      </c>
      <c r="B78" s="31" t="s">
        <v>1043</v>
      </c>
      <c r="C78" s="31" t="s">
        <v>40</v>
      </c>
      <c r="D78" s="32">
        <v>1565000000</v>
      </c>
      <c r="E78" s="33" t="s">
        <v>41</v>
      </c>
      <c r="I78" s="32">
        <v>1565000000</v>
      </c>
      <c r="J78" s="32">
        <v>1436904455</v>
      </c>
      <c r="K78" s="34">
        <v>1461685158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spans="1:28" ht="15.75" customHeight="1">
      <c r="A79" s="31" t="s">
        <v>180</v>
      </c>
      <c r="B79" s="31" t="s">
        <v>1044</v>
      </c>
      <c r="C79" s="31" t="s">
        <v>40</v>
      </c>
      <c r="D79" s="32">
        <v>45300000</v>
      </c>
      <c r="E79" s="33" t="s">
        <v>41</v>
      </c>
      <c r="I79" s="32">
        <v>45300000</v>
      </c>
      <c r="J79" s="32">
        <v>43027625</v>
      </c>
      <c r="K79" s="34">
        <v>42714435</v>
      </c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spans="1:28" ht="15.75" customHeight="1">
      <c r="A80" s="31" t="s">
        <v>184</v>
      </c>
      <c r="B80" s="31" t="s">
        <v>1045</v>
      </c>
      <c r="C80" s="31" t="s">
        <v>40</v>
      </c>
      <c r="D80" s="32">
        <v>1202000000</v>
      </c>
      <c r="E80" s="32">
        <v>43000000</v>
      </c>
      <c r="I80" s="32">
        <v>1159000000</v>
      </c>
      <c r="J80" s="32">
        <v>689329291</v>
      </c>
      <c r="K80" s="34">
        <v>670400386</v>
      </c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spans="1:28" ht="15.75" customHeight="1">
      <c r="A81" s="31" t="s">
        <v>188</v>
      </c>
      <c r="B81" s="31" t="s">
        <v>188</v>
      </c>
      <c r="C81" s="31" t="s">
        <v>40</v>
      </c>
      <c r="D81" s="32">
        <v>70000000</v>
      </c>
      <c r="E81" s="33" t="s">
        <v>41</v>
      </c>
      <c r="I81" s="32">
        <v>70000000</v>
      </c>
      <c r="J81" s="32">
        <v>6825106</v>
      </c>
      <c r="K81" s="34">
        <v>42192248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spans="1:28" ht="15.75" customHeight="1">
      <c r="A82" s="31" t="s">
        <v>1046</v>
      </c>
      <c r="B82" s="31" t="s">
        <v>1047</v>
      </c>
      <c r="C82" s="31" t="s">
        <v>40</v>
      </c>
      <c r="D82" s="32">
        <v>4680700</v>
      </c>
      <c r="E82" s="33" t="s">
        <v>41</v>
      </c>
      <c r="I82" s="32">
        <v>4680700</v>
      </c>
      <c r="J82" s="33" t="s">
        <v>41</v>
      </c>
      <c r="K82" s="36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spans="1:28" ht="15.75" customHeight="1">
      <c r="A83" s="37" t="s">
        <v>468</v>
      </c>
      <c r="B83" s="37"/>
      <c r="C83" s="37"/>
      <c r="D83" s="38">
        <v>708849162176</v>
      </c>
      <c r="E83" s="38">
        <v>256757787296</v>
      </c>
      <c r="I83" s="38">
        <v>452091374880</v>
      </c>
      <c r="J83" s="38">
        <v>315062171762</v>
      </c>
      <c r="K83" s="39">
        <v>516855270394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:28" ht="15.75" customHeight="1">
      <c r="A84" s="30" t="s">
        <v>198</v>
      </c>
      <c r="B84" s="30"/>
      <c r="C84" s="30"/>
      <c r="D84" s="40"/>
      <c r="E84" s="40"/>
      <c r="F84" s="40"/>
      <c r="I84" s="40"/>
      <c r="J84" s="40"/>
      <c r="K84" s="40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28" ht="15.75" customHeight="1">
      <c r="A85" s="29" t="s">
        <v>0</v>
      </c>
      <c r="B85" s="29" t="s">
        <v>0</v>
      </c>
      <c r="C85" s="29"/>
      <c r="D85" s="29" t="s">
        <v>1048</v>
      </c>
      <c r="E85" s="29" t="s">
        <v>1049</v>
      </c>
      <c r="F85" s="41" t="s">
        <v>1050</v>
      </c>
      <c r="I85" s="29" t="s">
        <v>1051</v>
      </c>
      <c r="J85" s="29" t="s">
        <v>1052</v>
      </c>
      <c r="K85" s="29" t="s">
        <v>1053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ht="15.75" customHeight="1">
      <c r="A86" s="31" t="s">
        <v>39</v>
      </c>
      <c r="B86" s="31" t="s">
        <v>976</v>
      </c>
      <c r="C86" s="30" t="s">
        <v>198</v>
      </c>
      <c r="D86" s="32">
        <v>5983070000</v>
      </c>
      <c r="E86" s="32">
        <v>7350425348</v>
      </c>
      <c r="F86" s="32">
        <v>7815425348</v>
      </c>
      <c r="I86" s="32">
        <v>2466855348</v>
      </c>
      <c r="J86" s="32">
        <v>1798513887</v>
      </c>
      <c r="K86" s="34">
        <v>1593945009</v>
      </c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spans="1:28" ht="15.75" customHeight="1">
      <c r="A87" s="31" t="s">
        <v>309</v>
      </c>
      <c r="B87" s="31" t="s">
        <v>309</v>
      </c>
      <c r="C87" s="30" t="s">
        <v>198</v>
      </c>
      <c r="D87" s="32">
        <v>6778886159</v>
      </c>
      <c r="E87" s="32">
        <v>4141850225</v>
      </c>
      <c r="F87" s="32">
        <v>4141850225</v>
      </c>
      <c r="I87" s="32">
        <v>3897284799</v>
      </c>
      <c r="J87" s="32">
        <v>3695406124</v>
      </c>
      <c r="K87" s="34">
        <v>3888701915</v>
      </c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spans="1:28" ht="15.75" customHeight="1">
      <c r="A88" s="31" t="s">
        <v>54</v>
      </c>
      <c r="B88" s="31" t="s">
        <v>54</v>
      </c>
      <c r="C88" s="30" t="s">
        <v>198</v>
      </c>
      <c r="D88" s="32">
        <v>1165400000</v>
      </c>
      <c r="E88" s="32">
        <v>765400000</v>
      </c>
      <c r="F88" s="32">
        <v>505171870</v>
      </c>
      <c r="I88" s="32">
        <v>435171870</v>
      </c>
      <c r="J88" s="32">
        <v>282693053</v>
      </c>
      <c r="K88" s="34">
        <v>423071645</v>
      </c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spans="1:28" ht="15.75" customHeight="1">
      <c r="A89" s="31" t="s">
        <v>56</v>
      </c>
      <c r="B89" s="31" t="s">
        <v>56</v>
      </c>
      <c r="C89" s="30" t="s">
        <v>198</v>
      </c>
      <c r="D89" s="32" t="s">
        <v>41</v>
      </c>
      <c r="E89" s="32">
        <v>130000000</v>
      </c>
      <c r="F89" s="32">
        <v>106663915</v>
      </c>
      <c r="I89" s="32">
        <v>106663915</v>
      </c>
      <c r="J89" s="32">
        <v>41210244</v>
      </c>
      <c r="K89" s="34">
        <v>106663915</v>
      </c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spans="1:28" ht="15.75" customHeight="1">
      <c r="A90" s="31" t="s">
        <v>1054</v>
      </c>
      <c r="B90" s="31" t="s">
        <v>1054</v>
      </c>
      <c r="C90" s="30" t="s">
        <v>198</v>
      </c>
      <c r="D90" s="32" t="s">
        <v>41</v>
      </c>
      <c r="E90" s="32">
        <v>50000000</v>
      </c>
      <c r="F90" s="32"/>
      <c r="I90" s="32"/>
      <c r="J90" s="32"/>
      <c r="K90" s="34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spans="1:28" ht="15.75" customHeight="1">
      <c r="A91" s="31" t="s">
        <v>1055</v>
      </c>
      <c r="B91" s="31" t="s">
        <v>1055</v>
      </c>
      <c r="C91" s="30" t="s">
        <v>198</v>
      </c>
      <c r="D91" s="32">
        <v>297000000</v>
      </c>
      <c r="E91" s="32">
        <v>197000000</v>
      </c>
      <c r="F91" s="32">
        <v>227377778</v>
      </c>
      <c r="I91" s="32">
        <v>227377778</v>
      </c>
      <c r="J91" s="32">
        <v>56000000</v>
      </c>
      <c r="K91" s="34">
        <v>89228948</v>
      </c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spans="1:28" ht="15.75" customHeight="1">
      <c r="A92" s="31" t="s">
        <v>66</v>
      </c>
      <c r="B92" s="31" t="s">
        <v>987</v>
      </c>
      <c r="C92" s="30" t="s">
        <v>198</v>
      </c>
      <c r="D92" s="32">
        <v>9360193700</v>
      </c>
      <c r="E92" s="32">
        <v>9667093700</v>
      </c>
      <c r="F92" s="32">
        <v>14428093700</v>
      </c>
      <c r="I92" s="32">
        <v>14428093700</v>
      </c>
      <c r="J92" s="32">
        <v>9263702545</v>
      </c>
      <c r="K92" s="34">
        <v>11280342582</v>
      </c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spans="1:28" ht="15.75" customHeight="1">
      <c r="A93" s="31" t="s">
        <v>212</v>
      </c>
      <c r="B93" s="42" t="s">
        <v>639</v>
      </c>
      <c r="C93" s="30" t="s">
        <v>198</v>
      </c>
      <c r="D93" s="32">
        <v>3468000000</v>
      </c>
      <c r="E93" s="32">
        <v>3365500000</v>
      </c>
      <c r="F93" s="32">
        <v>3365350874</v>
      </c>
      <c r="I93" s="32">
        <v>3365350874</v>
      </c>
      <c r="J93" s="32">
        <v>1747489410</v>
      </c>
      <c r="K93" s="34">
        <v>3354518493</v>
      </c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spans="1:28" ht="15.75" customHeight="1">
      <c r="A94" s="31" t="s">
        <v>72</v>
      </c>
      <c r="B94" s="31" t="s">
        <v>72</v>
      </c>
      <c r="C94" s="30" t="s">
        <v>198</v>
      </c>
      <c r="D94" s="32">
        <v>1796120000</v>
      </c>
      <c r="E94" s="32">
        <v>1096120000</v>
      </c>
      <c r="F94" s="32">
        <v>1096120000</v>
      </c>
      <c r="I94" s="32">
        <v>1096120000</v>
      </c>
      <c r="J94" s="32">
        <v>1087352000</v>
      </c>
      <c r="K94" s="34">
        <v>1087352000</v>
      </c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spans="1:28" ht="15.75" customHeight="1">
      <c r="A95" s="31" t="s">
        <v>217</v>
      </c>
      <c r="B95" s="31" t="s">
        <v>217</v>
      </c>
      <c r="C95" s="30" t="s">
        <v>198</v>
      </c>
      <c r="D95" s="32">
        <v>5829822807</v>
      </c>
      <c r="E95" s="32">
        <v>4104922807</v>
      </c>
      <c r="F95" s="32">
        <v>4097771417</v>
      </c>
      <c r="I95" s="32">
        <v>1554348610</v>
      </c>
      <c r="J95" s="32">
        <v>1286931863</v>
      </c>
      <c r="K95" s="34">
        <v>2166508166</v>
      </c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spans="1:28" ht="15.75" customHeight="1">
      <c r="A96" s="31" t="s">
        <v>219</v>
      </c>
      <c r="B96" s="31" t="s">
        <v>219</v>
      </c>
      <c r="C96" s="30" t="s">
        <v>198</v>
      </c>
      <c r="D96" s="32">
        <v>6980716330</v>
      </c>
      <c r="E96" s="32">
        <v>4626600000</v>
      </c>
      <c r="F96" s="32">
        <v>4620600000</v>
      </c>
      <c r="I96" s="32">
        <v>2332000000</v>
      </c>
      <c r="J96" s="32">
        <v>2021237214</v>
      </c>
      <c r="K96" s="34">
        <v>1879256885</v>
      </c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spans="1:28" ht="15.75" customHeight="1">
      <c r="A97" s="31" t="s">
        <v>221</v>
      </c>
      <c r="B97" s="31" t="s">
        <v>221</v>
      </c>
      <c r="C97" s="30" t="s">
        <v>198</v>
      </c>
      <c r="D97" s="32">
        <v>15379239910</v>
      </c>
      <c r="E97" s="32">
        <v>23778187003</v>
      </c>
      <c r="F97" s="32">
        <v>24221770957</v>
      </c>
      <c r="I97" s="32">
        <v>23995070957</v>
      </c>
      <c r="J97" s="32">
        <v>20699100277</v>
      </c>
      <c r="K97" s="34">
        <v>17102858021</v>
      </c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spans="1:28" ht="15.75" customHeight="1">
      <c r="A98" s="31" t="s">
        <v>77</v>
      </c>
      <c r="B98" s="31" t="s">
        <v>995</v>
      </c>
      <c r="C98" s="30" t="s">
        <v>198</v>
      </c>
      <c r="D98" s="32">
        <v>73000000</v>
      </c>
      <c r="E98" s="32"/>
      <c r="F98" s="32"/>
      <c r="I98" s="32"/>
      <c r="J98" s="32"/>
      <c r="K98" s="34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spans="1:28" ht="15.75" customHeight="1">
      <c r="A99" s="31" t="s">
        <v>1056</v>
      </c>
      <c r="B99" s="31" t="s">
        <v>1056</v>
      </c>
      <c r="C99" s="30" t="s">
        <v>198</v>
      </c>
      <c r="D99" s="32">
        <v>120551831325</v>
      </c>
      <c r="E99" s="32">
        <v>100824552544</v>
      </c>
      <c r="F99" s="32">
        <v>85958285748</v>
      </c>
      <c r="I99" s="32">
        <v>41698821405</v>
      </c>
      <c r="J99" s="32">
        <v>32989751840</v>
      </c>
      <c r="K99" s="34">
        <v>64758008904</v>
      </c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spans="1:28" ht="15.75" customHeight="1">
      <c r="A100" s="31" t="s">
        <v>228</v>
      </c>
      <c r="B100" s="31" t="s">
        <v>228</v>
      </c>
      <c r="C100" s="30" t="s">
        <v>198</v>
      </c>
      <c r="D100" s="32">
        <v>45130640000</v>
      </c>
      <c r="E100" s="32">
        <v>47797075641</v>
      </c>
      <c r="F100" s="32">
        <v>47571987912</v>
      </c>
      <c r="I100" s="32">
        <v>47561002271</v>
      </c>
      <c r="J100" s="32">
        <v>47424932573</v>
      </c>
      <c r="K100" s="34">
        <v>45294948945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spans="1:28" ht="15.75" customHeight="1">
      <c r="A101" s="31" t="s">
        <v>83</v>
      </c>
      <c r="B101" s="31" t="s">
        <v>83</v>
      </c>
      <c r="C101" s="30" t="s">
        <v>198</v>
      </c>
      <c r="D101" s="32">
        <v>54016254652</v>
      </c>
      <c r="E101" s="32">
        <v>47209728562</v>
      </c>
      <c r="F101" s="32">
        <v>41986549723</v>
      </c>
      <c r="I101" s="32">
        <v>33270670223</v>
      </c>
      <c r="J101" s="32">
        <v>27314888126</v>
      </c>
      <c r="K101" s="34">
        <v>37889705361</v>
      </c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spans="1:28" ht="15.75" customHeight="1">
      <c r="A102" s="31" t="s">
        <v>1057</v>
      </c>
      <c r="B102" s="31" t="s">
        <v>1057</v>
      </c>
      <c r="C102" s="30" t="s">
        <v>198</v>
      </c>
      <c r="D102" s="32" t="s">
        <v>41</v>
      </c>
      <c r="E102" s="32">
        <v>2637250000</v>
      </c>
      <c r="F102" s="32">
        <v>2337250000</v>
      </c>
      <c r="I102" s="32">
        <v>2337250000</v>
      </c>
      <c r="J102" s="32"/>
      <c r="K102" s="34">
        <v>2337250000</v>
      </c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spans="1:28" ht="15.75" customHeight="1">
      <c r="A103" s="31" t="s">
        <v>85</v>
      </c>
      <c r="B103" s="31" t="s">
        <v>85</v>
      </c>
      <c r="C103" s="30" t="s">
        <v>198</v>
      </c>
      <c r="D103" s="32">
        <v>151815567854</v>
      </c>
      <c r="E103" s="32">
        <v>115702000000</v>
      </c>
      <c r="F103" s="32">
        <v>101777868402</v>
      </c>
      <c r="I103" s="32">
        <v>54771000000</v>
      </c>
      <c r="J103" s="32">
        <v>52476626732</v>
      </c>
      <c r="K103" s="34">
        <v>87185716187</v>
      </c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spans="1:28" ht="15.75" customHeight="1">
      <c r="A104" s="31" t="s">
        <v>327</v>
      </c>
      <c r="B104" s="31" t="s">
        <v>327</v>
      </c>
      <c r="C104" s="30" t="s">
        <v>198</v>
      </c>
      <c r="D104" s="32">
        <v>1350000000</v>
      </c>
      <c r="E104" s="32">
        <v>2740500000</v>
      </c>
      <c r="F104" s="32">
        <v>2661602165</v>
      </c>
      <c r="I104" s="32">
        <v>2661602165</v>
      </c>
      <c r="J104" s="32">
        <v>576682835</v>
      </c>
      <c r="K104" s="34">
        <v>2593939209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spans="1:28" ht="15.75" customHeight="1">
      <c r="A105" s="42" t="s">
        <v>1058</v>
      </c>
      <c r="B105" s="42" t="s">
        <v>1058</v>
      </c>
      <c r="C105" s="30" t="s">
        <v>198</v>
      </c>
      <c r="D105" s="32">
        <v>1178000000</v>
      </c>
      <c r="E105" s="32">
        <v>689000000</v>
      </c>
      <c r="F105" s="32">
        <v>689900000</v>
      </c>
      <c r="I105" s="32">
        <v>900000</v>
      </c>
      <c r="J105" s="32" t="s">
        <v>41</v>
      </c>
      <c r="K105" s="34">
        <v>265809800</v>
      </c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spans="1:28" ht="15.75" customHeight="1">
      <c r="A106" s="31" t="s">
        <v>93</v>
      </c>
      <c r="B106" s="31" t="s">
        <v>93</v>
      </c>
      <c r="C106" s="30" t="s">
        <v>198</v>
      </c>
      <c r="D106" s="32">
        <v>11000000000</v>
      </c>
      <c r="E106" s="32">
        <v>2388937500</v>
      </c>
      <c r="F106" s="32">
        <v>2388937500</v>
      </c>
      <c r="I106" s="32">
        <v>2388937500</v>
      </c>
      <c r="J106" s="32">
        <v>2088937500</v>
      </c>
      <c r="K106" s="34">
        <v>2090144184</v>
      </c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spans="1:28" ht="15.75" customHeight="1">
      <c r="A107" s="31" t="s">
        <v>91</v>
      </c>
      <c r="B107" s="31" t="s">
        <v>91</v>
      </c>
      <c r="C107" s="30" t="s">
        <v>198</v>
      </c>
      <c r="D107" s="32">
        <v>19020000000</v>
      </c>
      <c r="E107" s="32">
        <v>12220000000</v>
      </c>
      <c r="F107" s="32">
        <v>10526000000</v>
      </c>
      <c r="I107" s="32">
        <v>9471000000</v>
      </c>
      <c r="J107" s="32">
        <v>7639226499</v>
      </c>
      <c r="K107" s="34">
        <v>9133254793</v>
      </c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spans="1:28" ht="15.75" customHeight="1">
      <c r="A108" s="31" t="s">
        <v>95</v>
      </c>
      <c r="B108" s="31" t="s">
        <v>95</v>
      </c>
      <c r="C108" s="30" t="s">
        <v>198</v>
      </c>
      <c r="D108" s="32">
        <v>1310000000</v>
      </c>
      <c r="E108" s="32">
        <v>792000000</v>
      </c>
      <c r="F108" s="32">
        <v>435729677</v>
      </c>
      <c r="I108" s="32">
        <v>435729677</v>
      </c>
      <c r="J108" s="32">
        <v>435729677</v>
      </c>
      <c r="K108" s="34">
        <v>437042124</v>
      </c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spans="1:28" ht="15.75" customHeight="1">
      <c r="A109" s="31" t="s">
        <v>336</v>
      </c>
      <c r="B109" s="31" t="s">
        <v>336</v>
      </c>
      <c r="C109" s="30" t="s">
        <v>198</v>
      </c>
      <c r="D109" s="32"/>
      <c r="E109" s="32">
        <v>2388937500</v>
      </c>
      <c r="F109" s="32">
        <v>2388937500</v>
      </c>
      <c r="I109" s="32">
        <v>2388937500</v>
      </c>
      <c r="J109" s="32">
        <v>2088937500</v>
      </c>
      <c r="K109" s="34">
        <v>2090144184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spans="1:28" ht="15.75" customHeight="1">
      <c r="A110" s="31" t="s">
        <v>1059</v>
      </c>
      <c r="B110" s="31" t="s">
        <v>1059</v>
      </c>
      <c r="C110" s="30" t="s">
        <v>198</v>
      </c>
      <c r="D110" s="32">
        <v>4639800000</v>
      </c>
      <c r="E110" s="32">
        <v>3566300000</v>
      </c>
      <c r="F110" s="32">
        <v>4367300000</v>
      </c>
      <c r="I110" s="32">
        <v>2627300000</v>
      </c>
      <c r="J110" s="32">
        <v>1653997497</v>
      </c>
      <c r="K110" s="34">
        <v>3535835264</v>
      </c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spans="1:28" ht="15.75" customHeight="1">
      <c r="A111" s="31" t="s">
        <v>99</v>
      </c>
      <c r="B111" s="31" t="s">
        <v>99</v>
      </c>
      <c r="C111" s="30" t="s">
        <v>198</v>
      </c>
      <c r="D111" s="32">
        <v>77189124881</v>
      </c>
      <c r="E111" s="32">
        <v>54617013087</v>
      </c>
      <c r="F111" s="32">
        <v>60256944574</v>
      </c>
      <c r="I111" s="32">
        <v>26593302660</v>
      </c>
      <c r="J111" s="32">
        <v>22422692123</v>
      </c>
      <c r="K111" s="34">
        <v>45812991611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spans="1:28" ht="15.75" customHeight="1">
      <c r="A112" s="31" t="s">
        <v>339</v>
      </c>
      <c r="B112" s="31" t="s">
        <v>339</v>
      </c>
      <c r="C112" s="30" t="s">
        <v>198</v>
      </c>
      <c r="D112" s="32">
        <v>2621800000</v>
      </c>
      <c r="E112" s="32">
        <v>1366300000</v>
      </c>
      <c r="F112" s="32">
        <v>1271868900</v>
      </c>
      <c r="I112" s="32">
        <v>1271868900</v>
      </c>
      <c r="J112" s="32">
        <v>1271868900</v>
      </c>
      <c r="K112" s="34">
        <v>1266735069</v>
      </c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spans="1:28" ht="15.75" customHeight="1">
      <c r="A113" s="31" t="s">
        <v>419</v>
      </c>
      <c r="B113" s="31" t="s">
        <v>419</v>
      </c>
      <c r="C113" s="30" t="s">
        <v>198</v>
      </c>
      <c r="D113" s="32">
        <v>16985700000</v>
      </c>
      <c r="E113" s="32">
        <v>11210700000</v>
      </c>
      <c r="F113" s="32">
        <v>11670329763</v>
      </c>
      <c r="I113" s="32">
        <v>1169629763</v>
      </c>
      <c r="J113" s="32">
        <v>631016612</v>
      </c>
      <c r="K113" s="34">
        <v>9072825653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spans="1:28" ht="15.75" customHeight="1">
      <c r="A114" s="31" t="s">
        <v>105</v>
      </c>
      <c r="B114" s="31" t="s">
        <v>105</v>
      </c>
      <c r="C114" s="30" t="s">
        <v>198</v>
      </c>
      <c r="D114" s="32">
        <v>817000000</v>
      </c>
      <c r="E114" s="32">
        <v>289125000</v>
      </c>
      <c r="F114" s="32">
        <v>266446545</v>
      </c>
      <c r="I114" s="32">
        <v>266446545</v>
      </c>
      <c r="J114" s="32">
        <v>181556740</v>
      </c>
      <c r="K114" s="34">
        <v>206321545</v>
      </c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spans="1:28" ht="15.75" customHeight="1">
      <c r="A115" s="31" t="s">
        <v>107</v>
      </c>
      <c r="B115" s="31" t="s">
        <v>107</v>
      </c>
      <c r="C115" s="30" t="s">
        <v>198</v>
      </c>
      <c r="D115" s="32">
        <v>15883000000</v>
      </c>
      <c r="E115" s="32">
        <v>15810875000</v>
      </c>
      <c r="F115" s="32">
        <v>12020875000</v>
      </c>
      <c r="I115" s="32">
        <v>20875000</v>
      </c>
      <c r="J115" s="32">
        <v>8250000</v>
      </c>
      <c r="K115" s="34">
        <v>9616874439</v>
      </c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spans="1:28" ht="15.75" customHeight="1">
      <c r="A116" s="31" t="s">
        <v>345</v>
      </c>
      <c r="B116" s="42" t="s">
        <v>816</v>
      </c>
      <c r="C116" s="30" t="s">
        <v>198</v>
      </c>
      <c r="D116" s="32">
        <v>77500000</v>
      </c>
      <c r="E116" s="32">
        <v>67500000</v>
      </c>
      <c r="F116" s="32">
        <v>327500000</v>
      </c>
      <c r="I116" s="32">
        <v>27500000</v>
      </c>
      <c r="J116" s="32">
        <v>27500000</v>
      </c>
      <c r="K116" s="34">
        <v>27500000</v>
      </c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spans="1:28" ht="15.75" customHeight="1">
      <c r="A117" s="31" t="s">
        <v>252</v>
      </c>
      <c r="B117" s="31" t="s">
        <v>252</v>
      </c>
      <c r="C117" s="30" t="s">
        <v>198</v>
      </c>
      <c r="D117" s="32">
        <v>80971855000</v>
      </c>
      <c r="E117" s="32">
        <v>43339855000</v>
      </c>
      <c r="F117" s="32">
        <v>43118355000</v>
      </c>
      <c r="I117" s="32">
        <v>12307500000</v>
      </c>
      <c r="J117" s="32">
        <v>9052113502</v>
      </c>
      <c r="K117" s="34">
        <v>41056814842</v>
      </c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spans="1:28" ht="15.75" customHeight="1">
      <c r="A118" s="31" t="s">
        <v>820</v>
      </c>
      <c r="B118" s="31" t="s">
        <v>820</v>
      </c>
      <c r="C118" s="30" t="s">
        <v>198</v>
      </c>
      <c r="D118" s="32">
        <v>3617100000</v>
      </c>
      <c r="E118" s="32">
        <v>4440130000</v>
      </c>
      <c r="F118" s="32">
        <v>4370195607</v>
      </c>
      <c r="I118" s="32">
        <v>2920195607</v>
      </c>
      <c r="J118" s="32">
        <v>2056685267</v>
      </c>
      <c r="K118" s="34">
        <v>3570202819</v>
      </c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spans="1:28" ht="15.75" customHeight="1">
      <c r="A119" s="31" t="s">
        <v>1060</v>
      </c>
      <c r="B119" s="31" t="s">
        <v>1060</v>
      </c>
      <c r="C119" s="30" t="s">
        <v>198</v>
      </c>
      <c r="D119" s="32">
        <v>8105770000</v>
      </c>
      <c r="E119" s="32">
        <v>4700300000</v>
      </c>
      <c r="F119" s="32">
        <v>4914881212</v>
      </c>
      <c r="I119" s="32">
        <v>4709881212</v>
      </c>
      <c r="J119" s="32">
        <v>4383993872</v>
      </c>
      <c r="K119" s="34">
        <v>3980690422</v>
      </c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 spans="1:28" ht="15.75" customHeight="1">
      <c r="A120" s="31" t="s">
        <v>1061</v>
      </c>
      <c r="B120" s="31" t="s">
        <v>1061</v>
      </c>
      <c r="C120" s="30" t="s">
        <v>198</v>
      </c>
      <c r="D120" s="32">
        <v>27042327321</v>
      </c>
      <c r="E120" s="32">
        <v>41120323071</v>
      </c>
      <c r="F120" s="32">
        <v>35229872021</v>
      </c>
      <c r="I120" s="32">
        <v>32079330712</v>
      </c>
      <c r="J120" s="32">
        <v>26556609404</v>
      </c>
      <c r="K120" s="34">
        <v>29339459660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 spans="1:28" ht="15.75" customHeight="1">
      <c r="A121" s="31" t="s">
        <v>119</v>
      </c>
      <c r="B121" s="31" t="s">
        <v>119</v>
      </c>
      <c r="C121" s="30" t="s">
        <v>198</v>
      </c>
      <c r="D121" s="32">
        <v>422500000</v>
      </c>
      <c r="E121" s="32">
        <v>20822500000</v>
      </c>
      <c r="F121" s="32">
        <v>20822500000</v>
      </c>
      <c r="I121" s="32">
        <v>20822500000</v>
      </c>
      <c r="J121" s="32">
        <v>12752610962</v>
      </c>
      <c r="K121" s="34">
        <v>12802967838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 spans="1:28" ht="15.75" customHeight="1">
      <c r="A122" s="31" t="s">
        <v>1062</v>
      </c>
      <c r="B122" s="31" t="s">
        <v>1062</v>
      </c>
      <c r="C122" s="30" t="s">
        <v>198</v>
      </c>
      <c r="D122" s="32">
        <v>1486600000</v>
      </c>
      <c r="E122" s="32">
        <v>1265050000</v>
      </c>
      <c r="F122" s="32">
        <v>1265050000</v>
      </c>
      <c r="I122" s="32">
        <v>1265050000</v>
      </c>
      <c r="J122" s="32">
        <v>794411000</v>
      </c>
      <c r="K122" s="34">
        <v>794501200</v>
      </c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 spans="1:28" ht="15.75" customHeight="1">
      <c r="A123" s="31" t="s">
        <v>262</v>
      </c>
      <c r="B123" s="31" t="s">
        <v>262</v>
      </c>
      <c r="C123" s="30" t="s">
        <v>198</v>
      </c>
      <c r="D123" s="32">
        <v>3501550000</v>
      </c>
      <c r="E123" s="32">
        <v>1236466667</v>
      </c>
      <c r="F123" s="32">
        <v>1278976667</v>
      </c>
      <c r="I123" s="32">
        <v>1278976667</v>
      </c>
      <c r="J123" s="32">
        <v>1023371848</v>
      </c>
      <c r="K123" s="34">
        <v>1088722466</v>
      </c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 spans="1:28" ht="15.75" customHeight="1">
      <c r="A124" s="31" t="s">
        <v>1063</v>
      </c>
      <c r="B124" s="31" t="s">
        <v>1063</v>
      </c>
      <c r="C124" s="30" t="s">
        <v>198</v>
      </c>
      <c r="D124" s="32" t="s">
        <v>41</v>
      </c>
      <c r="E124" s="32">
        <v>46000000</v>
      </c>
      <c r="F124" s="32">
        <v>46000000</v>
      </c>
      <c r="I124" s="32">
        <v>46000000</v>
      </c>
      <c r="J124" s="32">
        <v>46000000</v>
      </c>
      <c r="K124" s="34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 spans="1:28" ht="15.75" customHeight="1">
      <c r="A125" s="31" t="s">
        <v>127</v>
      </c>
      <c r="B125" s="31" t="s">
        <v>127</v>
      </c>
      <c r="C125" s="30" t="s">
        <v>198</v>
      </c>
      <c r="D125" s="32"/>
      <c r="E125" s="32">
        <v>1355083333</v>
      </c>
      <c r="F125" s="32">
        <v>1238121044</v>
      </c>
      <c r="I125" s="32">
        <v>1238121044</v>
      </c>
      <c r="J125" s="32"/>
      <c r="K125" s="34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 spans="1:28" ht="15.75" customHeight="1">
      <c r="A126" s="31" t="s">
        <v>264</v>
      </c>
      <c r="B126" s="31" t="s">
        <v>264</v>
      </c>
      <c r="C126" s="30" t="s">
        <v>198</v>
      </c>
      <c r="D126" s="32">
        <v>572500000</v>
      </c>
      <c r="E126" s="32">
        <v>422500000</v>
      </c>
      <c r="F126" s="32">
        <v>422500000</v>
      </c>
      <c r="I126" s="32">
        <v>422500000</v>
      </c>
      <c r="J126" s="32">
        <v>220877537</v>
      </c>
      <c r="K126" s="34">
        <v>276349429</v>
      </c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 spans="1:28" ht="15.75" customHeight="1">
      <c r="A127" s="31" t="s">
        <v>512</v>
      </c>
      <c r="B127" s="31" t="s">
        <v>512</v>
      </c>
      <c r="C127" s="30" t="s">
        <v>198</v>
      </c>
      <c r="D127" s="32">
        <v>2870300000</v>
      </c>
      <c r="E127" s="32">
        <v>3501900000</v>
      </c>
      <c r="F127" s="32">
        <v>3049085203</v>
      </c>
      <c r="I127" s="32">
        <v>2555685203</v>
      </c>
      <c r="J127" s="32">
        <v>1445089295</v>
      </c>
      <c r="K127" s="34">
        <v>2138057178</v>
      </c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spans="1:28" ht="15.75" customHeight="1">
      <c r="A128" s="31" t="s">
        <v>133</v>
      </c>
      <c r="B128" s="31" t="s">
        <v>133</v>
      </c>
      <c r="C128" s="30" t="s">
        <v>198</v>
      </c>
      <c r="D128" s="32"/>
      <c r="E128" s="32">
        <v>131214400</v>
      </c>
      <c r="F128" s="32">
        <v>131084058</v>
      </c>
      <c r="I128" s="32">
        <v>131084058</v>
      </c>
      <c r="J128" s="32">
        <v>41312900</v>
      </c>
      <c r="K128" s="34">
        <v>122077694</v>
      </c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 spans="1:28" ht="15.75" customHeight="1">
      <c r="A129" s="31" t="s">
        <v>1064</v>
      </c>
      <c r="B129" s="42" t="s">
        <v>267</v>
      </c>
      <c r="C129" s="30" t="s">
        <v>198</v>
      </c>
      <c r="D129" s="32">
        <v>3302000000</v>
      </c>
      <c r="E129" s="32">
        <v>2500584500</v>
      </c>
      <c r="F129" s="32">
        <v>2500584500</v>
      </c>
      <c r="I129" s="32">
        <v>25584500</v>
      </c>
      <c r="J129" s="32">
        <v>25584500</v>
      </c>
      <c r="K129" s="34">
        <v>1989065886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 spans="1:28" ht="15.75" customHeight="1">
      <c r="A130" s="43" t="s">
        <v>137</v>
      </c>
      <c r="B130" s="43" t="s">
        <v>137</v>
      </c>
      <c r="C130" s="30" t="s">
        <v>198</v>
      </c>
      <c r="D130" s="44">
        <v>352210000</v>
      </c>
      <c r="E130" s="44">
        <v>34010000</v>
      </c>
      <c r="F130" s="44">
        <v>59010000</v>
      </c>
      <c r="I130" s="44">
        <v>34010000</v>
      </c>
      <c r="J130" s="44"/>
      <c r="K130" s="45">
        <v>12609866</v>
      </c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5.75" customHeight="1">
      <c r="A131" s="31" t="s">
        <v>139</v>
      </c>
      <c r="B131" s="31" t="s">
        <v>139</v>
      </c>
      <c r="C131" s="30" t="s">
        <v>198</v>
      </c>
      <c r="D131" s="32">
        <v>821810000</v>
      </c>
      <c r="E131" s="32">
        <v>243000000</v>
      </c>
      <c r="F131" s="32">
        <v>368560000</v>
      </c>
      <c r="I131" s="32">
        <v>186810000</v>
      </c>
      <c r="J131" s="32">
        <v>100586926</v>
      </c>
      <c r="K131" s="34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spans="1:28" ht="15.75" customHeight="1">
      <c r="A132" s="31" t="s">
        <v>275</v>
      </c>
      <c r="B132" s="31" t="s">
        <v>275</v>
      </c>
      <c r="C132" s="30" t="s">
        <v>198</v>
      </c>
      <c r="D132" s="32">
        <v>2776000000</v>
      </c>
      <c r="E132" s="32">
        <v>2776972322</v>
      </c>
      <c r="F132" s="32">
        <v>2753000000</v>
      </c>
      <c r="I132" s="32">
        <v>2433000000</v>
      </c>
      <c r="J132" s="32">
        <v>2234395419</v>
      </c>
      <c r="K132" s="34">
        <v>2236000000</v>
      </c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spans="1:28" ht="15.75" customHeight="1">
      <c r="A133" s="31" t="s">
        <v>143</v>
      </c>
      <c r="B133" s="31" t="s">
        <v>143</v>
      </c>
      <c r="C133" s="30" t="s">
        <v>198</v>
      </c>
      <c r="D133" s="32">
        <v>703040000</v>
      </c>
      <c r="E133" s="32">
        <v>302712150</v>
      </c>
      <c r="F133" s="32">
        <v>302712150</v>
      </c>
      <c r="I133" s="32">
        <v>202612150</v>
      </c>
      <c r="J133" s="32">
        <v>115025000</v>
      </c>
      <c r="K133" s="34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spans="1:28" ht="15.75" customHeight="1">
      <c r="A134" s="31" t="s">
        <v>273</v>
      </c>
      <c r="B134" s="42" t="s">
        <v>439</v>
      </c>
      <c r="C134" s="30" t="s">
        <v>198</v>
      </c>
      <c r="D134" s="32">
        <v>1932790000</v>
      </c>
      <c r="E134" s="32">
        <v>1409790000</v>
      </c>
      <c r="F134" s="32">
        <v>1163370119</v>
      </c>
      <c r="I134" s="32">
        <v>983370119</v>
      </c>
      <c r="J134" s="32">
        <v>117380119</v>
      </c>
      <c r="K134" s="34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spans="1:28" ht="15.75" customHeight="1">
      <c r="A135" s="31" t="s">
        <v>278</v>
      </c>
      <c r="B135" s="31" t="s">
        <v>278</v>
      </c>
      <c r="C135" s="30" t="s">
        <v>198</v>
      </c>
      <c r="D135" s="32">
        <v>1614824000</v>
      </c>
      <c r="E135" s="32">
        <v>3288125392</v>
      </c>
      <c r="F135" s="32">
        <v>3838125392</v>
      </c>
      <c r="I135" s="32">
        <v>3638125392</v>
      </c>
      <c r="J135" s="32">
        <v>3059658408</v>
      </c>
      <c r="K135" s="34">
        <v>3638123298</v>
      </c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spans="1:28" ht="15.75" customHeight="1">
      <c r="A136" s="31" t="s">
        <v>147</v>
      </c>
      <c r="B136" s="31" t="s">
        <v>1036</v>
      </c>
      <c r="C136" s="30" t="s">
        <v>198</v>
      </c>
      <c r="D136" s="32">
        <v>223500000</v>
      </c>
      <c r="E136" s="32">
        <v>160750000</v>
      </c>
      <c r="F136" s="32">
        <v>96550000</v>
      </c>
      <c r="I136" s="32">
        <v>96550000</v>
      </c>
      <c r="J136" s="32">
        <v>67750000</v>
      </c>
      <c r="K136" s="34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spans="1:28" ht="15.75" customHeight="1">
      <c r="A137" s="31" t="s">
        <v>148</v>
      </c>
      <c r="B137" s="31" t="s">
        <v>148</v>
      </c>
      <c r="C137" s="30" t="s">
        <v>198</v>
      </c>
      <c r="D137" s="32">
        <v>223500000</v>
      </c>
      <c r="E137" s="32">
        <v>1900000000</v>
      </c>
      <c r="F137" s="32">
        <v>1900000000</v>
      </c>
      <c r="I137" s="32">
        <v>1900000000</v>
      </c>
      <c r="J137" s="32">
        <v>1310000000</v>
      </c>
      <c r="K137" s="34">
        <v>1390644418</v>
      </c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spans="1:28" ht="15.75" customHeight="1">
      <c r="A138" s="31" t="s">
        <v>150</v>
      </c>
      <c r="B138" s="31" t="s">
        <v>1037</v>
      </c>
      <c r="C138" s="30" t="s">
        <v>198</v>
      </c>
      <c r="D138" s="32">
        <v>223500000</v>
      </c>
      <c r="E138" s="32">
        <v>83382916</v>
      </c>
      <c r="F138" s="32">
        <v>46565743</v>
      </c>
      <c r="I138" s="32">
        <v>46565743</v>
      </c>
      <c r="J138" s="32">
        <v>46565700</v>
      </c>
      <c r="K138" s="34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 spans="1:28" ht="15.75" customHeight="1">
      <c r="A139" s="31" t="s">
        <v>154</v>
      </c>
      <c r="B139" s="31" t="s">
        <v>1038</v>
      </c>
      <c r="C139" s="30" t="s">
        <v>198</v>
      </c>
      <c r="D139" s="32">
        <v>223500000</v>
      </c>
      <c r="E139" s="32">
        <v>45000000</v>
      </c>
      <c r="F139" s="32">
        <v>12135429</v>
      </c>
      <c r="I139" s="32">
        <v>12135429</v>
      </c>
      <c r="J139" s="32"/>
      <c r="K139" s="34">
        <v>7135429</v>
      </c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spans="1:28" ht="15.75" customHeight="1">
      <c r="A140" s="31" t="s">
        <v>162</v>
      </c>
      <c r="B140" s="31" t="s">
        <v>162</v>
      </c>
      <c r="C140" s="30" t="s">
        <v>198</v>
      </c>
      <c r="D140" s="32"/>
      <c r="E140" s="32">
        <v>289500000</v>
      </c>
      <c r="F140" s="32">
        <v>617439205</v>
      </c>
      <c r="I140" s="32">
        <v>617439205</v>
      </c>
      <c r="J140" s="32">
        <v>379092938</v>
      </c>
      <c r="K140" s="34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 spans="1:28" ht="15.75" customHeight="1">
      <c r="A141" s="31" t="s">
        <v>166</v>
      </c>
      <c r="B141" s="31" t="s">
        <v>1041</v>
      </c>
      <c r="C141" s="30" t="s">
        <v>198</v>
      </c>
      <c r="D141" s="32">
        <v>90300000</v>
      </c>
      <c r="E141" s="32"/>
      <c r="F141" s="32"/>
      <c r="I141" s="32"/>
      <c r="J141" s="33"/>
      <c r="K141" s="34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spans="1:28" ht="15.75" customHeight="1">
      <c r="A142" s="31" t="s">
        <v>173</v>
      </c>
      <c r="B142" s="31" t="s">
        <v>1043</v>
      </c>
      <c r="C142" s="30" t="s">
        <v>198</v>
      </c>
      <c r="D142" s="32">
        <v>2065000000</v>
      </c>
      <c r="E142" s="32">
        <v>2465000000</v>
      </c>
      <c r="F142" s="32">
        <v>2465000000</v>
      </c>
      <c r="I142" s="32">
        <v>2465000000</v>
      </c>
      <c r="J142" s="32">
        <v>2115354080</v>
      </c>
      <c r="K142" s="34">
        <v>2112006451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spans="1:28" ht="15.75" customHeight="1">
      <c r="A143" s="31" t="s">
        <v>181</v>
      </c>
      <c r="B143" s="31" t="s">
        <v>1044</v>
      </c>
      <c r="C143" s="30" t="s">
        <v>198</v>
      </c>
      <c r="D143" s="32">
        <v>26300000</v>
      </c>
      <c r="E143" s="32">
        <v>26300000</v>
      </c>
      <c r="F143" s="32">
        <v>26300000</v>
      </c>
      <c r="I143" s="32">
        <v>26300000</v>
      </c>
      <c r="J143" s="33"/>
      <c r="K143" s="34">
        <v>19979094</v>
      </c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spans="1:28" ht="15.75" customHeight="1">
      <c r="A144" s="31" t="s">
        <v>185</v>
      </c>
      <c r="B144" s="31" t="s">
        <v>1045</v>
      </c>
      <c r="C144" s="30" t="s">
        <v>198</v>
      </c>
      <c r="D144" s="32">
        <v>656000000</v>
      </c>
      <c r="E144" s="32">
        <v>656000000</v>
      </c>
      <c r="F144" s="32">
        <v>1076000000</v>
      </c>
      <c r="I144" s="32">
        <v>1046000000</v>
      </c>
      <c r="J144" s="32">
        <v>914350820</v>
      </c>
      <c r="K144" s="36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spans="1:28" ht="15.75" customHeight="1">
      <c r="A145" s="31" t="s">
        <v>188</v>
      </c>
      <c r="B145" s="31" t="s">
        <v>188</v>
      </c>
      <c r="C145" s="30" t="s">
        <v>198</v>
      </c>
      <c r="D145" s="32">
        <v>389710000</v>
      </c>
      <c r="E145" s="32">
        <v>389710000</v>
      </c>
      <c r="F145" s="32">
        <v>28710000</v>
      </c>
      <c r="I145" s="32">
        <v>19610000</v>
      </c>
      <c r="J145" s="33"/>
      <c r="K145" s="34">
        <v>10506720</v>
      </c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spans="1:28" ht="15.75" customHeight="1">
      <c r="A146" s="31" t="s">
        <v>305</v>
      </c>
      <c r="B146" s="31" t="s">
        <v>1047</v>
      </c>
      <c r="C146" s="30" t="s">
        <v>198</v>
      </c>
      <c r="D146" s="32">
        <v>10131000</v>
      </c>
      <c r="E146" s="32">
        <v>10131000</v>
      </c>
      <c r="F146" s="32">
        <v>10131000</v>
      </c>
      <c r="I146" s="32">
        <v>10131000</v>
      </c>
      <c r="J146" s="33"/>
      <c r="K146" s="36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spans="1:28" ht="15.75" customHeight="1">
      <c r="A147" s="30" t="s">
        <v>196</v>
      </c>
      <c r="B147" s="30" t="s">
        <v>196</v>
      </c>
      <c r="C147" s="30" t="s">
        <v>198</v>
      </c>
      <c r="D147" s="38">
        <v>715354784939</v>
      </c>
      <c r="E147" s="38">
        <v>618164247168</v>
      </c>
      <c r="F147" s="38">
        <v>584292386343</v>
      </c>
      <c r="I147" s="38">
        <v>373998242001</v>
      </c>
      <c r="J147" s="38">
        <v>308032344878</v>
      </c>
      <c r="K147" s="39">
        <v>473549441205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spans="1:28" ht="15.75" customHeight="1">
      <c r="A148" s="35"/>
      <c r="B148" s="35"/>
      <c r="C148" s="35"/>
      <c r="D148" s="40"/>
      <c r="E148" s="40"/>
      <c r="F148" s="40"/>
      <c r="G148" s="40"/>
      <c r="H148" s="40"/>
      <c r="J148" s="35"/>
      <c r="K148" s="40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 spans="1:28" ht="15.75" customHeight="1">
      <c r="A149" s="30" t="s">
        <v>307</v>
      </c>
      <c r="B149" s="30"/>
      <c r="C149" s="30"/>
      <c r="D149" s="40"/>
      <c r="E149" s="40"/>
      <c r="F149" s="40"/>
      <c r="G149" s="40"/>
      <c r="H149" s="40"/>
      <c r="I149" s="40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spans="1:28" ht="15.75" customHeight="1">
      <c r="B150" s="47" t="s">
        <v>1065</v>
      </c>
      <c r="C150" s="47"/>
      <c r="D150" s="47" t="s">
        <v>1066</v>
      </c>
      <c r="E150" s="47" t="s">
        <v>1067</v>
      </c>
      <c r="F150" s="47" t="s">
        <v>1068</v>
      </c>
      <c r="G150" s="47" t="s">
        <v>1069</v>
      </c>
      <c r="H150" s="47" t="s">
        <v>1070</v>
      </c>
      <c r="I150" s="47" t="s">
        <v>1071</v>
      </c>
      <c r="J150" s="41" t="s">
        <v>1072</v>
      </c>
      <c r="K150" s="41" t="s">
        <v>35</v>
      </c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ht="15.75" customHeight="1">
      <c r="B151" s="31" t="s">
        <v>976</v>
      </c>
      <c r="C151" s="30" t="s">
        <v>307</v>
      </c>
      <c r="D151" s="32">
        <v>9327249383</v>
      </c>
      <c r="E151" s="32">
        <v>10739849383</v>
      </c>
      <c r="F151" s="32">
        <v>11668739940</v>
      </c>
      <c r="G151" s="32">
        <v>2815099383</v>
      </c>
      <c r="H151" s="32">
        <v>4227699383</v>
      </c>
      <c r="I151" s="32">
        <v>3636669360</v>
      </c>
      <c r="J151" s="32">
        <v>2831509270</v>
      </c>
      <c r="K151" s="34">
        <v>9253769908</v>
      </c>
      <c r="L151" s="48" t="s">
        <v>1073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 spans="1:28" ht="15.75" customHeight="1">
      <c r="B152" s="42" t="s">
        <v>309</v>
      </c>
      <c r="C152" s="30" t="s">
        <v>307</v>
      </c>
      <c r="D152" s="32">
        <v>7233055015</v>
      </c>
      <c r="E152" s="32">
        <v>8304056145</v>
      </c>
      <c r="F152" s="32">
        <v>8504056145</v>
      </c>
      <c r="G152" s="32">
        <v>7171244676</v>
      </c>
      <c r="H152" s="32">
        <v>7274772901</v>
      </c>
      <c r="I152" s="32">
        <v>7274772901</v>
      </c>
      <c r="J152" s="32">
        <v>6340661977</v>
      </c>
      <c r="K152" s="34">
        <v>8154077650</v>
      </c>
      <c r="L152" s="48" t="s">
        <v>1074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spans="1:28" ht="15.75" customHeight="1">
      <c r="B153" s="42" t="s">
        <v>54</v>
      </c>
      <c r="C153" s="30" t="s">
        <v>307</v>
      </c>
      <c r="D153" s="32">
        <v>909068467</v>
      </c>
      <c r="E153" s="32">
        <v>630073688</v>
      </c>
      <c r="F153" s="32">
        <v>630073688</v>
      </c>
      <c r="G153" s="32">
        <v>839068467</v>
      </c>
      <c r="H153" s="32">
        <v>360073688</v>
      </c>
      <c r="I153" s="32">
        <v>360073688</v>
      </c>
      <c r="J153" s="32">
        <v>323065829</v>
      </c>
      <c r="K153" s="34">
        <v>589154611</v>
      </c>
      <c r="L153" s="48" t="s">
        <v>1075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 spans="1:28" ht="15.75" customHeight="1">
      <c r="B154" s="42" t="s">
        <v>207</v>
      </c>
      <c r="C154" s="30" t="s">
        <v>307</v>
      </c>
      <c r="D154" s="32">
        <v>1489688414</v>
      </c>
      <c r="E154" s="32">
        <v>1238623061</v>
      </c>
      <c r="F154" s="32">
        <v>1238623061</v>
      </c>
      <c r="G154" s="32">
        <v>1258957480</v>
      </c>
      <c r="H154" s="32">
        <v>1238623061</v>
      </c>
      <c r="I154" s="32">
        <v>1238623061</v>
      </c>
      <c r="J154" s="32">
        <v>1080000000</v>
      </c>
      <c r="K154" s="34">
        <v>1114294730</v>
      </c>
      <c r="L154" s="48" t="s">
        <v>1076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spans="1:28" ht="15.75" customHeight="1">
      <c r="B155" s="42" t="s">
        <v>313</v>
      </c>
      <c r="C155" s="30" t="s">
        <v>307</v>
      </c>
      <c r="D155" s="32">
        <v>9080065116</v>
      </c>
      <c r="E155" s="32">
        <v>10112432837</v>
      </c>
      <c r="F155" s="32">
        <v>9880432837</v>
      </c>
      <c r="G155" s="32">
        <v>8958065116</v>
      </c>
      <c r="H155" s="32">
        <v>10102432837</v>
      </c>
      <c r="I155" s="32">
        <v>9870432837</v>
      </c>
      <c r="J155" s="32">
        <v>9094560689</v>
      </c>
      <c r="K155" s="34">
        <v>6154967526</v>
      </c>
      <c r="L155" s="48" t="s">
        <v>1077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spans="1:28" ht="15.75" customHeight="1">
      <c r="B156" s="31" t="s">
        <v>987</v>
      </c>
      <c r="C156" s="30" t="s">
        <v>307</v>
      </c>
      <c r="D156" s="32">
        <v>5080000000</v>
      </c>
      <c r="E156" s="32">
        <v>6149565910</v>
      </c>
      <c r="F156" s="32">
        <v>6149565910</v>
      </c>
      <c r="G156" s="32">
        <v>5080000000</v>
      </c>
      <c r="H156" s="32">
        <v>6080000000</v>
      </c>
      <c r="I156" s="32">
        <v>6080000000</v>
      </c>
      <c r="J156" s="32">
        <v>6080000000</v>
      </c>
      <c r="K156" s="34">
        <v>6080000000</v>
      </c>
      <c r="L156" s="48" t="s">
        <v>1078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spans="1:28" ht="15.75" customHeight="1">
      <c r="B157" s="42" t="s">
        <v>639</v>
      </c>
      <c r="C157" s="30" t="s">
        <v>307</v>
      </c>
      <c r="D157" s="32">
        <v>1796122798</v>
      </c>
      <c r="E157" s="32">
        <v>1296122798</v>
      </c>
      <c r="F157" s="32">
        <v>1296122798</v>
      </c>
      <c r="G157" s="32">
        <v>1796122798</v>
      </c>
      <c r="H157" s="32">
        <v>1296122798</v>
      </c>
      <c r="I157" s="32">
        <v>1296122798</v>
      </c>
      <c r="J157" s="32">
        <v>1251443827</v>
      </c>
      <c r="K157" s="34">
        <v>1264329765</v>
      </c>
      <c r="L157" s="48" t="s">
        <v>1079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spans="1:28" ht="15.75" customHeight="1">
      <c r="B158" s="42" t="s">
        <v>72</v>
      </c>
      <c r="C158" s="30" t="s">
        <v>307</v>
      </c>
      <c r="D158" s="32">
        <v>4648436000</v>
      </c>
      <c r="E158" s="32">
        <v>4008457335</v>
      </c>
      <c r="F158" s="32">
        <v>4008457335</v>
      </c>
      <c r="G158" s="32">
        <v>2248436000</v>
      </c>
      <c r="H158" s="32">
        <v>1908457335</v>
      </c>
      <c r="I158" s="32">
        <v>1908457335</v>
      </c>
      <c r="J158" s="32">
        <v>1198436000</v>
      </c>
      <c r="K158" s="34">
        <v>2161272558</v>
      </c>
      <c r="L158" s="48" t="s">
        <v>1080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spans="1:28" ht="15.75" customHeight="1">
      <c r="B159" s="31" t="s">
        <v>217</v>
      </c>
      <c r="C159" s="30" t="s">
        <v>307</v>
      </c>
      <c r="D159" s="32">
        <v>4355600000</v>
      </c>
      <c r="E159" s="32">
        <v>4320001400</v>
      </c>
      <c r="F159" s="32">
        <v>4352600000</v>
      </c>
      <c r="G159" s="32">
        <v>3605600000</v>
      </c>
      <c r="H159" s="32">
        <v>3525001400</v>
      </c>
      <c r="I159" s="32">
        <v>3557600000</v>
      </c>
      <c r="J159" s="32">
        <v>3519489844</v>
      </c>
      <c r="K159" s="34">
        <v>3656279386</v>
      </c>
      <c r="L159" s="48" t="s">
        <v>1081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spans="1:28" ht="15.75" customHeight="1">
      <c r="B160" s="42" t="s">
        <v>219</v>
      </c>
      <c r="C160" s="30" t="s">
        <v>307</v>
      </c>
      <c r="D160" s="32">
        <v>11726600000</v>
      </c>
      <c r="E160" s="32">
        <v>12642922991</v>
      </c>
      <c r="F160" s="32">
        <v>14099945379</v>
      </c>
      <c r="G160" s="32">
        <v>11426600000</v>
      </c>
      <c r="H160" s="32">
        <v>12441322991</v>
      </c>
      <c r="I160" s="32">
        <v>13866322991</v>
      </c>
      <c r="J160" s="32">
        <v>7334163293</v>
      </c>
      <c r="K160" s="34">
        <v>7232764008</v>
      </c>
      <c r="L160" s="48" t="s">
        <v>1082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 spans="2:28" ht="15.75" customHeight="1">
      <c r="B161" s="31" t="s">
        <v>995</v>
      </c>
      <c r="C161" s="30" t="s">
        <v>307</v>
      </c>
      <c r="D161" s="32">
        <v>100335945886</v>
      </c>
      <c r="E161" s="32">
        <v>108621128015</v>
      </c>
      <c r="F161" s="32">
        <v>111007958921</v>
      </c>
      <c r="G161" s="32">
        <v>46547971738</v>
      </c>
      <c r="H161" s="32">
        <v>67291914074</v>
      </c>
      <c r="I161" s="32">
        <v>63106920457</v>
      </c>
      <c r="J161" s="32">
        <v>35614404679</v>
      </c>
      <c r="K161" s="34">
        <v>94883902073</v>
      </c>
      <c r="L161" s="48" t="s">
        <v>1083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 spans="2:28" ht="15.75" customHeight="1">
      <c r="B162" s="42" t="s">
        <v>226</v>
      </c>
      <c r="C162" s="30" t="s">
        <v>307</v>
      </c>
      <c r="D162" s="32">
        <v>42387156216</v>
      </c>
      <c r="E162" s="32">
        <v>47651703319</v>
      </c>
      <c r="F162" s="32">
        <v>47651703319</v>
      </c>
      <c r="G162" s="32">
        <v>42345060816</v>
      </c>
      <c r="H162" s="32">
        <v>47540872385</v>
      </c>
      <c r="I162" s="32">
        <v>47550872385</v>
      </c>
      <c r="J162" s="32">
        <v>44573749181</v>
      </c>
      <c r="K162" s="34">
        <v>47482725331</v>
      </c>
      <c r="L162" s="48" t="s">
        <v>1084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spans="2:28" ht="15.75" customHeight="1">
      <c r="B163" s="42" t="s">
        <v>228</v>
      </c>
      <c r="C163" s="30" t="s">
        <v>307</v>
      </c>
      <c r="D163" s="32">
        <v>56219522127</v>
      </c>
      <c r="E163" s="32">
        <v>68458673775</v>
      </c>
      <c r="F163" s="32">
        <v>63808568046</v>
      </c>
      <c r="G163" s="32">
        <v>44686974511</v>
      </c>
      <c r="H163" s="32">
        <v>48259732077</v>
      </c>
      <c r="I163" s="32">
        <v>48369737685</v>
      </c>
      <c r="J163" s="32">
        <v>36425466253</v>
      </c>
      <c r="K163" s="34">
        <v>48438136022</v>
      </c>
      <c r="L163" s="48" t="s">
        <v>1085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 spans="2:28" ht="15.75" customHeight="1">
      <c r="B164" s="42" t="s">
        <v>232</v>
      </c>
      <c r="C164" s="30" t="s">
        <v>307</v>
      </c>
      <c r="D164" s="32">
        <v>138033707987</v>
      </c>
      <c r="E164" s="32">
        <v>129381694327</v>
      </c>
      <c r="F164" s="32">
        <v>156533694327</v>
      </c>
      <c r="G164" s="32">
        <v>59905890000</v>
      </c>
      <c r="H164" s="32">
        <v>63043890000</v>
      </c>
      <c r="I164" s="32">
        <v>79474890000</v>
      </c>
      <c r="J164" s="32">
        <v>75138003833</v>
      </c>
      <c r="K164" s="34">
        <v>130595407836</v>
      </c>
      <c r="L164" s="48" t="s">
        <v>1086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spans="2:28" ht="15.75" customHeight="1">
      <c r="B165" s="31" t="s">
        <v>327</v>
      </c>
      <c r="C165" s="30" t="s">
        <v>307</v>
      </c>
      <c r="D165" s="32">
        <v>1346300000</v>
      </c>
      <c r="E165" s="32">
        <v>984800000</v>
      </c>
      <c r="F165" s="32">
        <v>984800000</v>
      </c>
      <c r="G165" s="32">
        <v>1196300000</v>
      </c>
      <c r="H165" s="32">
        <v>984800000</v>
      </c>
      <c r="I165" s="32">
        <v>984800000</v>
      </c>
      <c r="J165" s="32">
        <v>408496204</v>
      </c>
      <c r="K165" s="34">
        <v>420239780</v>
      </c>
      <c r="L165" s="48" t="s">
        <v>1087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spans="2:28" ht="15.75" customHeight="1">
      <c r="B166" s="42" t="s">
        <v>329</v>
      </c>
      <c r="C166" s="30" t="s">
        <v>307</v>
      </c>
      <c r="D166" s="32">
        <v>750200000</v>
      </c>
      <c r="E166" s="32">
        <v>660200000</v>
      </c>
      <c r="F166" s="32">
        <v>580200000</v>
      </c>
      <c r="G166" s="32">
        <v>90200000</v>
      </c>
      <c r="H166" s="32">
        <v>10200000</v>
      </c>
      <c r="I166" s="32">
        <v>10200000</v>
      </c>
      <c r="J166" s="32">
        <v>10200000</v>
      </c>
      <c r="K166" s="34">
        <v>157533213</v>
      </c>
      <c r="L166" s="48" t="s">
        <v>1088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 spans="2:28" ht="15.75" customHeight="1">
      <c r="B167" s="42" t="s">
        <v>411</v>
      </c>
      <c r="C167" s="30" t="s">
        <v>307</v>
      </c>
      <c r="D167" s="32">
        <v>14054600000</v>
      </c>
      <c r="E167" s="32">
        <v>16674940000</v>
      </c>
      <c r="F167" s="32">
        <v>14124940000</v>
      </c>
      <c r="G167" s="32">
        <v>12999600000</v>
      </c>
      <c r="H167" s="32">
        <v>15619940000</v>
      </c>
      <c r="I167" s="32">
        <v>13069940000</v>
      </c>
      <c r="J167" s="32">
        <v>8805185917</v>
      </c>
      <c r="K167" s="34">
        <v>13163924081</v>
      </c>
      <c r="L167" s="48" t="s">
        <v>1089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 spans="2:28" ht="15.75" customHeight="1">
      <c r="B168" s="42" t="s">
        <v>93</v>
      </c>
      <c r="C168" s="30" t="s">
        <v>307</v>
      </c>
      <c r="D168" s="32">
        <v>1127800000</v>
      </c>
      <c r="E168" s="32">
        <v>1027800000</v>
      </c>
      <c r="F168" s="32">
        <v>1027800000</v>
      </c>
      <c r="G168" s="32">
        <v>959800000</v>
      </c>
      <c r="H168" s="32">
        <v>859800000</v>
      </c>
      <c r="I168" s="32">
        <v>859800000</v>
      </c>
      <c r="J168" s="32">
        <v>822514810</v>
      </c>
      <c r="K168" s="34">
        <v>754766459</v>
      </c>
      <c r="L168" s="48" t="s">
        <v>1090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spans="2:28" ht="15.75" customHeight="1">
      <c r="B169" s="31" t="s">
        <v>336</v>
      </c>
      <c r="C169" s="30" t="s">
        <v>307</v>
      </c>
      <c r="D169" s="32">
        <v>4245400000</v>
      </c>
      <c r="E169" s="32">
        <v>4156529424</v>
      </c>
      <c r="F169" s="32">
        <v>4081529424</v>
      </c>
      <c r="G169" s="32">
        <v>3368900000</v>
      </c>
      <c r="H169" s="32">
        <v>3301029424</v>
      </c>
      <c r="I169" s="32">
        <v>3501029424</v>
      </c>
      <c r="J169" s="32">
        <v>2557532055</v>
      </c>
      <c r="K169" s="34">
        <v>2677519215</v>
      </c>
      <c r="L169" s="48" t="s">
        <v>1091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spans="2:28" ht="15.75" customHeight="1">
      <c r="B170" s="42" t="s">
        <v>1092</v>
      </c>
      <c r="C170" s="30" t="s">
        <v>307</v>
      </c>
      <c r="D170" s="32">
        <v>71218500000</v>
      </c>
      <c r="E170" s="32">
        <v>75332730862</v>
      </c>
      <c r="F170" s="32">
        <v>71577230862</v>
      </c>
      <c r="G170" s="32">
        <v>33705500000</v>
      </c>
      <c r="H170" s="32">
        <v>35573000000</v>
      </c>
      <c r="I170" s="32">
        <v>33267500000</v>
      </c>
      <c r="J170" s="32">
        <v>28654052273</v>
      </c>
      <c r="K170" s="34">
        <v>58120028485</v>
      </c>
      <c r="L170" s="48" t="s">
        <v>1093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spans="2:28" ht="15.75" customHeight="1">
      <c r="B171" s="42" t="s">
        <v>244</v>
      </c>
      <c r="C171" s="30" t="s">
        <v>307</v>
      </c>
      <c r="D171" s="32">
        <v>2431148393</v>
      </c>
      <c r="E171" s="32">
        <v>2052980587</v>
      </c>
      <c r="F171" s="32">
        <v>2290980587</v>
      </c>
      <c r="G171" s="32">
        <v>2431148393</v>
      </c>
      <c r="H171" s="32">
        <v>2052980587</v>
      </c>
      <c r="I171" s="32">
        <v>2290980587</v>
      </c>
      <c r="J171" s="32">
        <v>2040068172</v>
      </c>
      <c r="K171" s="34">
        <v>2223763872</v>
      </c>
      <c r="L171" s="48" t="s">
        <v>1094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spans="2:28" ht="15.75" customHeight="1">
      <c r="B172" s="42" t="s">
        <v>1095</v>
      </c>
      <c r="C172" s="30" t="s">
        <v>307</v>
      </c>
      <c r="D172" s="32">
        <v>21203977790</v>
      </c>
      <c r="E172" s="32">
        <v>19873975522</v>
      </c>
      <c r="F172" s="32">
        <v>18373975522</v>
      </c>
      <c r="G172" s="32">
        <v>4707662268</v>
      </c>
      <c r="H172" s="32">
        <v>3577660000</v>
      </c>
      <c r="I172" s="32">
        <v>3577660000</v>
      </c>
      <c r="J172" s="32">
        <v>2122034482</v>
      </c>
      <c r="K172" s="34">
        <v>16321741997</v>
      </c>
      <c r="L172" s="48" t="s">
        <v>1096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spans="2:28" ht="15.75" customHeight="1">
      <c r="B173" s="42" t="s">
        <v>419</v>
      </c>
      <c r="C173" s="30" t="s">
        <v>307</v>
      </c>
      <c r="D173" s="32">
        <v>496900000</v>
      </c>
      <c r="E173" s="32">
        <v>396900000</v>
      </c>
      <c r="F173" s="32">
        <v>396900000</v>
      </c>
      <c r="G173" s="32">
        <v>496900000</v>
      </c>
      <c r="H173" s="32">
        <v>396900000</v>
      </c>
      <c r="I173" s="32">
        <v>396900000</v>
      </c>
      <c r="J173" s="32">
        <v>377086919</v>
      </c>
      <c r="K173" s="34">
        <v>396503124</v>
      </c>
      <c r="L173" s="48" t="s">
        <v>1097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spans="2:28" ht="15.75" customHeight="1">
      <c r="B174" s="42" t="s">
        <v>105</v>
      </c>
      <c r="C174" s="30" t="s">
        <v>307</v>
      </c>
      <c r="D174" s="32">
        <v>15147791399</v>
      </c>
      <c r="E174" s="32">
        <v>15167791399</v>
      </c>
      <c r="F174" s="32">
        <v>15167791399</v>
      </c>
      <c r="G174" s="32">
        <v>147791399</v>
      </c>
      <c r="H174" s="32">
        <v>167791399</v>
      </c>
      <c r="I174" s="32">
        <v>167791399</v>
      </c>
      <c r="J174" s="32">
        <v>164550000</v>
      </c>
      <c r="K174" s="34">
        <v>13152832161</v>
      </c>
      <c r="L174" s="48" t="s">
        <v>1098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spans="2:28" ht="15.75" customHeight="1">
      <c r="B175" s="31" t="s">
        <v>107</v>
      </c>
      <c r="C175" s="30" t="s">
        <v>307</v>
      </c>
      <c r="D175" s="32">
        <v>55896560</v>
      </c>
      <c r="E175" s="32">
        <v>65896560</v>
      </c>
      <c r="F175" s="32">
        <v>65896560</v>
      </c>
      <c r="G175" s="32">
        <v>55896560</v>
      </c>
      <c r="H175" s="32">
        <v>65896560</v>
      </c>
      <c r="I175" s="32">
        <v>65896560</v>
      </c>
      <c r="J175" s="32">
        <v>65896560</v>
      </c>
      <c r="K175" s="34">
        <v>65122834</v>
      </c>
      <c r="L175" s="48" t="s">
        <v>1099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 spans="2:28" ht="15.75" customHeight="1">
      <c r="B176" s="42" t="s">
        <v>816</v>
      </c>
      <c r="C176" s="30" t="s">
        <v>307</v>
      </c>
      <c r="D176" s="32">
        <v>67248000000</v>
      </c>
      <c r="E176" s="32">
        <v>57547541425</v>
      </c>
      <c r="F176" s="32">
        <v>49200541425</v>
      </c>
      <c r="G176" s="32">
        <v>22390000000</v>
      </c>
      <c r="H176" s="32">
        <v>16181000000</v>
      </c>
      <c r="I176" s="32">
        <v>15650000000</v>
      </c>
      <c r="J176" s="32">
        <v>12258276562</v>
      </c>
      <c r="K176" s="34">
        <v>25189058647</v>
      </c>
      <c r="L176" s="48" t="s">
        <v>1100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spans="2:28" ht="15.75" customHeight="1">
      <c r="B177" s="42" t="s">
        <v>252</v>
      </c>
      <c r="C177" s="30" t="s">
        <v>307</v>
      </c>
      <c r="D177" s="32">
        <v>5651076726</v>
      </c>
      <c r="E177" s="32">
        <v>2921151526</v>
      </c>
      <c r="F177" s="32">
        <v>2861051526</v>
      </c>
      <c r="G177" s="32">
        <v>5418467816</v>
      </c>
      <c r="H177" s="32">
        <v>2791151526</v>
      </c>
      <c r="I177" s="32">
        <v>2731051526</v>
      </c>
      <c r="J177" s="32">
        <v>1986234288</v>
      </c>
      <c r="K177" s="34">
        <v>2501885008</v>
      </c>
      <c r="L177" s="48" t="s">
        <v>1101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spans="2:28" ht="15.75" customHeight="1">
      <c r="B178" s="42" t="s">
        <v>1102</v>
      </c>
      <c r="C178" s="30" t="s">
        <v>307</v>
      </c>
      <c r="D178" s="32">
        <v>10736200000</v>
      </c>
      <c r="E178" s="32">
        <v>5685200000</v>
      </c>
      <c r="F178" s="32">
        <v>5993200000</v>
      </c>
      <c r="G178" s="32">
        <v>10646200000</v>
      </c>
      <c r="H178" s="32">
        <v>4595200000</v>
      </c>
      <c r="I178" s="32">
        <v>4903200000</v>
      </c>
      <c r="J178" s="32">
        <v>3660531926</v>
      </c>
      <c r="K178" s="34">
        <v>3384740166</v>
      </c>
      <c r="L178" s="48" t="s">
        <v>1103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 spans="2:28" ht="15.75" customHeight="1">
      <c r="B179" s="31" t="s">
        <v>1061</v>
      </c>
      <c r="C179" s="30" t="s">
        <v>307</v>
      </c>
      <c r="D179" s="32">
        <v>31496699987</v>
      </c>
      <c r="E179" s="32">
        <v>36929896105</v>
      </c>
      <c r="F179" s="32">
        <v>31714952305</v>
      </c>
      <c r="G179" s="32">
        <v>27720244532</v>
      </c>
      <c r="H179" s="32">
        <v>34014896105</v>
      </c>
      <c r="I179" s="32">
        <v>29462952305</v>
      </c>
      <c r="J179" s="32">
        <v>26005253945</v>
      </c>
      <c r="K179" s="34">
        <v>23877088612</v>
      </c>
      <c r="L179" s="48" t="s">
        <v>1104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 spans="2:28" ht="15.75" customHeight="1">
      <c r="B180" s="42" t="s">
        <v>119</v>
      </c>
      <c r="C180" s="30" t="s">
        <v>307</v>
      </c>
      <c r="D180" s="32">
        <v>524600000</v>
      </c>
      <c r="E180" s="32">
        <v>374600000</v>
      </c>
      <c r="F180" s="32">
        <v>432710151</v>
      </c>
      <c r="G180" s="32">
        <v>524600000</v>
      </c>
      <c r="H180" s="32">
        <v>374600000</v>
      </c>
      <c r="I180" s="33" t="s">
        <v>1105</v>
      </c>
      <c r="J180" s="32">
        <v>428957855</v>
      </c>
      <c r="K180" s="34">
        <v>431570831</v>
      </c>
      <c r="L180" s="48" t="s">
        <v>1106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spans="2:28" ht="15.75" customHeight="1">
      <c r="B181" s="42" t="s">
        <v>121</v>
      </c>
      <c r="C181" s="30" t="s">
        <v>307</v>
      </c>
      <c r="D181" s="33" t="s">
        <v>1107</v>
      </c>
      <c r="E181" s="32">
        <v>2501917429</v>
      </c>
      <c r="F181" s="32">
        <v>2386917429</v>
      </c>
      <c r="G181" s="32">
        <v>1239017429</v>
      </c>
      <c r="H181" s="32">
        <v>2501917429</v>
      </c>
      <c r="I181" s="32">
        <v>2386917429</v>
      </c>
      <c r="J181" s="32">
        <v>2385950314</v>
      </c>
      <c r="K181" s="34">
        <v>2386194600</v>
      </c>
      <c r="L181" s="48" t="s">
        <v>1108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 spans="2:28" ht="15.75" customHeight="1">
      <c r="B182" s="42" t="s">
        <v>262</v>
      </c>
      <c r="C182" s="30" t="s">
        <v>307</v>
      </c>
      <c r="D182" s="32">
        <v>3272900000</v>
      </c>
      <c r="E182" s="32">
        <v>2812900000</v>
      </c>
      <c r="F182" s="32">
        <v>2987900000</v>
      </c>
      <c r="G182" s="32">
        <v>3272900000</v>
      </c>
      <c r="H182" s="32">
        <v>2612900000</v>
      </c>
      <c r="I182" s="32">
        <v>2787900000</v>
      </c>
      <c r="J182" s="32">
        <v>1913136491</v>
      </c>
      <c r="K182" s="34">
        <v>1949838894</v>
      </c>
      <c r="L182" s="48" t="s">
        <v>1109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 spans="2:28" ht="15.75" customHeight="1">
      <c r="B183" s="42" t="s">
        <v>264</v>
      </c>
      <c r="C183" s="30" t="s">
        <v>307</v>
      </c>
      <c r="D183" s="32">
        <v>2560718482</v>
      </c>
      <c r="E183" s="32">
        <v>929955213</v>
      </c>
      <c r="F183" s="32">
        <v>866620213</v>
      </c>
      <c r="G183" s="32">
        <v>2560718482</v>
      </c>
      <c r="H183" s="32">
        <v>929955213</v>
      </c>
      <c r="I183" s="32">
        <v>866620213</v>
      </c>
      <c r="J183" s="32">
        <v>434778669</v>
      </c>
      <c r="K183" s="34">
        <v>494972975</v>
      </c>
      <c r="L183" s="48" t="s">
        <v>1110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 spans="2:28" ht="15.75" customHeight="1">
      <c r="B184" s="42" t="s">
        <v>1111</v>
      </c>
      <c r="C184" s="30" t="s">
        <v>307</v>
      </c>
      <c r="D184" s="32">
        <v>3082638823</v>
      </c>
      <c r="E184" s="32">
        <v>2832638823</v>
      </c>
      <c r="F184" s="32">
        <v>3306338823</v>
      </c>
      <c r="G184" s="32">
        <v>2651038823</v>
      </c>
      <c r="H184" s="32">
        <v>2401038823</v>
      </c>
      <c r="I184" s="32">
        <v>2874738823</v>
      </c>
      <c r="J184" s="32">
        <v>1277112152</v>
      </c>
      <c r="K184" s="34">
        <v>2405382442</v>
      </c>
      <c r="L184" s="48" t="s">
        <v>1112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 spans="2:28" ht="15.75" customHeight="1">
      <c r="B185" s="42" t="s">
        <v>267</v>
      </c>
      <c r="C185" s="30" t="s">
        <v>307</v>
      </c>
      <c r="D185" s="32">
        <v>2926138073</v>
      </c>
      <c r="E185" s="32">
        <v>2463722286</v>
      </c>
      <c r="F185" s="32">
        <v>2463722286</v>
      </c>
      <c r="G185" s="32">
        <v>769540965</v>
      </c>
      <c r="H185" s="32">
        <v>345030774</v>
      </c>
      <c r="I185" s="32">
        <v>345030774</v>
      </c>
      <c r="J185" s="32">
        <v>251094511</v>
      </c>
      <c r="K185" s="34">
        <v>2100250528</v>
      </c>
      <c r="L185" s="48" t="s">
        <v>1113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 spans="2:28" ht="15.75" customHeight="1">
      <c r="B186" s="42" t="s">
        <v>137</v>
      </c>
      <c r="C186" s="30" t="s">
        <v>307</v>
      </c>
      <c r="D186" s="32">
        <v>475000000</v>
      </c>
      <c r="E186" s="32">
        <v>475000000</v>
      </c>
      <c r="F186" s="32">
        <v>475000000</v>
      </c>
      <c r="G186" s="32">
        <v>475000000</v>
      </c>
      <c r="H186" s="32">
        <v>475000000</v>
      </c>
      <c r="I186" s="32">
        <v>475000000</v>
      </c>
      <c r="J186" s="32">
        <v>471740300</v>
      </c>
      <c r="K186" s="34">
        <v>474551300</v>
      </c>
      <c r="L186" s="48" t="s">
        <v>1114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spans="2:28" ht="15.75" customHeight="1">
      <c r="B187" s="42" t="s">
        <v>139</v>
      </c>
      <c r="C187" s="30" t="s">
        <v>307</v>
      </c>
      <c r="D187" s="32">
        <v>632810000</v>
      </c>
      <c r="E187" s="32">
        <v>819610000</v>
      </c>
      <c r="F187" s="32">
        <v>819610000</v>
      </c>
      <c r="G187" s="32">
        <v>574000000</v>
      </c>
      <c r="H187" s="32">
        <v>799610000</v>
      </c>
      <c r="I187" s="32">
        <v>799610000</v>
      </c>
      <c r="J187" s="32">
        <v>759648236</v>
      </c>
      <c r="K187" s="34">
        <v>771230224</v>
      </c>
      <c r="L187" s="48" t="s">
        <v>1115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 spans="2:28" ht="15.75" customHeight="1">
      <c r="B188" s="42" t="s">
        <v>275</v>
      </c>
      <c r="C188" s="30" t="s">
        <v>307</v>
      </c>
      <c r="D188" s="32">
        <v>2632000000</v>
      </c>
      <c r="E188" s="32">
        <v>2475868957</v>
      </c>
      <c r="F188" s="32">
        <v>2481390757</v>
      </c>
      <c r="G188" s="32">
        <v>2312000000</v>
      </c>
      <c r="H188" s="32">
        <v>2355868957</v>
      </c>
      <c r="I188" s="32">
        <v>2361390757</v>
      </c>
      <c r="J188" s="32">
        <v>2358034637</v>
      </c>
      <c r="K188" s="34">
        <v>2357207050</v>
      </c>
      <c r="L188" s="48" t="s">
        <v>1116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 spans="2:28" ht="15.75" customHeight="1">
      <c r="B189" s="42" t="s">
        <v>143</v>
      </c>
      <c r="C189" s="30" t="s">
        <v>307</v>
      </c>
      <c r="D189" s="32">
        <v>568012066</v>
      </c>
      <c r="E189" s="32">
        <v>568012066</v>
      </c>
      <c r="F189" s="32">
        <v>668112066</v>
      </c>
      <c r="G189" s="32">
        <v>568012066</v>
      </c>
      <c r="H189" s="32">
        <v>568012066</v>
      </c>
      <c r="I189" s="32">
        <v>568012066</v>
      </c>
      <c r="J189" s="32">
        <v>482420543</v>
      </c>
      <c r="K189" s="34">
        <v>537038771</v>
      </c>
      <c r="L189" s="48" t="s">
        <v>1117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spans="2:28" ht="15.75" customHeight="1">
      <c r="B190" s="42" t="s">
        <v>439</v>
      </c>
      <c r="C190" s="30" t="s">
        <v>307</v>
      </c>
      <c r="D190" s="32">
        <v>3210491076</v>
      </c>
      <c r="E190" s="32">
        <v>5310491076</v>
      </c>
      <c r="F190" s="32">
        <v>3976807614</v>
      </c>
      <c r="G190" s="32">
        <v>2908520000</v>
      </c>
      <c r="H190" s="32">
        <v>5075855146</v>
      </c>
      <c r="I190" s="32">
        <v>3781122378</v>
      </c>
      <c r="J190" s="32">
        <v>3686364847</v>
      </c>
      <c r="K190" s="34">
        <v>3208790092</v>
      </c>
      <c r="L190" s="48" t="s">
        <v>1118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spans="2:28" ht="15.75" customHeight="1">
      <c r="B191" s="42" t="s">
        <v>278</v>
      </c>
      <c r="C191" s="30" t="s">
        <v>307</v>
      </c>
      <c r="D191" s="32">
        <v>1095500000</v>
      </c>
      <c r="E191" s="32">
        <v>2045500000</v>
      </c>
      <c r="F191" s="32">
        <v>2548500000</v>
      </c>
      <c r="G191" s="32">
        <v>966500000</v>
      </c>
      <c r="H191" s="32">
        <v>1866500000</v>
      </c>
      <c r="I191" s="32">
        <v>2369500000</v>
      </c>
      <c r="J191" s="32">
        <v>2116326132</v>
      </c>
      <c r="K191" s="34">
        <v>2243651161</v>
      </c>
      <c r="L191" s="48" t="s">
        <v>1119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spans="2:28" ht="15.75" customHeight="1">
      <c r="B192" s="42" t="s">
        <v>280</v>
      </c>
      <c r="C192" s="30" t="s">
        <v>307</v>
      </c>
      <c r="D192" s="32">
        <v>181301535</v>
      </c>
      <c r="E192" s="32">
        <v>131301535</v>
      </c>
      <c r="F192" s="32">
        <v>137801535</v>
      </c>
      <c r="G192" s="32">
        <v>181301535</v>
      </c>
      <c r="H192" s="32">
        <v>131301535</v>
      </c>
      <c r="I192" s="32">
        <v>137801535</v>
      </c>
      <c r="J192" s="32">
        <v>88439340</v>
      </c>
      <c r="K192" s="34">
        <v>137274350</v>
      </c>
      <c r="L192" s="48" t="s">
        <v>1120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spans="2:28" ht="15.75" customHeight="1">
      <c r="B193" s="42" t="s">
        <v>148</v>
      </c>
      <c r="C193" s="30" t="s">
        <v>307</v>
      </c>
      <c r="D193" s="32">
        <v>2333400000</v>
      </c>
      <c r="E193" s="32">
        <v>2592323723</v>
      </c>
      <c r="F193" s="32">
        <v>2592323723</v>
      </c>
      <c r="G193" s="32">
        <v>1895000000</v>
      </c>
      <c r="H193" s="32">
        <v>2153923723</v>
      </c>
      <c r="I193" s="32">
        <v>2153923723</v>
      </c>
      <c r="J193" s="32">
        <v>1313989297</v>
      </c>
      <c r="K193" s="34">
        <v>1997335179</v>
      </c>
      <c r="L193" s="48" t="s">
        <v>1121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 spans="2:28" ht="15.75" customHeight="1">
      <c r="B194" s="31" t="s">
        <v>1037</v>
      </c>
      <c r="C194" s="30" t="s">
        <v>307</v>
      </c>
      <c r="D194" s="32">
        <v>67493119</v>
      </c>
      <c r="E194" s="32">
        <v>67493119</v>
      </c>
      <c r="F194" s="32">
        <v>67493119</v>
      </c>
      <c r="G194" s="32">
        <v>67493119</v>
      </c>
      <c r="H194" s="32">
        <v>67493119</v>
      </c>
      <c r="I194" s="32">
        <v>67493119</v>
      </c>
      <c r="J194" s="32">
        <v>36715135</v>
      </c>
      <c r="K194" s="34">
        <v>36831690</v>
      </c>
      <c r="L194" s="48" t="s">
        <v>1122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spans="2:28" ht="15.75" customHeight="1">
      <c r="B195" s="31" t="s">
        <v>1038</v>
      </c>
      <c r="C195" s="30" t="s">
        <v>307</v>
      </c>
      <c r="D195" s="32">
        <v>150286238</v>
      </c>
      <c r="E195" s="32">
        <v>150286238</v>
      </c>
      <c r="F195" s="32">
        <v>150286238</v>
      </c>
      <c r="G195" s="32">
        <v>150286238</v>
      </c>
      <c r="H195" s="32">
        <v>150286238</v>
      </c>
      <c r="I195" s="32">
        <v>150286238</v>
      </c>
      <c r="J195" s="32">
        <v>115294472</v>
      </c>
      <c r="K195" s="34">
        <v>117315680</v>
      </c>
      <c r="L195" s="48" t="s">
        <v>1123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spans="2:28" ht="15.75" customHeight="1">
      <c r="B196" s="31" t="s">
        <v>1041</v>
      </c>
      <c r="C196" s="30" t="s">
        <v>307</v>
      </c>
      <c r="D196" s="32">
        <v>38896786</v>
      </c>
      <c r="E196" s="32">
        <v>38896786</v>
      </c>
      <c r="F196" s="32">
        <v>38896786</v>
      </c>
      <c r="G196" s="32">
        <v>38896786</v>
      </c>
      <c r="H196" s="32">
        <v>38896786</v>
      </c>
      <c r="I196" s="32">
        <v>38896786</v>
      </c>
      <c r="J196" s="32">
        <v>25472092</v>
      </c>
      <c r="K196" s="34">
        <v>38794137</v>
      </c>
      <c r="L196" s="48" t="s">
        <v>1124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spans="2:28" ht="15.75" customHeight="1">
      <c r="B197" s="31" t="s">
        <v>1042</v>
      </c>
      <c r="C197" s="30" t="s">
        <v>307</v>
      </c>
      <c r="D197" s="32">
        <v>125000000</v>
      </c>
      <c r="E197" s="32">
        <v>125000000</v>
      </c>
      <c r="F197" s="32">
        <v>125000000</v>
      </c>
      <c r="G197" s="32">
        <v>125000000</v>
      </c>
      <c r="H197" s="32">
        <v>125000000</v>
      </c>
      <c r="I197" s="32">
        <v>125000000</v>
      </c>
      <c r="J197" s="32">
        <v>111635119</v>
      </c>
      <c r="K197" s="34">
        <v>117422719</v>
      </c>
      <c r="L197" s="48" t="s">
        <v>1125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spans="2:28" ht="15.75" customHeight="1">
      <c r="B198" s="31" t="s">
        <v>1043</v>
      </c>
      <c r="C198" s="30" t="s">
        <v>307</v>
      </c>
      <c r="D198" s="32">
        <v>2065550000</v>
      </c>
      <c r="E198" s="32">
        <v>2404050000</v>
      </c>
      <c r="F198" s="32">
        <v>2404050000</v>
      </c>
      <c r="G198" s="32">
        <v>2065550000</v>
      </c>
      <c r="H198" s="32">
        <v>2404050000</v>
      </c>
      <c r="I198" s="32">
        <v>2404050000</v>
      </c>
      <c r="J198" s="32">
        <v>1718638712</v>
      </c>
      <c r="K198" s="34">
        <v>1740031999</v>
      </c>
      <c r="L198" s="48" t="s">
        <v>1126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spans="2:28" ht="15.75" customHeight="1">
      <c r="B199" s="31" t="s">
        <v>1044</v>
      </c>
      <c r="C199" s="30" t="s">
        <v>307</v>
      </c>
      <c r="D199" s="32">
        <v>19300000</v>
      </c>
      <c r="E199" s="42"/>
      <c r="F199" s="42"/>
      <c r="G199" s="32">
        <v>19300000</v>
      </c>
      <c r="H199" s="42"/>
      <c r="I199" s="42"/>
      <c r="J199" s="32">
        <v>6488759</v>
      </c>
      <c r="K199" s="34">
        <v>6488759</v>
      </c>
      <c r="L199" s="48" t="s">
        <v>1127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 spans="2:28" ht="15.75" customHeight="1">
      <c r="B200" s="31" t="s">
        <v>1045</v>
      </c>
      <c r="C200" s="30" t="s">
        <v>307</v>
      </c>
      <c r="D200" s="32">
        <v>645100000</v>
      </c>
      <c r="E200" s="32">
        <v>515100000</v>
      </c>
      <c r="F200" s="32">
        <v>515100000</v>
      </c>
      <c r="G200" s="32">
        <v>645100000</v>
      </c>
      <c r="H200" s="32">
        <v>495100000</v>
      </c>
      <c r="I200" s="32">
        <v>495100000</v>
      </c>
      <c r="J200" s="32">
        <v>274720718</v>
      </c>
      <c r="K200" s="34">
        <v>349865596</v>
      </c>
      <c r="L200" s="48" t="s">
        <v>1128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spans="2:28" ht="15.75" customHeight="1">
      <c r="B201" s="31" t="s">
        <v>188</v>
      </c>
      <c r="C201" s="30" t="s">
        <v>307</v>
      </c>
      <c r="D201" s="32">
        <v>200000000</v>
      </c>
      <c r="E201" s="32">
        <v>200000000</v>
      </c>
      <c r="F201" s="32">
        <v>6000000</v>
      </c>
      <c r="G201" s="32">
        <v>200000000</v>
      </c>
      <c r="H201" s="32">
        <v>200000000</v>
      </c>
      <c r="I201" s="32">
        <v>6000000</v>
      </c>
      <c r="J201" s="32">
        <v>6000000</v>
      </c>
      <c r="K201" s="34">
        <v>4107300</v>
      </c>
      <c r="L201" s="48" t="s">
        <v>1129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 spans="2:28" ht="15.75" customHeight="1">
      <c r="B202" s="31" t="s">
        <v>1047</v>
      </c>
      <c r="C202" s="30" t="s">
        <v>307</v>
      </c>
      <c r="D202" s="42" t="s">
        <v>41</v>
      </c>
      <c r="E202" s="32">
        <v>2874000</v>
      </c>
      <c r="F202" s="32">
        <v>10131000</v>
      </c>
      <c r="G202" s="42"/>
      <c r="H202" s="32">
        <v>2874000</v>
      </c>
      <c r="I202" s="32">
        <v>10131000</v>
      </c>
      <c r="J202" s="42"/>
      <c r="K202" s="49"/>
      <c r="L202" s="48" t="s">
        <v>1130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 spans="2:28" ht="15.75" customHeight="1">
      <c r="B203" s="30" t="s">
        <v>468</v>
      </c>
      <c r="C203" s="30" t="s">
        <v>307</v>
      </c>
      <c r="D203" s="38">
        <v>668378861891</v>
      </c>
      <c r="E203" s="38">
        <v>682890479645</v>
      </c>
      <c r="F203" s="38">
        <v>688752343056</v>
      </c>
      <c r="G203" s="38">
        <v>389229477396</v>
      </c>
      <c r="H203" s="38">
        <v>420877674340</v>
      </c>
      <c r="I203" s="38">
        <v>424187732291</v>
      </c>
      <c r="J203" s="32">
        <v>341005827118</v>
      </c>
      <c r="K203" s="34">
        <v>553373975335</v>
      </c>
      <c r="L203" s="48" t="s">
        <v>1131</v>
      </c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spans="2:28" ht="15.75" customHeight="1">
      <c r="B204" s="30"/>
      <c r="C204" s="30"/>
      <c r="D204" s="40"/>
      <c r="E204" s="40"/>
      <c r="F204" s="40"/>
      <c r="G204" s="40"/>
      <c r="H204" s="40"/>
      <c r="I204" s="40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 spans="2:28" ht="15.75" customHeight="1">
      <c r="B205" s="47" t="s">
        <v>1065</v>
      </c>
      <c r="C205" s="47"/>
      <c r="D205" s="47" t="s">
        <v>1066</v>
      </c>
      <c r="E205" s="47" t="s">
        <v>1067</v>
      </c>
      <c r="F205" s="47" t="s">
        <v>1068</v>
      </c>
      <c r="G205" s="47" t="s">
        <v>1069</v>
      </c>
      <c r="H205" s="47" t="s">
        <v>1070</v>
      </c>
      <c r="I205" s="47" t="s">
        <v>1071</v>
      </c>
      <c r="J205" s="41" t="s">
        <v>1072</v>
      </c>
      <c r="K205" s="41" t="s">
        <v>35</v>
      </c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2:28" ht="15.75" customHeight="1">
      <c r="B206" s="31" t="s">
        <v>976</v>
      </c>
      <c r="C206" s="30" t="s">
        <v>1132</v>
      </c>
      <c r="D206" s="32">
        <v>11473321015</v>
      </c>
      <c r="E206" s="32">
        <v>14008277252</v>
      </c>
      <c r="F206" s="32">
        <v>14040050095</v>
      </c>
      <c r="G206" s="32">
        <v>4961171015</v>
      </c>
      <c r="H206" s="32">
        <v>7496127252</v>
      </c>
      <c r="I206" s="32">
        <v>7527900095</v>
      </c>
      <c r="J206" s="32">
        <v>4277069240</v>
      </c>
      <c r="K206" s="34">
        <v>11431175377</v>
      </c>
      <c r="L206" s="48" t="s">
        <v>1133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spans="2:28" ht="15.75" customHeight="1">
      <c r="B207" s="42" t="s">
        <v>309</v>
      </c>
      <c r="C207" s="30" t="s">
        <v>1132</v>
      </c>
      <c r="D207" s="32">
        <v>6925000000</v>
      </c>
      <c r="E207" s="33" t="s">
        <v>1134</v>
      </c>
      <c r="F207" s="32">
        <v>4027076242</v>
      </c>
      <c r="G207" s="32">
        <v>6874000000</v>
      </c>
      <c r="H207" s="32">
        <v>3777876242</v>
      </c>
      <c r="I207" s="32">
        <v>3957076242</v>
      </c>
      <c r="J207" s="32">
        <v>3889440723</v>
      </c>
      <c r="K207" s="34">
        <v>4102207037</v>
      </c>
      <c r="L207" s="48" t="s">
        <v>1135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spans="2:28" ht="15.75" customHeight="1">
      <c r="B208" s="42" t="s">
        <v>54</v>
      </c>
      <c r="C208" s="30" t="s">
        <v>1132</v>
      </c>
      <c r="D208" s="32">
        <v>784100000</v>
      </c>
      <c r="E208" s="11">
        <v>257579.84</v>
      </c>
      <c r="F208" s="33" t="s">
        <v>1136</v>
      </c>
      <c r="G208" s="32">
        <v>784100000</v>
      </c>
      <c r="H208" s="11">
        <v>257579.84</v>
      </c>
      <c r="I208" s="32">
        <v>257579844</v>
      </c>
      <c r="J208" s="32">
        <v>55348693</v>
      </c>
      <c r="K208" s="34">
        <v>45338599</v>
      </c>
      <c r="L208" s="48" t="s">
        <v>1137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 spans="2:28" ht="15.75" customHeight="1">
      <c r="B209" s="42" t="s">
        <v>207</v>
      </c>
      <c r="C209" s="30" t="s">
        <v>1132</v>
      </c>
      <c r="D209" s="32">
        <v>4734685699</v>
      </c>
      <c r="E209" s="33" t="s">
        <v>1138</v>
      </c>
      <c r="F209" s="32">
        <v>8160829863</v>
      </c>
      <c r="G209" s="33" t="s">
        <v>1139</v>
      </c>
      <c r="H209" s="32">
        <v>470034622</v>
      </c>
      <c r="I209" s="32">
        <v>5675103924</v>
      </c>
      <c r="J209" s="32">
        <v>5444344164</v>
      </c>
      <c r="K209" s="34">
        <v>7763902095</v>
      </c>
      <c r="L209" s="48" t="s">
        <v>1140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 spans="2:28" ht="15.75" customHeight="1">
      <c r="B210" s="42" t="s">
        <v>313</v>
      </c>
      <c r="C210" s="30" t="s">
        <v>1132</v>
      </c>
      <c r="D210" s="32">
        <v>8824290786</v>
      </c>
      <c r="E210" s="32">
        <v>7004385652</v>
      </c>
      <c r="F210" s="32">
        <v>7765189352</v>
      </c>
      <c r="G210" s="32">
        <v>8702290786</v>
      </c>
      <c r="H210" s="32">
        <v>6582385652</v>
      </c>
      <c r="I210" s="32">
        <v>7643189352</v>
      </c>
      <c r="J210" s="32">
        <v>6826942641</v>
      </c>
      <c r="K210" s="34">
        <v>2957725169</v>
      </c>
      <c r="L210" s="48" t="s">
        <v>1141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 spans="2:28" ht="15.75" customHeight="1">
      <c r="B211" s="31" t="s">
        <v>987</v>
      </c>
      <c r="C211" s="30" t="s">
        <v>1132</v>
      </c>
      <c r="D211" s="32">
        <v>9208594305</v>
      </c>
      <c r="E211" s="32">
        <v>9742786689</v>
      </c>
      <c r="F211" s="32">
        <v>9742786689</v>
      </c>
      <c r="G211" s="32">
        <v>3000000000</v>
      </c>
      <c r="H211" s="32">
        <v>3000000000</v>
      </c>
      <c r="I211" s="32">
        <v>3000000000</v>
      </c>
      <c r="J211" s="32">
        <v>2999371195</v>
      </c>
      <c r="K211" s="34">
        <v>9670181366</v>
      </c>
      <c r="L211" s="48" t="s">
        <v>1142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 spans="2:28" ht="15.75" customHeight="1">
      <c r="B212" s="42" t="s">
        <v>639</v>
      </c>
      <c r="C212" s="30" t="s">
        <v>1132</v>
      </c>
      <c r="D212" s="32">
        <v>1201400000</v>
      </c>
      <c r="E212" s="32">
        <v>1016400000</v>
      </c>
      <c r="F212" s="32">
        <v>1129400000</v>
      </c>
      <c r="G212" s="32">
        <v>1201400000</v>
      </c>
      <c r="H212" s="32">
        <v>1016400000</v>
      </c>
      <c r="I212" s="32">
        <v>1016400000</v>
      </c>
      <c r="J212" s="32">
        <v>972890943</v>
      </c>
      <c r="K212" s="34">
        <v>972890943</v>
      </c>
      <c r="L212" s="48" t="s">
        <v>1143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 spans="2:28" ht="15.75" customHeight="1">
      <c r="B213" s="42" t="s">
        <v>72</v>
      </c>
      <c r="C213" s="30" t="s">
        <v>1132</v>
      </c>
      <c r="D213" s="32">
        <v>6268000000</v>
      </c>
      <c r="E213" s="32">
        <v>6339506533</v>
      </c>
      <c r="F213" s="32">
        <v>6294006533</v>
      </c>
      <c r="G213" s="32">
        <v>1468000000</v>
      </c>
      <c r="H213" s="32">
        <v>1504506533</v>
      </c>
      <c r="I213" s="32">
        <v>1409006533</v>
      </c>
      <c r="J213" s="32">
        <v>1372031818</v>
      </c>
      <c r="K213" s="34">
        <v>5314880759</v>
      </c>
      <c r="L213" s="48" t="s">
        <v>1144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 spans="2:28" ht="15.75" customHeight="1">
      <c r="B214" s="31" t="s">
        <v>217</v>
      </c>
      <c r="C214" s="30" t="s">
        <v>1132</v>
      </c>
      <c r="D214" s="32">
        <v>5375600000</v>
      </c>
      <c r="E214" s="32">
        <v>3609623070</v>
      </c>
      <c r="F214" s="32">
        <v>4362623070</v>
      </c>
      <c r="G214" s="32">
        <v>4601600000</v>
      </c>
      <c r="H214" s="32">
        <v>2597623070</v>
      </c>
      <c r="I214" s="32">
        <v>2717623070</v>
      </c>
      <c r="J214" s="32">
        <v>2566125477</v>
      </c>
      <c r="K214" s="34">
        <v>3971349906</v>
      </c>
      <c r="L214" s="48" t="s">
        <v>1145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 spans="2:28" ht="15.75" customHeight="1">
      <c r="B215" s="42" t="s">
        <v>219</v>
      </c>
      <c r="C215" s="30" t="s">
        <v>1132</v>
      </c>
      <c r="D215" s="32">
        <v>11690000000</v>
      </c>
      <c r="E215" s="32">
        <v>11403620000</v>
      </c>
      <c r="F215" s="32">
        <v>8930356800</v>
      </c>
      <c r="G215" s="32">
        <v>11390000000</v>
      </c>
      <c r="H215" s="32">
        <v>11303620000</v>
      </c>
      <c r="I215" s="32">
        <v>8830356800</v>
      </c>
      <c r="J215" s="32">
        <v>8412673930</v>
      </c>
      <c r="K215" s="34">
        <v>6551246167</v>
      </c>
      <c r="L215" s="48" t="s">
        <v>1146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 spans="2:28" ht="15.75" customHeight="1">
      <c r="B216" s="31" t="s">
        <v>995</v>
      </c>
      <c r="C216" s="30" t="s">
        <v>1132</v>
      </c>
      <c r="D216" s="32">
        <v>42779129907</v>
      </c>
      <c r="E216" s="32">
        <v>60650298887</v>
      </c>
      <c r="F216" s="32">
        <v>58779510621</v>
      </c>
      <c r="G216" s="32">
        <v>31083728758</v>
      </c>
      <c r="H216" s="32">
        <v>48127226075</v>
      </c>
      <c r="I216" s="32">
        <v>45806656597</v>
      </c>
      <c r="J216" s="32">
        <v>36422190303</v>
      </c>
      <c r="K216" s="34">
        <v>53940095139</v>
      </c>
      <c r="L216" s="48" t="s">
        <v>1147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spans="2:28" ht="15.75" customHeight="1">
      <c r="B217" s="42" t="s">
        <v>226</v>
      </c>
      <c r="C217" s="30" t="s">
        <v>1132</v>
      </c>
      <c r="D217" s="32">
        <v>42453435816</v>
      </c>
      <c r="E217" s="32">
        <v>55928861106</v>
      </c>
      <c r="F217" s="32">
        <v>55928861106</v>
      </c>
      <c r="G217" s="32">
        <v>42402820416</v>
      </c>
      <c r="H217" s="32">
        <v>55886765706</v>
      </c>
      <c r="I217" s="32">
        <v>55886765706</v>
      </c>
      <c r="J217" s="32">
        <v>55721310416</v>
      </c>
      <c r="K217" s="34">
        <v>55748506020</v>
      </c>
      <c r="L217" s="48" t="s">
        <v>1148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spans="2:28" ht="15.75" customHeight="1">
      <c r="B218" s="42" t="s">
        <v>228</v>
      </c>
      <c r="C218" s="30" t="s">
        <v>1132</v>
      </c>
      <c r="D218" s="32">
        <v>47251983849</v>
      </c>
      <c r="E218" s="33" t="s">
        <v>1149</v>
      </c>
      <c r="F218" s="11">
        <v>53714.69</v>
      </c>
      <c r="G218" s="32">
        <v>38346282456</v>
      </c>
      <c r="H218" s="32">
        <v>34934033637</v>
      </c>
      <c r="I218" s="32">
        <v>37956991692</v>
      </c>
      <c r="J218" s="42" t="s">
        <v>1150</v>
      </c>
      <c r="K218" s="34">
        <v>39807784003</v>
      </c>
      <c r="L218" s="48" t="s">
        <v>1151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spans="2:28" ht="15.75" customHeight="1">
      <c r="B219" s="42" t="s">
        <v>232</v>
      </c>
      <c r="C219" s="30" t="s">
        <v>1132</v>
      </c>
      <c r="D219" s="32">
        <v>124590286715</v>
      </c>
      <c r="E219" s="32">
        <v>120093348730</v>
      </c>
      <c r="F219" s="32">
        <v>133372106457</v>
      </c>
      <c r="G219" s="32">
        <v>61601464000</v>
      </c>
      <c r="H219" s="32">
        <v>69950018268</v>
      </c>
      <c r="I219" s="32">
        <v>66699318268</v>
      </c>
      <c r="J219" s="32">
        <v>64886394739</v>
      </c>
      <c r="K219" s="34">
        <v>117293861558</v>
      </c>
      <c r="L219" s="48" t="s">
        <v>1152</v>
      </c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spans="2:28" ht="15.75" customHeight="1">
      <c r="B220" s="31" t="s">
        <v>327</v>
      </c>
      <c r="C220" s="30" t="s">
        <v>1132</v>
      </c>
      <c r="D220" s="32">
        <v>38366800000</v>
      </c>
      <c r="E220" s="32">
        <v>73875594154</v>
      </c>
      <c r="F220" s="32">
        <v>66980594154</v>
      </c>
      <c r="G220" s="32">
        <v>11272800000</v>
      </c>
      <c r="H220" s="32">
        <v>21582800000</v>
      </c>
      <c r="I220" s="32">
        <v>21827800000</v>
      </c>
      <c r="J220" s="32">
        <v>21600570545</v>
      </c>
      <c r="K220" s="34">
        <v>58570973322</v>
      </c>
      <c r="L220" s="48" t="s">
        <v>1153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 spans="2:28" ht="15.75" customHeight="1">
      <c r="B221" s="42" t="s">
        <v>329</v>
      </c>
      <c r="C221" s="30" t="s">
        <v>1132</v>
      </c>
      <c r="D221" s="32">
        <v>850000000</v>
      </c>
      <c r="E221" s="32">
        <v>565000000</v>
      </c>
      <c r="F221" s="32">
        <v>565000000</v>
      </c>
      <c r="G221" s="32">
        <v>5000000</v>
      </c>
      <c r="H221" s="32">
        <v>5000000</v>
      </c>
      <c r="I221" s="32">
        <v>5000000</v>
      </c>
      <c r="J221" s="42"/>
      <c r="K221" s="34">
        <v>413381047</v>
      </c>
      <c r="L221" s="48" t="s">
        <v>1154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 spans="2:28" ht="15.75" customHeight="1">
      <c r="B222" s="42" t="s">
        <v>411</v>
      </c>
      <c r="C222" s="30" t="s">
        <v>1132</v>
      </c>
      <c r="D222" s="32">
        <v>15998721087</v>
      </c>
      <c r="E222" s="33" t="s">
        <v>1155</v>
      </c>
      <c r="F222" s="33" t="s">
        <v>1156</v>
      </c>
      <c r="G222" s="32">
        <v>8577721087</v>
      </c>
      <c r="H222" s="32">
        <v>16558555338</v>
      </c>
      <c r="I222" s="32">
        <v>19058555338</v>
      </c>
      <c r="J222" s="32">
        <v>17812148031</v>
      </c>
      <c r="K222" s="34">
        <v>25582814333</v>
      </c>
      <c r="L222" s="48" t="s">
        <v>1157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 spans="2:28" ht="15.75" customHeight="1">
      <c r="B223" s="42" t="s">
        <v>93</v>
      </c>
      <c r="C223" s="30" t="s">
        <v>1132</v>
      </c>
      <c r="D223" s="32">
        <v>1184973000</v>
      </c>
      <c r="E223" s="32">
        <v>757473000</v>
      </c>
      <c r="F223" s="32">
        <v>827473000</v>
      </c>
      <c r="G223" s="32">
        <v>1016973000</v>
      </c>
      <c r="H223" s="32">
        <v>589473000</v>
      </c>
      <c r="I223" s="32">
        <v>659473000</v>
      </c>
      <c r="J223" s="32">
        <v>699472000</v>
      </c>
      <c r="K223" s="34">
        <v>659462473</v>
      </c>
      <c r="L223" s="48" t="s">
        <v>1158</v>
      </c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 spans="2:28" ht="15.75" customHeight="1">
      <c r="B224" s="31" t="s">
        <v>336</v>
      </c>
      <c r="C224" s="30" t="s">
        <v>1132</v>
      </c>
      <c r="D224" s="32">
        <v>5995090900</v>
      </c>
      <c r="E224" s="32">
        <v>3747490900</v>
      </c>
      <c r="F224" s="32">
        <v>3752519369</v>
      </c>
      <c r="G224" s="32">
        <v>3839590900</v>
      </c>
      <c r="H224" s="32">
        <v>3252990900</v>
      </c>
      <c r="I224" s="32">
        <v>3258019369</v>
      </c>
      <c r="J224" s="32">
        <v>2366986552</v>
      </c>
      <c r="K224" s="34">
        <v>2453131247</v>
      </c>
      <c r="L224" s="48" t="s">
        <v>1159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 spans="2:28" ht="15.75" customHeight="1">
      <c r="B225" s="42" t="s">
        <v>1092</v>
      </c>
      <c r="C225" s="30" t="s">
        <v>1132</v>
      </c>
      <c r="D225" s="32">
        <v>70982834883</v>
      </c>
      <c r="E225" s="32">
        <v>73164306416</v>
      </c>
      <c r="F225" s="32">
        <v>75724306416</v>
      </c>
      <c r="G225" s="32">
        <v>32860506797</v>
      </c>
      <c r="H225" s="32">
        <v>29903815841</v>
      </c>
      <c r="I225" s="32">
        <v>35035400000</v>
      </c>
      <c r="J225" s="32">
        <v>35209485477</v>
      </c>
      <c r="K225" s="34">
        <v>35019154346</v>
      </c>
      <c r="L225" s="48" t="s">
        <v>1160</v>
      </c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 spans="2:28" ht="15.75" customHeight="1">
      <c r="B226" s="42" t="s">
        <v>244</v>
      </c>
      <c r="C226" s="30" t="s">
        <v>1132</v>
      </c>
      <c r="D226" s="32">
        <v>2799000000</v>
      </c>
      <c r="E226" s="32">
        <v>3599000000</v>
      </c>
      <c r="F226" s="32">
        <v>3299000000</v>
      </c>
      <c r="G226" s="32">
        <v>2799000000</v>
      </c>
      <c r="H226" s="32">
        <v>3599000000</v>
      </c>
      <c r="I226" s="32">
        <v>3299000000</v>
      </c>
      <c r="J226" s="42" t="s">
        <v>1161</v>
      </c>
      <c r="K226" s="34">
        <v>3241949240</v>
      </c>
      <c r="L226" s="48" t="s">
        <v>1162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spans="2:28" ht="15.75" customHeight="1">
      <c r="B227" s="42" t="s">
        <v>1095</v>
      </c>
      <c r="C227" s="30" t="s">
        <v>1132</v>
      </c>
      <c r="D227" s="32">
        <v>18504202512</v>
      </c>
      <c r="E227" s="32">
        <v>20079102512</v>
      </c>
      <c r="F227" s="32">
        <v>19449102512</v>
      </c>
      <c r="G227" s="32">
        <v>4371202512</v>
      </c>
      <c r="H227" s="32">
        <v>4246102512</v>
      </c>
      <c r="I227" s="32">
        <v>4596102512</v>
      </c>
      <c r="J227" s="32">
        <v>3844387679</v>
      </c>
      <c r="K227" s="34">
        <v>17010642663</v>
      </c>
      <c r="L227" s="48" t="s">
        <v>1163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 spans="2:28" ht="15.75" customHeight="1">
      <c r="B228" s="42" t="s">
        <v>419</v>
      </c>
      <c r="C228" s="30" t="s">
        <v>1132</v>
      </c>
      <c r="D228" s="32">
        <v>698000000</v>
      </c>
      <c r="E228" s="32">
        <v>282255000</v>
      </c>
      <c r="F228" s="32">
        <v>282255000</v>
      </c>
      <c r="G228" s="32">
        <v>698000000</v>
      </c>
      <c r="H228" s="32">
        <v>282255000</v>
      </c>
      <c r="I228" s="32">
        <v>282255000</v>
      </c>
      <c r="J228" s="32">
        <v>277599221</v>
      </c>
      <c r="K228" s="34">
        <v>281384563</v>
      </c>
      <c r="L228" s="48" t="s">
        <v>1164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 spans="2:28" ht="15.75" customHeight="1">
      <c r="B229" s="42" t="s">
        <v>105</v>
      </c>
      <c r="C229" s="30" t="s">
        <v>1132</v>
      </c>
      <c r="D229" s="32">
        <v>14155570000</v>
      </c>
      <c r="E229" s="32">
        <v>3292897210</v>
      </c>
      <c r="F229" s="32">
        <v>7380892671</v>
      </c>
      <c r="G229" s="32">
        <v>155570000</v>
      </c>
      <c r="H229" s="32">
        <v>77785000</v>
      </c>
      <c r="I229" s="32">
        <v>77785000</v>
      </c>
      <c r="J229" s="32">
        <v>77785000</v>
      </c>
      <c r="K229" s="34">
        <v>6147966506</v>
      </c>
      <c r="L229" s="48" t="s">
        <v>1165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 spans="2:28" ht="15.75" customHeight="1">
      <c r="B230" s="31" t="s">
        <v>107</v>
      </c>
      <c r="C230" s="30" t="s">
        <v>1132</v>
      </c>
      <c r="D230" s="32">
        <v>43100000</v>
      </c>
      <c r="E230" s="33" t="s">
        <v>1166</v>
      </c>
      <c r="F230" s="33" t="s">
        <v>1166</v>
      </c>
      <c r="G230" s="32">
        <v>43100000</v>
      </c>
      <c r="H230" s="32">
        <v>32365560</v>
      </c>
      <c r="I230" s="32">
        <v>32365560</v>
      </c>
      <c r="J230" s="32">
        <v>32350500</v>
      </c>
      <c r="K230" s="34">
        <v>32350418</v>
      </c>
      <c r="L230" s="48" t="s">
        <v>1167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 spans="2:28" ht="15.75" customHeight="1">
      <c r="B231" s="42" t="s">
        <v>816</v>
      </c>
      <c r="C231" s="30" t="s">
        <v>1132</v>
      </c>
      <c r="D231" s="32">
        <v>66581141377</v>
      </c>
      <c r="E231" s="32">
        <v>79129423546</v>
      </c>
      <c r="F231" s="33" t="s">
        <v>1168</v>
      </c>
      <c r="G231" s="32">
        <v>21455677322</v>
      </c>
      <c r="H231" s="33" t="s">
        <v>1169</v>
      </c>
      <c r="I231" s="32">
        <v>31943471578</v>
      </c>
      <c r="J231" s="42" t="s">
        <v>1170</v>
      </c>
      <c r="K231" s="34">
        <v>53605000000</v>
      </c>
      <c r="L231" s="48" t="s">
        <v>1171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 spans="2:28" ht="15.75" customHeight="1">
      <c r="B232" s="42" t="s">
        <v>252</v>
      </c>
      <c r="C232" s="30" t="s">
        <v>1132</v>
      </c>
      <c r="D232" s="32">
        <v>3362828667</v>
      </c>
      <c r="E232" s="32">
        <v>2206900000</v>
      </c>
      <c r="F232" s="32">
        <v>2167400209</v>
      </c>
      <c r="G232" s="32">
        <v>2721428667</v>
      </c>
      <c r="H232" s="32">
        <v>1495500000</v>
      </c>
      <c r="I232" s="32">
        <v>1636123115</v>
      </c>
      <c r="J232" s="32">
        <v>1545549938</v>
      </c>
      <c r="K232" s="34">
        <v>1918320551</v>
      </c>
      <c r="L232" s="48" t="s">
        <v>1172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 spans="2:28" ht="15.75" customHeight="1">
      <c r="B233" s="42" t="s">
        <v>426</v>
      </c>
      <c r="C233" s="30" t="s">
        <v>1132</v>
      </c>
      <c r="D233" s="32">
        <v>4964000000</v>
      </c>
      <c r="E233" s="32">
        <v>3094780000</v>
      </c>
      <c r="F233" s="32">
        <v>2896074468</v>
      </c>
      <c r="G233" s="32">
        <v>4614000000</v>
      </c>
      <c r="H233" s="33" t="s">
        <v>1173</v>
      </c>
      <c r="I233" s="32">
        <v>2797074468</v>
      </c>
      <c r="J233" s="42" t="s">
        <v>1174</v>
      </c>
      <c r="K233" s="34">
        <v>1947569240</v>
      </c>
      <c r="L233" s="48" t="s">
        <v>1175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 spans="2:28" ht="15.75" customHeight="1">
      <c r="B234" s="31" t="s">
        <v>1061</v>
      </c>
      <c r="C234" s="30" t="s">
        <v>1132</v>
      </c>
      <c r="D234" s="32">
        <v>31009977392</v>
      </c>
      <c r="E234" s="32">
        <v>27032004315</v>
      </c>
      <c r="F234" s="32">
        <v>26687266456</v>
      </c>
      <c r="G234" s="32">
        <v>14550008092</v>
      </c>
      <c r="H234" s="33" t="s">
        <v>1176</v>
      </c>
      <c r="I234" s="32">
        <v>11962497156</v>
      </c>
      <c r="J234" s="32">
        <v>11906435690</v>
      </c>
      <c r="K234" s="49" t="s">
        <v>1177</v>
      </c>
      <c r="L234" s="48" t="s">
        <v>1178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 spans="2:28" ht="15.75" customHeight="1">
      <c r="B235" s="42" t="s">
        <v>119</v>
      </c>
      <c r="C235" s="30" t="s">
        <v>1132</v>
      </c>
      <c r="D235" s="32">
        <v>825220000</v>
      </c>
      <c r="E235" s="32">
        <v>600525432</v>
      </c>
      <c r="F235" s="32">
        <v>761825432</v>
      </c>
      <c r="G235" s="32">
        <v>825220000</v>
      </c>
      <c r="H235" s="32">
        <v>600525432</v>
      </c>
      <c r="I235" s="32">
        <v>761825432</v>
      </c>
      <c r="J235" s="32">
        <v>760769203</v>
      </c>
      <c r="K235" s="34">
        <v>760581853</v>
      </c>
      <c r="L235" s="48" t="s">
        <v>1179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 spans="2:28" ht="15.75" customHeight="1">
      <c r="B236" s="42" t="s">
        <v>121</v>
      </c>
      <c r="C236" s="30" t="s">
        <v>1132</v>
      </c>
      <c r="D236" s="32">
        <v>1095593397</v>
      </c>
      <c r="E236" s="32">
        <v>1261849005</v>
      </c>
      <c r="F236" s="32">
        <v>1285549005</v>
      </c>
      <c r="G236" s="32">
        <v>1095593397</v>
      </c>
      <c r="H236" s="32">
        <v>1261849005</v>
      </c>
      <c r="I236" s="32">
        <v>1285549005</v>
      </c>
      <c r="J236" s="32">
        <v>1241628852</v>
      </c>
      <c r="K236" s="34">
        <v>1237823219</v>
      </c>
      <c r="L236" s="48" t="s">
        <v>1180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 spans="2:28" ht="15.75" customHeight="1">
      <c r="B237" s="42" t="s">
        <v>262</v>
      </c>
      <c r="C237" s="30" t="s">
        <v>1132</v>
      </c>
      <c r="D237" s="32">
        <v>5268141936</v>
      </c>
      <c r="E237" s="32">
        <v>4539761252</v>
      </c>
      <c r="F237" s="32">
        <v>3639761252</v>
      </c>
      <c r="G237" s="32">
        <v>3753141936</v>
      </c>
      <c r="H237" s="32">
        <v>3024761252</v>
      </c>
      <c r="I237" s="32">
        <v>2624761252</v>
      </c>
      <c r="J237" s="32">
        <v>2228994334</v>
      </c>
      <c r="K237" s="34">
        <v>2334560992</v>
      </c>
      <c r="L237" s="48" t="s">
        <v>1181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 spans="2:28" ht="15.75" customHeight="1">
      <c r="B238" s="42" t="s">
        <v>264</v>
      </c>
      <c r="C238" s="30" t="s">
        <v>1132</v>
      </c>
      <c r="D238" s="32">
        <v>2444400000</v>
      </c>
      <c r="E238" s="32">
        <v>1461973937</v>
      </c>
      <c r="F238" s="32">
        <v>1231973937</v>
      </c>
      <c r="G238" s="32">
        <v>2444400000</v>
      </c>
      <c r="H238" s="32">
        <v>1461973937</v>
      </c>
      <c r="I238" s="32">
        <v>1231973937</v>
      </c>
      <c r="J238" s="32">
        <v>938848551</v>
      </c>
      <c r="K238" s="34">
        <v>828378349</v>
      </c>
      <c r="L238" s="48" t="s">
        <v>1182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 spans="2:28" ht="15.75" customHeight="1">
      <c r="B239" s="42" t="s">
        <v>1183</v>
      </c>
      <c r="C239" s="30" t="s">
        <v>1132</v>
      </c>
      <c r="D239" s="33" t="s">
        <v>1184</v>
      </c>
      <c r="E239" s="32">
        <v>2080000000</v>
      </c>
      <c r="F239" s="32">
        <v>2280000000</v>
      </c>
      <c r="G239" s="32">
        <v>2186130000</v>
      </c>
      <c r="H239" s="32">
        <v>1717900000</v>
      </c>
      <c r="I239" s="32">
        <v>1917900000</v>
      </c>
      <c r="J239" s="32">
        <v>836914694</v>
      </c>
      <c r="K239" s="34">
        <v>1413158621</v>
      </c>
      <c r="L239" s="48" t="s">
        <v>1185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 spans="2:28" ht="15.75" customHeight="1">
      <c r="B240" s="42" t="s">
        <v>133</v>
      </c>
      <c r="C240" s="30" t="s">
        <v>1132</v>
      </c>
      <c r="D240" s="32">
        <v>312000000</v>
      </c>
      <c r="E240" s="32">
        <v>54900000</v>
      </c>
      <c r="F240" s="32">
        <v>80559140</v>
      </c>
      <c r="G240" s="32">
        <v>312000000</v>
      </c>
      <c r="H240" s="32">
        <v>54900000</v>
      </c>
      <c r="I240" s="32">
        <v>80559140</v>
      </c>
      <c r="J240" s="32">
        <v>80559140</v>
      </c>
      <c r="K240" s="34">
        <v>67991009</v>
      </c>
      <c r="L240" s="48" t="s">
        <v>1186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spans="2:28" ht="15.75" customHeight="1">
      <c r="B241" s="42" t="s">
        <v>135</v>
      </c>
      <c r="C241" s="30" t="s">
        <v>1132</v>
      </c>
      <c r="D241" s="32">
        <v>3644000000</v>
      </c>
      <c r="E241" s="32">
        <v>3349700000</v>
      </c>
      <c r="F241" s="32">
        <v>3177210000</v>
      </c>
      <c r="G241" s="32">
        <v>700000000</v>
      </c>
      <c r="H241" s="32">
        <v>805700000</v>
      </c>
      <c r="I241" s="32">
        <v>805710000</v>
      </c>
      <c r="J241" s="32">
        <v>804332284</v>
      </c>
      <c r="K241" s="34">
        <v>2624868395</v>
      </c>
      <c r="L241" s="48" t="s">
        <v>1187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 spans="2:28" ht="15.75" customHeight="1">
      <c r="B242" s="42" t="s">
        <v>137</v>
      </c>
      <c r="C242" s="30" t="s">
        <v>1132</v>
      </c>
      <c r="D242" s="32">
        <v>4310800000</v>
      </c>
      <c r="E242" s="32">
        <v>3549900000</v>
      </c>
      <c r="F242" s="32">
        <v>3464164050</v>
      </c>
      <c r="G242" s="32">
        <v>4310800000</v>
      </c>
      <c r="H242" s="32">
        <v>3549900000</v>
      </c>
      <c r="I242" s="32">
        <v>3464164050</v>
      </c>
      <c r="J242" s="32">
        <v>3412845039</v>
      </c>
      <c r="K242" s="34">
        <v>3412804444</v>
      </c>
      <c r="L242" s="48" t="s">
        <v>1188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spans="2:28" ht="15.75" customHeight="1">
      <c r="B243" s="42" t="s">
        <v>139</v>
      </c>
      <c r="C243" s="30" t="s">
        <v>1132</v>
      </c>
      <c r="D243" s="32">
        <v>693810000</v>
      </c>
      <c r="E243" s="32">
        <v>638060000</v>
      </c>
      <c r="F243" s="32">
        <v>650060000</v>
      </c>
      <c r="G243" s="32">
        <v>635000000</v>
      </c>
      <c r="H243" s="32">
        <v>444250000</v>
      </c>
      <c r="I243" s="32">
        <v>444250000</v>
      </c>
      <c r="J243" s="32">
        <v>416347330</v>
      </c>
      <c r="K243" s="34">
        <v>416578088</v>
      </c>
      <c r="L243" s="48" t="s">
        <v>1189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spans="2:28" ht="15.75" customHeight="1">
      <c r="B244" s="42" t="s">
        <v>275</v>
      </c>
      <c r="C244" s="30" t="s">
        <v>1132</v>
      </c>
      <c r="D244" s="32">
        <v>2374000000</v>
      </c>
      <c r="E244" s="32">
        <v>2898000000</v>
      </c>
      <c r="F244" s="32">
        <v>2258000000</v>
      </c>
      <c r="G244" s="33" t="s">
        <v>1190</v>
      </c>
      <c r="H244" s="32">
        <v>2258000000</v>
      </c>
      <c r="I244" s="32">
        <v>2258000000</v>
      </c>
      <c r="J244" s="32">
        <v>2246000000</v>
      </c>
      <c r="K244" s="34">
        <v>2246000000</v>
      </c>
      <c r="L244" s="48" t="s">
        <v>1191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 spans="2:28" ht="15.75" customHeight="1">
      <c r="B245" s="42" t="s">
        <v>143</v>
      </c>
      <c r="C245" s="30" t="s">
        <v>1132</v>
      </c>
      <c r="D245" s="32">
        <v>1254060000</v>
      </c>
      <c r="E245" s="32">
        <v>997554400</v>
      </c>
      <c r="F245" s="32">
        <v>997554400</v>
      </c>
      <c r="G245" s="32">
        <v>1254060000</v>
      </c>
      <c r="H245" s="32">
        <v>997554400</v>
      </c>
      <c r="I245" s="32">
        <v>997554400</v>
      </c>
      <c r="J245" s="32">
        <v>997554400</v>
      </c>
      <c r="K245" s="34">
        <v>997554400</v>
      </c>
      <c r="L245" s="48" t="s">
        <v>1192</v>
      </c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 spans="2:28" ht="15.75" customHeight="1">
      <c r="B246" s="42" t="s">
        <v>439</v>
      </c>
      <c r="C246" s="30" t="s">
        <v>1132</v>
      </c>
      <c r="D246" s="32">
        <v>2352490000</v>
      </c>
      <c r="E246" s="32">
        <v>2098322000</v>
      </c>
      <c r="F246" s="32">
        <v>2098322000</v>
      </c>
      <c r="G246" s="32">
        <v>2352490000</v>
      </c>
      <c r="H246" s="32">
        <v>2098322000</v>
      </c>
      <c r="I246" s="32">
        <v>2098322000</v>
      </c>
      <c r="J246" s="32">
        <v>1836206306</v>
      </c>
      <c r="K246" s="34">
        <v>1867138932</v>
      </c>
      <c r="L246" s="48" t="s">
        <v>1193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 spans="2:28" ht="15.75" customHeight="1">
      <c r="B247" s="42" t="s">
        <v>278</v>
      </c>
      <c r="C247" s="30" t="s">
        <v>1132</v>
      </c>
      <c r="D247" s="32">
        <v>1087450000</v>
      </c>
      <c r="E247" s="32">
        <v>823099900</v>
      </c>
      <c r="F247" s="32">
        <v>1257899900</v>
      </c>
      <c r="G247" s="32">
        <v>837450000</v>
      </c>
      <c r="H247" s="32">
        <v>563099900</v>
      </c>
      <c r="I247" s="32">
        <v>1071899900</v>
      </c>
      <c r="J247" s="32">
        <v>1071899900</v>
      </c>
      <c r="K247" s="34">
        <v>1071899900</v>
      </c>
      <c r="L247" s="48" t="s">
        <v>1194</v>
      </c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 spans="2:28" ht="15.75" customHeight="1">
      <c r="B248" s="42" t="s">
        <v>280</v>
      </c>
      <c r="C248" s="30" t="s">
        <v>1132</v>
      </c>
      <c r="D248" s="32">
        <v>185000000</v>
      </c>
      <c r="E248" s="32">
        <v>123000000</v>
      </c>
      <c r="F248" s="32">
        <v>80000000</v>
      </c>
      <c r="G248" s="32">
        <v>185000000</v>
      </c>
      <c r="H248" s="32">
        <v>123000000</v>
      </c>
      <c r="I248" s="32">
        <v>80000000</v>
      </c>
      <c r="J248" s="32">
        <v>79082742</v>
      </c>
      <c r="K248" s="34">
        <v>79082742</v>
      </c>
      <c r="L248" s="48" t="s">
        <v>1195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 spans="2:28" ht="15.75" customHeight="1">
      <c r="B249" s="42" t="s">
        <v>148</v>
      </c>
      <c r="C249" s="30" t="s">
        <v>1132</v>
      </c>
      <c r="D249" s="32">
        <v>2701000000</v>
      </c>
      <c r="E249" s="32">
        <v>2558082000</v>
      </c>
      <c r="F249" s="32">
        <v>2558082000</v>
      </c>
      <c r="G249" s="32">
        <v>2701000000</v>
      </c>
      <c r="H249" s="32">
        <v>1451689000</v>
      </c>
      <c r="I249" s="32">
        <v>1451689000</v>
      </c>
      <c r="J249" s="32">
        <v>1275621344</v>
      </c>
      <c r="K249" s="34">
        <v>1552537221</v>
      </c>
      <c r="L249" s="48" t="s">
        <v>1196</v>
      </c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 spans="2:28" ht="15.75" customHeight="1">
      <c r="B250" s="31" t="s">
        <v>1037</v>
      </c>
      <c r="C250" s="30" t="s">
        <v>1132</v>
      </c>
      <c r="D250" s="32">
        <v>40800000</v>
      </c>
      <c r="E250" s="32">
        <v>40800000</v>
      </c>
      <c r="F250" s="32">
        <v>40800000</v>
      </c>
      <c r="G250" s="32">
        <v>40800000</v>
      </c>
      <c r="H250" s="32">
        <v>40800000</v>
      </c>
      <c r="I250" s="32">
        <v>40800000</v>
      </c>
      <c r="J250" s="32">
        <v>14167795</v>
      </c>
      <c r="K250" s="34">
        <v>14167795</v>
      </c>
      <c r="L250" s="48" t="s">
        <v>1197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 spans="2:28" ht="15.75" customHeight="1">
      <c r="B251" s="31" t="s">
        <v>1038</v>
      </c>
      <c r="C251" s="30" t="s">
        <v>1132</v>
      </c>
      <c r="D251" s="32">
        <v>129000000</v>
      </c>
      <c r="E251" s="32">
        <v>129000000</v>
      </c>
      <c r="F251" s="32">
        <v>49000000</v>
      </c>
      <c r="G251" s="32">
        <v>129000000</v>
      </c>
      <c r="H251" s="32">
        <v>129000000</v>
      </c>
      <c r="I251" s="32">
        <v>49000000</v>
      </c>
      <c r="J251" s="32">
        <v>22926593</v>
      </c>
      <c r="K251" s="34">
        <v>39724605</v>
      </c>
      <c r="L251" s="48" t="s">
        <v>1198</v>
      </c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 spans="2:28" ht="15.75" customHeight="1">
      <c r="B252" s="31" t="s">
        <v>1042</v>
      </c>
      <c r="C252" s="30" t="s">
        <v>1132</v>
      </c>
      <c r="D252" s="32">
        <v>150000000</v>
      </c>
      <c r="E252" s="32">
        <v>75000000</v>
      </c>
      <c r="F252" s="32">
        <v>75000000</v>
      </c>
      <c r="G252" s="32">
        <v>150000000</v>
      </c>
      <c r="H252" s="32">
        <v>75000000</v>
      </c>
      <c r="I252" s="32">
        <v>75000000</v>
      </c>
      <c r="J252" s="32">
        <v>70879952</v>
      </c>
      <c r="K252" s="34">
        <v>70879951</v>
      </c>
      <c r="L252" s="48" t="s">
        <v>1199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 spans="2:28" ht="15.75" customHeight="1">
      <c r="B253" s="31" t="s">
        <v>1043</v>
      </c>
      <c r="C253" s="30" t="s">
        <v>1132</v>
      </c>
      <c r="D253" s="32">
        <v>2065550000</v>
      </c>
      <c r="E253" s="32">
        <v>3565550000</v>
      </c>
      <c r="F253" s="32">
        <v>2865550000</v>
      </c>
      <c r="G253" s="32">
        <v>2065550000</v>
      </c>
      <c r="H253" s="32">
        <v>3565550000</v>
      </c>
      <c r="I253" s="32">
        <v>2865550000</v>
      </c>
      <c r="J253" s="32">
        <v>2448571231</v>
      </c>
      <c r="K253" s="34">
        <v>2523835398</v>
      </c>
      <c r="L253" s="48" t="s">
        <v>1200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 spans="2:28" ht="15.75" customHeight="1">
      <c r="B254" s="31" t="s">
        <v>1044</v>
      </c>
      <c r="C254" s="30" t="s">
        <v>1132</v>
      </c>
      <c r="D254" s="32">
        <v>19280000</v>
      </c>
      <c r="E254" s="32">
        <v>19280000</v>
      </c>
      <c r="F254" s="32">
        <v>19280000</v>
      </c>
      <c r="G254" s="32">
        <v>19280000</v>
      </c>
      <c r="H254" s="32">
        <v>19280000</v>
      </c>
      <c r="I254" s="32">
        <v>19280000</v>
      </c>
      <c r="J254" s="32">
        <v>19279999</v>
      </c>
      <c r="K254" s="34">
        <v>19279998</v>
      </c>
      <c r="L254" s="48" t="s">
        <v>1201</v>
      </c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 spans="2:28" ht="15.75" customHeight="1">
      <c r="B255" s="31" t="s">
        <v>1045</v>
      </c>
      <c r="C255" s="30" t="s">
        <v>1132</v>
      </c>
      <c r="D255" s="32">
        <v>600000000</v>
      </c>
      <c r="E255" s="32">
        <v>640000000</v>
      </c>
      <c r="F255" s="32">
        <v>240000000</v>
      </c>
      <c r="G255" s="32">
        <v>600000000</v>
      </c>
      <c r="H255" s="32">
        <v>600000000</v>
      </c>
      <c r="I255" s="32">
        <v>200000000</v>
      </c>
      <c r="J255" s="42"/>
      <c r="K255" s="34">
        <v>20377677</v>
      </c>
      <c r="L255" s="48" t="s">
        <v>1202</v>
      </c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spans="2:28" ht="15.75" customHeight="1">
      <c r="B256" s="31" t="s">
        <v>188</v>
      </c>
      <c r="C256" s="30" t="s">
        <v>1132</v>
      </c>
      <c r="D256" s="32">
        <v>146670000</v>
      </c>
      <c r="E256" s="32">
        <v>196670000</v>
      </c>
      <c r="F256" s="32">
        <v>196670000</v>
      </c>
      <c r="G256" s="32">
        <v>146670000</v>
      </c>
      <c r="H256" s="32">
        <v>196670000</v>
      </c>
      <c r="I256" s="32">
        <v>196670000</v>
      </c>
      <c r="J256" s="32">
        <v>196670000</v>
      </c>
      <c r="K256" s="34">
        <v>196553535</v>
      </c>
      <c r="L256" s="48" t="s">
        <v>1203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 spans="2:28" ht="15.75" customHeight="1">
      <c r="B257" s="31" t="s">
        <v>1047</v>
      </c>
      <c r="C257" s="30" t="s">
        <v>1132</v>
      </c>
      <c r="D257" s="32">
        <v>5000000</v>
      </c>
      <c r="E257" s="32">
        <v>5000000</v>
      </c>
      <c r="F257" s="32">
        <v>2874000</v>
      </c>
      <c r="G257" s="32">
        <v>5000000</v>
      </c>
      <c r="H257" s="32">
        <v>5000000</v>
      </c>
      <c r="I257" s="32">
        <v>2874000</v>
      </c>
      <c r="J257" s="42"/>
      <c r="K257" s="49"/>
      <c r="L257" s="48" t="s">
        <v>1204</v>
      </c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spans="2:28" ht="15.75" customHeight="1">
      <c r="B258" s="30" t="s">
        <v>468</v>
      </c>
      <c r="C258" s="30" t="s">
        <v>1132</v>
      </c>
      <c r="D258" s="38">
        <v>633308563243</v>
      </c>
      <c r="E258" s="38">
        <v>696574972469</v>
      </c>
      <c r="F258" s="38">
        <v>705925895150</v>
      </c>
      <c r="G258" s="38">
        <v>356768980901</v>
      </c>
      <c r="H258" s="38">
        <v>401416374151</v>
      </c>
      <c r="I258" s="38">
        <v>408838222335</v>
      </c>
      <c r="J258" s="38">
        <v>372485625698</v>
      </c>
      <c r="K258" s="39">
        <v>561521690504</v>
      </c>
      <c r="L258" s="50" t="s">
        <v>1205</v>
      </c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spans="2:28" ht="15.75" customHeight="1">
      <c r="B259" s="35"/>
      <c r="C259" s="35"/>
      <c r="D259" s="40"/>
      <c r="E259" s="40"/>
      <c r="F259" s="40"/>
      <c r="G259" s="40"/>
      <c r="H259" s="40"/>
      <c r="I259" s="40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 spans="2:28" ht="15.75" customHeight="1">
      <c r="B260" s="30"/>
      <c r="C260" s="30"/>
      <c r="D260" s="40"/>
      <c r="E260" s="40"/>
      <c r="F260" s="40"/>
      <c r="G260" s="40"/>
      <c r="I260" s="40"/>
      <c r="J260" s="40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 spans="2:28" ht="15.75" customHeight="1">
      <c r="B261" s="47" t="s">
        <v>1065</v>
      </c>
      <c r="C261" s="47"/>
      <c r="D261" s="47" t="s">
        <v>1066</v>
      </c>
      <c r="E261" s="47" t="s">
        <v>1206</v>
      </c>
      <c r="F261" s="47" t="s">
        <v>1207</v>
      </c>
      <c r="I261" s="47" t="s">
        <v>1071</v>
      </c>
      <c r="J261" s="47" t="s">
        <v>1208</v>
      </c>
      <c r="K261" s="47" t="s">
        <v>1209</v>
      </c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2:28" ht="15.75" customHeight="1">
      <c r="B262" s="31" t="s">
        <v>976</v>
      </c>
      <c r="C262" s="30" t="s">
        <v>470</v>
      </c>
      <c r="D262" s="32">
        <v>2337271996</v>
      </c>
      <c r="E262" s="32">
        <v>4874725406</v>
      </c>
      <c r="F262" s="32">
        <v>2240175996</v>
      </c>
      <c r="I262" s="32">
        <v>3527029406</v>
      </c>
      <c r="J262" s="32">
        <v>1903612232</v>
      </c>
      <c r="K262" s="36">
        <v>2657072711</v>
      </c>
      <c r="L262" s="48" t="s">
        <v>1210</v>
      </c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spans="2:28" ht="15.75" customHeight="1">
      <c r="B263" s="42" t="s">
        <v>202</v>
      </c>
      <c r="C263" s="30" t="s">
        <v>470</v>
      </c>
      <c r="D263" s="32">
        <v>10097176163</v>
      </c>
      <c r="E263" s="32">
        <v>8714643485</v>
      </c>
      <c r="F263" s="32">
        <v>10047176163</v>
      </c>
      <c r="I263" s="32">
        <v>8664643485</v>
      </c>
      <c r="J263" s="32">
        <v>8556619109</v>
      </c>
      <c r="K263" s="51">
        <v>9906424948</v>
      </c>
      <c r="L263" s="48" t="s">
        <v>1211</v>
      </c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spans="2:28" ht="15.75" customHeight="1">
      <c r="B264" s="42" t="s">
        <v>54</v>
      </c>
      <c r="C264" s="30" t="s">
        <v>470</v>
      </c>
      <c r="D264" s="32">
        <v>957521941</v>
      </c>
      <c r="E264" s="32">
        <v>78096805</v>
      </c>
      <c r="F264" s="32">
        <v>957521941</v>
      </c>
      <c r="I264" s="32">
        <v>78096805</v>
      </c>
      <c r="J264" s="32">
        <v>22405596</v>
      </c>
      <c r="K264" s="36">
        <v>29524506</v>
      </c>
      <c r="L264" s="48" t="s">
        <v>1212</v>
      </c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spans="2:28" ht="15.75" customHeight="1">
      <c r="B265" s="42" t="s">
        <v>56</v>
      </c>
      <c r="C265" s="30" t="s">
        <v>470</v>
      </c>
      <c r="D265" s="32">
        <v>1390300000</v>
      </c>
      <c r="E265" s="32">
        <v>651200000</v>
      </c>
      <c r="F265" s="32">
        <v>1390300000</v>
      </c>
      <c r="I265" s="32">
        <v>651200000</v>
      </c>
      <c r="J265" s="32">
        <v>649897937</v>
      </c>
      <c r="K265" s="36">
        <v>572644948</v>
      </c>
      <c r="L265" s="48" t="s">
        <v>1213</v>
      </c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spans="2:28" ht="15.75" customHeight="1">
      <c r="B266" s="42" t="s">
        <v>207</v>
      </c>
      <c r="C266" s="30" t="s">
        <v>470</v>
      </c>
      <c r="D266" s="32">
        <v>7400999933</v>
      </c>
      <c r="E266" s="32">
        <v>2819898583</v>
      </c>
      <c r="F266" s="32">
        <v>7400999933</v>
      </c>
      <c r="I266" s="32">
        <v>1087898583</v>
      </c>
      <c r="J266" s="32">
        <v>883145694</v>
      </c>
      <c r="K266" s="36">
        <v>933984414</v>
      </c>
      <c r="L266" s="48" t="s">
        <v>1214</v>
      </c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spans="2:28" ht="15.75" customHeight="1">
      <c r="B267" s="42" t="s">
        <v>313</v>
      </c>
      <c r="C267" s="30" t="s">
        <v>470</v>
      </c>
      <c r="D267" s="11">
        <v>3860122570</v>
      </c>
      <c r="E267" s="32">
        <v>5766578492</v>
      </c>
      <c r="F267" s="32">
        <v>3762122570</v>
      </c>
      <c r="I267" s="32">
        <v>5668578492</v>
      </c>
      <c r="J267" s="32">
        <v>4820724105</v>
      </c>
      <c r="K267" s="36">
        <v>4819215745</v>
      </c>
      <c r="L267" s="48" t="s">
        <v>1215</v>
      </c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spans="2:28" ht="15.75" customHeight="1">
      <c r="B268" s="31" t="s">
        <v>987</v>
      </c>
      <c r="C268" s="30" t="s">
        <v>470</v>
      </c>
      <c r="D268" s="32">
        <v>17079049600</v>
      </c>
      <c r="E268" s="32">
        <v>9644150058</v>
      </c>
      <c r="F268" s="32">
        <v>4000000000</v>
      </c>
      <c r="I268" s="32">
        <v>3000000000</v>
      </c>
      <c r="J268" s="32">
        <v>2183080282</v>
      </c>
      <c r="K268" s="36">
        <v>8047904253</v>
      </c>
      <c r="L268" s="48" t="s">
        <v>1216</v>
      </c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spans="2:28" ht="15.75" customHeight="1">
      <c r="B269" s="42" t="s">
        <v>639</v>
      </c>
      <c r="C269" s="30" t="s">
        <v>470</v>
      </c>
      <c r="D269" s="32">
        <v>1957700000</v>
      </c>
      <c r="E269" s="32">
        <v>1150600000</v>
      </c>
      <c r="F269" s="32">
        <v>1957700000</v>
      </c>
      <c r="I269" s="32">
        <v>1150600000</v>
      </c>
      <c r="J269" s="32">
        <v>1040211415</v>
      </c>
      <c r="K269" s="36">
        <v>1113674000</v>
      </c>
      <c r="L269" s="48" t="s">
        <v>1217</v>
      </c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spans="2:28" ht="15.75" customHeight="1">
      <c r="B270" s="42" t="s">
        <v>72</v>
      </c>
      <c r="C270" s="30" t="s">
        <v>470</v>
      </c>
      <c r="D270" s="11">
        <v>9178600000</v>
      </c>
      <c r="E270" s="32">
        <v>6946445641</v>
      </c>
      <c r="F270" s="32">
        <v>4578600000</v>
      </c>
      <c r="I270" s="32">
        <v>2446445641</v>
      </c>
      <c r="J270" s="32">
        <v>893676180</v>
      </c>
      <c r="K270" s="36">
        <v>6855047269</v>
      </c>
      <c r="L270" s="48" t="s">
        <v>1218</v>
      </c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spans="2:28" ht="15.75" customHeight="1">
      <c r="B271" s="31" t="s">
        <v>217</v>
      </c>
      <c r="C271" s="30" t="s">
        <v>470</v>
      </c>
      <c r="D271" s="11">
        <v>9238700000</v>
      </c>
      <c r="E271" s="32">
        <v>6622205428</v>
      </c>
      <c r="F271" s="32">
        <v>8536700000</v>
      </c>
      <c r="I271" s="32">
        <v>6208165428</v>
      </c>
      <c r="J271" s="32">
        <v>5935668209</v>
      </c>
      <c r="K271" s="36">
        <v>6390173147</v>
      </c>
      <c r="L271" s="48" t="s">
        <v>1219</v>
      </c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spans="2:28" ht="15.75" customHeight="1">
      <c r="B272" s="42" t="s">
        <v>219</v>
      </c>
      <c r="C272" s="30" t="s">
        <v>470</v>
      </c>
      <c r="D272" s="11">
        <v>7063880993</v>
      </c>
      <c r="E272" s="32">
        <v>7063880993</v>
      </c>
      <c r="F272" s="32">
        <v>7001669353</v>
      </c>
      <c r="I272" s="32">
        <v>4425686212</v>
      </c>
      <c r="J272" s="32">
        <v>2531783070</v>
      </c>
      <c r="K272" s="36">
        <v>3383841110</v>
      </c>
      <c r="L272" s="48" t="s">
        <v>1220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spans="2:22" ht="15.75" customHeight="1">
      <c r="B273" s="31" t="s">
        <v>995</v>
      </c>
      <c r="C273" s="30" t="s">
        <v>470</v>
      </c>
      <c r="D273" s="11">
        <v>37270584851</v>
      </c>
      <c r="E273" s="32">
        <v>20329631780</v>
      </c>
      <c r="F273" s="32">
        <v>29366991724</v>
      </c>
      <c r="I273" s="32">
        <v>16257769183</v>
      </c>
      <c r="J273" s="32">
        <v>15623957292</v>
      </c>
      <c r="K273" s="36">
        <v>17577879017</v>
      </c>
      <c r="L273" s="48" t="s">
        <v>1221</v>
      </c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spans="2:22" ht="15.75" customHeight="1">
      <c r="B274" s="42" t="s">
        <v>226</v>
      </c>
      <c r="C274" s="30" t="s">
        <v>470</v>
      </c>
      <c r="D274" s="11">
        <v>43961301426</v>
      </c>
      <c r="E274" s="32">
        <v>43562758968</v>
      </c>
      <c r="F274" s="32">
        <v>43876900416</v>
      </c>
      <c r="I274" s="32">
        <v>43505473358</v>
      </c>
      <c r="J274" s="32">
        <v>29389638659</v>
      </c>
      <c r="K274" s="36">
        <v>29391334747</v>
      </c>
      <c r="L274" s="48" t="s">
        <v>1222</v>
      </c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spans="2:22" ht="15.75" customHeight="1">
      <c r="B275" s="42" t="s">
        <v>228</v>
      </c>
      <c r="C275" s="30" t="s">
        <v>470</v>
      </c>
      <c r="D275" s="11">
        <v>34640680042</v>
      </c>
      <c r="E275" s="32">
        <v>43760941761</v>
      </c>
      <c r="F275" s="32">
        <v>29232222042</v>
      </c>
      <c r="I275" s="32">
        <v>34448303696</v>
      </c>
      <c r="J275" s="32">
        <v>30444484595</v>
      </c>
      <c r="K275" s="36">
        <v>38751336256</v>
      </c>
      <c r="L275" s="48" t="s">
        <v>1223</v>
      </c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spans="2:22" ht="15.75" customHeight="1">
      <c r="B276" s="42" t="s">
        <v>232</v>
      </c>
      <c r="C276" s="30" t="s">
        <v>470</v>
      </c>
      <c r="D276" s="11">
        <v>124965600000</v>
      </c>
      <c r="E276" s="32">
        <v>178935979412</v>
      </c>
      <c r="F276" s="32">
        <v>69173429179</v>
      </c>
      <c r="I276" s="32">
        <v>123143808591</v>
      </c>
      <c r="J276" s="32">
        <v>118840130075</v>
      </c>
      <c r="K276" s="52">
        <v>158307000000</v>
      </c>
      <c r="L276" s="48" t="s">
        <v>1224</v>
      </c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 spans="2:22" ht="15.75" customHeight="1">
      <c r="B277" s="31" t="s">
        <v>327</v>
      </c>
      <c r="C277" s="30" t="s">
        <v>470</v>
      </c>
      <c r="D277" s="11">
        <v>84010000000</v>
      </c>
      <c r="E277" s="32">
        <v>94198490755</v>
      </c>
      <c r="F277" s="32">
        <v>13561000000</v>
      </c>
      <c r="I277" s="32">
        <v>26065803944</v>
      </c>
      <c r="J277" s="11">
        <v>24952367712</v>
      </c>
      <c r="K277" s="36">
        <v>93475869198</v>
      </c>
      <c r="L277" s="48" t="s">
        <v>1225</v>
      </c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 spans="2:22" ht="15.75" customHeight="1">
      <c r="B278" s="42" t="s">
        <v>329</v>
      </c>
      <c r="C278" s="30" t="s">
        <v>470</v>
      </c>
      <c r="D278" s="32">
        <v>740000000</v>
      </c>
      <c r="E278" s="32">
        <v>568261000</v>
      </c>
      <c r="F278" s="32">
        <v>2000000</v>
      </c>
      <c r="I278" s="32">
        <v>2000000</v>
      </c>
      <c r="J278" s="42"/>
      <c r="K278" s="36">
        <v>153341616</v>
      </c>
      <c r="L278" s="48" t="s">
        <v>1226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 spans="2:22" ht="15.75" customHeight="1">
      <c r="B279" s="42" t="s">
        <v>331</v>
      </c>
      <c r="C279" s="30" t="s">
        <v>470</v>
      </c>
      <c r="D279" s="32">
        <v>30519000000</v>
      </c>
      <c r="E279" s="32">
        <v>27851393736</v>
      </c>
      <c r="F279" s="11">
        <v>27039000000</v>
      </c>
      <c r="I279" s="32">
        <v>13919393736</v>
      </c>
      <c r="J279" s="32">
        <v>12211392592</v>
      </c>
      <c r="K279" s="36">
        <v>24930203515</v>
      </c>
      <c r="L279" s="48" t="s">
        <v>1227</v>
      </c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 spans="2:22" ht="15.75" customHeight="1">
      <c r="B280" s="42" t="s">
        <v>93</v>
      </c>
      <c r="C280" s="30" t="s">
        <v>470</v>
      </c>
      <c r="D280" s="32">
        <v>2103000000</v>
      </c>
      <c r="E280" s="32">
        <v>1385651955</v>
      </c>
      <c r="F280" s="32">
        <v>1935000000</v>
      </c>
      <c r="I280" s="32">
        <v>1217651955</v>
      </c>
      <c r="J280" s="32">
        <v>1217651955</v>
      </c>
      <c r="K280" s="36">
        <v>1081825979</v>
      </c>
      <c r="L280" s="48" t="s">
        <v>1228</v>
      </c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spans="2:22" ht="15.75" customHeight="1">
      <c r="B281" s="42" t="s">
        <v>1092</v>
      </c>
      <c r="C281" s="30" t="s">
        <v>470</v>
      </c>
      <c r="D281" s="11">
        <v>56971887900</v>
      </c>
      <c r="E281" s="32">
        <v>55350538995</v>
      </c>
      <c r="F281" s="11">
        <v>29537350000</v>
      </c>
      <c r="I281" s="32">
        <v>32684617942</v>
      </c>
      <c r="J281" s="32">
        <v>26408465124</v>
      </c>
      <c r="K281" s="36">
        <v>49644100185</v>
      </c>
      <c r="L281" s="48" t="s">
        <v>1229</v>
      </c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 spans="2:22" ht="15.75" customHeight="1">
      <c r="B282" s="31" t="s">
        <v>336</v>
      </c>
      <c r="C282" s="30" t="s">
        <v>470</v>
      </c>
      <c r="D282" s="11">
        <v>7200443400</v>
      </c>
      <c r="E282" s="32">
        <v>3655190900</v>
      </c>
      <c r="F282" s="32">
        <v>4886443400</v>
      </c>
      <c r="I282" s="32">
        <v>3515190900</v>
      </c>
      <c r="J282" s="32">
        <v>1959554594</v>
      </c>
      <c r="K282" s="36">
        <v>2403140429</v>
      </c>
      <c r="L282" s="48" t="s">
        <v>1230</v>
      </c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 spans="2:22" ht="15.75" customHeight="1">
      <c r="B283" s="42" t="s">
        <v>244</v>
      </c>
      <c r="C283" s="30" t="s">
        <v>470</v>
      </c>
      <c r="D283" s="32">
        <v>3597600000</v>
      </c>
      <c r="E283" s="32">
        <v>4514970000</v>
      </c>
      <c r="F283" s="32">
        <v>3597600000</v>
      </c>
      <c r="I283" s="32">
        <v>4514970000</v>
      </c>
      <c r="J283" s="32">
        <v>4024327769</v>
      </c>
      <c r="K283" s="36">
        <v>3965372806</v>
      </c>
      <c r="L283" s="48" t="s">
        <v>1231</v>
      </c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 spans="2:22" ht="15.75" customHeight="1">
      <c r="B284" s="42" t="s">
        <v>339</v>
      </c>
      <c r="C284" s="30" t="s">
        <v>470</v>
      </c>
      <c r="D284" s="11">
        <v>25191000000</v>
      </c>
      <c r="E284" s="32">
        <v>18899620327</v>
      </c>
      <c r="F284" s="32">
        <v>7930000000</v>
      </c>
      <c r="I284" s="32">
        <v>6959890760</v>
      </c>
      <c r="J284" s="32">
        <v>3404583320</v>
      </c>
      <c r="K284" s="51">
        <v>17079208547</v>
      </c>
      <c r="L284" s="48" t="s">
        <v>1232</v>
      </c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 spans="2:22" ht="15.75" customHeight="1">
      <c r="B285" s="42" t="s">
        <v>419</v>
      </c>
      <c r="C285" s="30" t="s">
        <v>470</v>
      </c>
      <c r="D285" s="32">
        <v>747000000</v>
      </c>
      <c r="E285" s="32">
        <v>531143905</v>
      </c>
      <c r="F285" s="32">
        <v>747000000</v>
      </c>
      <c r="I285" s="32">
        <v>531143905</v>
      </c>
      <c r="J285" s="32">
        <v>514774815</v>
      </c>
      <c r="K285" s="36">
        <v>537484685</v>
      </c>
      <c r="L285" s="48" t="s">
        <v>1233</v>
      </c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 spans="2:22" ht="15.75" customHeight="1">
      <c r="B286" s="42" t="s">
        <v>105</v>
      </c>
      <c r="C286" s="30" t="s">
        <v>470</v>
      </c>
      <c r="D286" s="11">
        <v>13900000000</v>
      </c>
      <c r="E286" s="32">
        <v>13650000000</v>
      </c>
      <c r="F286" s="32">
        <v>700000000</v>
      </c>
      <c r="I286" s="32">
        <v>450000000</v>
      </c>
      <c r="J286" s="32">
        <v>350000000</v>
      </c>
      <c r="K286" s="36">
        <v>5123837010</v>
      </c>
      <c r="L286" s="48" t="s">
        <v>1234</v>
      </c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 spans="2:22" ht="15.75" customHeight="1">
      <c r="B287" s="31" t="s">
        <v>107</v>
      </c>
      <c r="C287" s="30" t="s">
        <v>470</v>
      </c>
      <c r="D287" s="32">
        <v>552000000</v>
      </c>
      <c r="E287" s="32">
        <v>503202891</v>
      </c>
      <c r="F287" s="32">
        <v>552000000</v>
      </c>
      <c r="I287" s="32">
        <v>503202891</v>
      </c>
      <c r="J287" s="32">
        <v>484459341</v>
      </c>
      <c r="K287" s="34">
        <v>501640407</v>
      </c>
      <c r="L287" s="48" t="s">
        <v>1235</v>
      </c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 spans="2:22" ht="15.75" customHeight="1">
      <c r="B288" s="42" t="s">
        <v>816</v>
      </c>
      <c r="C288" s="30" t="s">
        <v>470</v>
      </c>
      <c r="D288" s="11">
        <v>71667000000</v>
      </c>
      <c r="E288" s="32">
        <v>55763101596</v>
      </c>
      <c r="F288" s="32">
        <v>25884000000</v>
      </c>
      <c r="I288" s="32">
        <v>19587154344</v>
      </c>
      <c r="J288" s="11">
        <v>18552611338</v>
      </c>
      <c r="K288" s="34">
        <v>47351319179</v>
      </c>
      <c r="L288" s="48" t="s">
        <v>1236</v>
      </c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 spans="2:28" ht="15.75" customHeight="1">
      <c r="B289" s="42" t="s">
        <v>252</v>
      </c>
      <c r="C289" s="30" t="s">
        <v>470</v>
      </c>
      <c r="D289" s="32">
        <v>4848200000</v>
      </c>
      <c r="E289" s="32">
        <v>4368777892</v>
      </c>
      <c r="F289" s="11">
        <v>3617962338</v>
      </c>
      <c r="I289" s="32">
        <v>3645794610</v>
      </c>
      <c r="J289" s="32">
        <v>3214564164</v>
      </c>
      <c r="K289" s="34">
        <v>4033462331</v>
      </c>
      <c r="L289" s="48" t="s">
        <v>1237</v>
      </c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 spans="2:28" ht="15.75" customHeight="1">
      <c r="B290" s="31" t="s">
        <v>1061</v>
      </c>
      <c r="C290" s="30" t="s">
        <v>470</v>
      </c>
      <c r="D290" s="11">
        <v>18046800000</v>
      </c>
      <c r="E290" s="32">
        <v>22511929308</v>
      </c>
      <c r="F290" s="32">
        <v>14947885639</v>
      </c>
      <c r="I290" s="32">
        <v>11224759149</v>
      </c>
      <c r="J290" s="32">
        <v>10203913782</v>
      </c>
      <c r="K290" s="34">
        <v>15642208714</v>
      </c>
      <c r="L290" s="48" t="s">
        <v>1238</v>
      </c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 spans="2:28" ht="15.75" customHeight="1">
      <c r="B291" s="42" t="s">
        <v>255</v>
      </c>
      <c r="C291" s="30" t="s">
        <v>470</v>
      </c>
      <c r="D291" s="32">
        <v>4894876955</v>
      </c>
      <c r="E291" s="32">
        <v>3130709916</v>
      </c>
      <c r="F291" s="32">
        <v>4723203852</v>
      </c>
      <c r="I291" s="32">
        <v>2959036813</v>
      </c>
      <c r="J291" s="32">
        <v>2372317542</v>
      </c>
      <c r="K291" s="34">
        <v>2029077083</v>
      </c>
      <c r="L291" s="48" t="s">
        <v>1239</v>
      </c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 spans="2:28" ht="15.75" customHeight="1">
      <c r="B292" s="42" t="s">
        <v>95</v>
      </c>
      <c r="C292" s="30" t="s">
        <v>470</v>
      </c>
      <c r="D292" s="11">
        <v>8499606674</v>
      </c>
      <c r="E292" s="32">
        <v>7914606674</v>
      </c>
      <c r="F292" s="11">
        <v>6637050000</v>
      </c>
      <c r="I292" s="32">
        <v>6052050000</v>
      </c>
      <c r="J292" s="32">
        <v>5757038479</v>
      </c>
      <c r="K292" s="34">
        <v>7875072539</v>
      </c>
      <c r="L292" s="48" t="s">
        <v>1240</v>
      </c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 spans="2:28" ht="15.75" customHeight="1">
      <c r="B293" s="42" t="s">
        <v>506</v>
      </c>
      <c r="C293" s="30" t="s">
        <v>470</v>
      </c>
      <c r="D293" s="32">
        <v>795000000</v>
      </c>
      <c r="E293" s="32">
        <v>639699600</v>
      </c>
      <c r="F293" s="32">
        <v>750000000</v>
      </c>
      <c r="I293" s="32">
        <v>594699600</v>
      </c>
      <c r="J293" s="32">
        <v>344600300</v>
      </c>
      <c r="K293" s="34">
        <v>353972000</v>
      </c>
      <c r="L293" s="48" t="s">
        <v>1241</v>
      </c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 spans="2:28" ht="15.75" customHeight="1">
      <c r="B294" s="42" t="s">
        <v>119</v>
      </c>
      <c r="C294" s="30" t="s">
        <v>470</v>
      </c>
      <c r="D294" s="11">
        <v>3727500000</v>
      </c>
      <c r="E294" s="32">
        <v>4572500000</v>
      </c>
      <c r="F294" s="32">
        <v>3727500000</v>
      </c>
      <c r="I294" s="32">
        <v>4572500000</v>
      </c>
      <c r="J294" s="32">
        <v>4517819583</v>
      </c>
      <c r="K294" s="34">
        <v>4517175264</v>
      </c>
      <c r="L294" s="48" t="s">
        <v>1242</v>
      </c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 spans="2:28" ht="15.75" customHeight="1">
      <c r="B295" s="42" t="s">
        <v>121</v>
      </c>
      <c r="C295" s="30" t="s">
        <v>470</v>
      </c>
      <c r="D295" s="32">
        <v>460000000</v>
      </c>
      <c r="E295" s="32">
        <v>1120000000</v>
      </c>
      <c r="F295" s="32">
        <v>460000000</v>
      </c>
      <c r="I295" s="32">
        <v>1120000000</v>
      </c>
      <c r="J295" s="32">
        <v>1063491060</v>
      </c>
      <c r="K295" s="34">
        <v>950582513</v>
      </c>
      <c r="L295" s="48" t="s">
        <v>1243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 spans="2:28" ht="15.75" customHeight="1">
      <c r="B296" s="42" t="s">
        <v>262</v>
      </c>
      <c r="C296" s="30" t="s">
        <v>470</v>
      </c>
      <c r="D296" s="11">
        <v>5915000000</v>
      </c>
      <c r="E296" s="32">
        <v>7769966089</v>
      </c>
      <c r="F296" s="32">
        <v>4761000000</v>
      </c>
      <c r="I296" s="32">
        <v>7165966089</v>
      </c>
      <c r="J296" s="32">
        <v>6548558717</v>
      </c>
      <c r="K296" s="34">
        <v>6083721337</v>
      </c>
      <c r="L296" s="48" t="s">
        <v>1244</v>
      </c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 spans="2:28" ht="15.75" customHeight="1">
      <c r="B297" s="42" t="s">
        <v>264</v>
      </c>
      <c r="C297" s="30" t="s">
        <v>470</v>
      </c>
      <c r="D297" s="32">
        <v>3290100000</v>
      </c>
      <c r="E297" s="32">
        <v>1441660000</v>
      </c>
      <c r="F297" s="32">
        <v>3090100000</v>
      </c>
      <c r="I297" s="32">
        <v>1441660000</v>
      </c>
      <c r="J297" s="32">
        <v>1162203641</v>
      </c>
      <c r="K297" s="34">
        <v>1177373744</v>
      </c>
      <c r="L297" s="48" t="s">
        <v>1245</v>
      </c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 spans="2:28" ht="15.75" customHeight="1">
      <c r="B298" s="42" t="s">
        <v>1111</v>
      </c>
      <c r="C298" s="30" t="s">
        <v>470</v>
      </c>
      <c r="D298" s="32">
        <v>14487319200</v>
      </c>
      <c r="E298" s="32">
        <v>14122309200</v>
      </c>
      <c r="F298" s="32">
        <v>14047750000</v>
      </c>
      <c r="I298" s="32">
        <v>13682740000</v>
      </c>
      <c r="J298" s="32">
        <v>12197266086</v>
      </c>
      <c r="K298" s="34">
        <v>12651940950</v>
      </c>
      <c r="L298" s="48" t="s">
        <v>1246</v>
      </c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 spans="2:28" ht="15.75" customHeight="1">
      <c r="B299" s="42" t="s">
        <v>133</v>
      </c>
      <c r="C299" s="30" t="s">
        <v>470</v>
      </c>
      <c r="D299" s="32">
        <v>574000000</v>
      </c>
      <c r="E299" s="32">
        <v>332521918</v>
      </c>
      <c r="F299" s="32">
        <v>574000000</v>
      </c>
      <c r="I299" s="32">
        <v>332521918</v>
      </c>
      <c r="J299" s="32">
        <v>332521917</v>
      </c>
      <c r="K299" s="34">
        <v>330864650</v>
      </c>
      <c r="L299" s="48" t="s">
        <v>1247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 spans="2:28" ht="15.75" customHeight="1">
      <c r="B300" s="42" t="s">
        <v>135</v>
      </c>
      <c r="C300" s="30" t="s">
        <v>470</v>
      </c>
      <c r="D300" s="32">
        <v>5438102900</v>
      </c>
      <c r="E300" s="32">
        <v>3041893900</v>
      </c>
      <c r="F300" s="32">
        <v>2350049800</v>
      </c>
      <c r="I300" s="32">
        <v>753849800</v>
      </c>
      <c r="J300" s="32">
        <v>668162117</v>
      </c>
      <c r="K300" s="34">
        <v>2363421019</v>
      </c>
      <c r="L300" s="48" t="s">
        <v>1248</v>
      </c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 spans="2:28" ht="15.75" customHeight="1">
      <c r="B301" s="42" t="s">
        <v>137</v>
      </c>
      <c r="C301" s="30" t="s">
        <v>470</v>
      </c>
      <c r="D301" s="32">
        <v>1530000000</v>
      </c>
      <c r="E301" s="32">
        <v>611000000</v>
      </c>
      <c r="F301" s="42"/>
      <c r="I301" s="32">
        <v>611000000</v>
      </c>
      <c r="J301" s="32">
        <v>609184509</v>
      </c>
      <c r="K301" s="34">
        <v>609184509</v>
      </c>
      <c r="L301" s="48" t="s">
        <v>1249</v>
      </c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 spans="2:28" ht="15.75" customHeight="1">
      <c r="B302" s="42" t="s">
        <v>139</v>
      </c>
      <c r="C302" s="30" t="s">
        <v>470</v>
      </c>
      <c r="D302" s="32">
        <v>1368000000</v>
      </c>
      <c r="E302" s="32">
        <v>1539478189</v>
      </c>
      <c r="F302" s="32">
        <v>1099000000</v>
      </c>
      <c r="I302" s="32">
        <v>1201478189</v>
      </c>
      <c r="J302" s="32">
        <v>516934989</v>
      </c>
      <c r="K302" s="34">
        <v>516909789</v>
      </c>
      <c r="L302" s="48" t="s">
        <v>1250</v>
      </c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 spans="2:28" ht="15.75" customHeight="1">
      <c r="B303" s="42" t="s">
        <v>275</v>
      </c>
      <c r="C303" s="30" t="s">
        <v>470</v>
      </c>
      <c r="D303" s="32">
        <v>2831652764</v>
      </c>
      <c r="E303" s="32">
        <v>2824652764</v>
      </c>
      <c r="F303" s="32">
        <v>2792000000</v>
      </c>
      <c r="I303" s="32">
        <v>2785000000</v>
      </c>
      <c r="J303" s="32">
        <v>2515700000</v>
      </c>
      <c r="K303" s="34">
        <v>2515700000</v>
      </c>
      <c r="L303" s="48" t="s">
        <v>1251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 spans="2:28" ht="15.75" customHeight="1">
      <c r="B304" s="42" t="s">
        <v>143</v>
      </c>
      <c r="C304" s="30" t="s">
        <v>470</v>
      </c>
      <c r="D304" s="11">
        <v>1497810000</v>
      </c>
      <c r="E304" s="32">
        <v>797810000</v>
      </c>
      <c r="F304" s="32">
        <v>1497810000</v>
      </c>
      <c r="I304" s="32">
        <v>797810000</v>
      </c>
      <c r="J304" s="32">
        <v>705513450</v>
      </c>
      <c r="K304" s="34">
        <v>713534114</v>
      </c>
      <c r="L304" s="48" t="s">
        <v>1252</v>
      </c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 spans="2:28" ht="15.75" customHeight="1">
      <c r="B305" s="42" t="s">
        <v>439</v>
      </c>
      <c r="C305" s="30" t="s">
        <v>470</v>
      </c>
      <c r="D305" s="11">
        <v>5959890000</v>
      </c>
      <c r="E305" s="32">
        <v>7953550000</v>
      </c>
      <c r="F305" s="32">
        <v>5959890000</v>
      </c>
      <c r="I305" s="32">
        <v>7953550000</v>
      </c>
      <c r="J305" s="32">
        <v>7578327478</v>
      </c>
      <c r="K305" s="34">
        <v>7896656417</v>
      </c>
      <c r="L305" s="48" t="s">
        <v>1253</v>
      </c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 spans="2:28" ht="15.75" customHeight="1">
      <c r="B306" s="42" t="s">
        <v>278</v>
      </c>
      <c r="C306" s="30" t="s">
        <v>470</v>
      </c>
      <c r="D306" s="11">
        <v>3242600000</v>
      </c>
      <c r="E306" s="32">
        <v>3689750000</v>
      </c>
      <c r="F306" s="32">
        <v>3142600000</v>
      </c>
      <c r="I306" s="32">
        <v>3489750000</v>
      </c>
      <c r="J306" s="32">
        <v>3489750000</v>
      </c>
      <c r="K306" s="34">
        <v>3489750000</v>
      </c>
      <c r="L306" s="48" t="s">
        <v>1254</v>
      </c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 spans="2:28" ht="15.75" customHeight="1">
      <c r="B307" s="42" t="s">
        <v>280</v>
      </c>
      <c r="C307" s="30" t="s">
        <v>470</v>
      </c>
      <c r="D307" s="32">
        <v>230000000</v>
      </c>
      <c r="E307" s="32">
        <v>277082000</v>
      </c>
      <c r="F307" s="32">
        <v>226000000</v>
      </c>
      <c r="I307" s="32">
        <v>172000000</v>
      </c>
      <c r="J307" s="32">
        <v>116699387</v>
      </c>
      <c r="K307" s="34">
        <v>120062050</v>
      </c>
      <c r="L307" s="48" t="s">
        <v>1255</v>
      </c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 spans="2:28" ht="15.75" customHeight="1">
      <c r="B308" s="42" t="s">
        <v>148</v>
      </c>
      <c r="C308" s="30" t="s">
        <v>470</v>
      </c>
      <c r="D308" s="32">
        <v>4390400000</v>
      </c>
      <c r="E308" s="32">
        <v>3166400000</v>
      </c>
      <c r="F308" s="32">
        <v>2890400000</v>
      </c>
      <c r="I308" s="32">
        <v>2066400000</v>
      </c>
      <c r="J308" s="32">
        <v>1389419253</v>
      </c>
      <c r="K308" s="34">
        <v>2516253613</v>
      </c>
      <c r="L308" s="48" t="s">
        <v>1256</v>
      </c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 spans="2:28" ht="15.75" customHeight="1">
      <c r="B309" s="31" t="s">
        <v>1037</v>
      </c>
      <c r="C309" s="30" t="s">
        <v>470</v>
      </c>
      <c r="D309" s="32">
        <v>25000000</v>
      </c>
      <c r="E309" s="42"/>
      <c r="F309" s="32">
        <v>25000000</v>
      </c>
      <c r="I309" s="42"/>
      <c r="J309" s="42"/>
      <c r="K309" s="49"/>
      <c r="L309" s="48" t="s">
        <v>1257</v>
      </c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 spans="2:28" ht="15.75" customHeight="1">
      <c r="B310" s="31" t="s">
        <v>1038</v>
      </c>
      <c r="C310" s="30" t="s">
        <v>470</v>
      </c>
      <c r="D310" s="32">
        <v>107500000</v>
      </c>
      <c r="E310" s="32">
        <v>17500000</v>
      </c>
      <c r="F310" s="32">
        <v>104000000</v>
      </c>
      <c r="I310" s="32">
        <v>14000000</v>
      </c>
      <c r="J310" s="32">
        <v>11787160</v>
      </c>
      <c r="K310" s="34">
        <v>8585160</v>
      </c>
      <c r="L310" s="48" t="s">
        <v>1258</v>
      </c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 spans="2:28" ht="15.75" customHeight="1">
      <c r="B311" s="31" t="s">
        <v>1041</v>
      </c>
      <c r="C311" s="30" t="s">
        <v>470</v>
      </c>
      <c r="D311" s="42"/>
      <c r="E311" s="32">
        <v>150000000</v>
      </c>
      <c r="F311" s="42"/>
      <c r="I311" s="42"/>
      <c r="J311" s="42"/>
      <c r="K311" s="34">
        <v>626374570</v>
      </c>
      <c r="L311" s="48" t="s">
        <v>1259</v>
      </c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 spans="2:28" ht="15.75" customHeight="1">
      <c r="B312" s="31" t="s">
        <v>1042</v>
      </c>
      <c r="C312" s="30" t="s">
        <v>470</v>
      </c>
      <c r="D312" s="32">
        <v>43000000</v>
      </c>
      <c r="E312" s="32">
        <v>43000000</v>
      </c>
      <c r="F312" s="32">
        <v>43000000</v>
      </c>
      <c r="I312" s="42"/>
      <c r="J312" s="42"/>
      <c r="K312" s="49"/>
      <c r="L312" s="48" t="s">
        <v>1260</v>
      </c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 spans="2:28" ht="15.75" customHeight="1">
      <c r="B313" s="42" t="s">
        <v>170</v>
      </c>
      <c r="C313" s="30" t="s">
        <v>470</v>
      </c>
      <c r="D313" s="32">
        <v>3065550000</v>
      </c>
      <c r="E313" s="11">
        <v>513333525</v>
      </c>
      <c r="F313" s="32">
        <v>3065550000</v>
      </c>
      <c r="I313" s="32">
        <v>513333525</v>
      </c>
      <c r="J313" s="32">
        <v>513333525</v>
      </c>
      <c r="K313" s="34">
        <v>513333525</v>
      </c>
      <c r="L313" s="48" t="s">
        <v>1261</v>
      </c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 spans="2:28" ht="15.75" customHeight="1">
      <c r="B314" s="31" t="s">
        <v>1043</v>
      </c>
      <c r="C314" s="30" t="s">
        <v>470</v>
      </c>
      <c r="D314" s="42"/>
      <c r="E314" s="32">
        <v>1722216475</v>
      </c>
      <c r="F314" s="53"/>
      <c r="I314" s="32">
        <v>1722216475</v>
      </c>
      <c r="J314" s="32">
        <v>1609986155</v>
      </c>
      <c r="K314" s="34">
        <v>1631494749</v>
      </c>
      <c r="L314" s="48" t="s">
        <v>1262</v>
      </c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 spans="2:28" ht="15.75" customHeight="1">
      <c r="B315" s="31" t="s">
        <v>1044</v>
      </c>
      <c r="C315" s="30" t="s">
        <v>470</v>
      </c>
      <c r="D315" s="32">
        <v>65480000</v>
      </c>
      <c r="E315" s="32">
        <v>22480000</v>
      </c>
      <c r="F315" s="32">
        <v>65480000</v>
      </c>
      <c r="I315" s="32">
        <v>22480000</v>
      </c>
      <c r="J315" s="32">
        <v>20920429</v>
      </c>
      <c r="K315" s="34">
        <v>22521369</v>
      </c>
      <c r="L315" s="48" t="s">
        <v>1263</v>
      </c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 spans="2:28" ht="15.75" customHeight="1">
      <c r="B316" s="31" t="s">
        <v>1045</v>
      </c>
      <c r="C316" s="30" t="s">
        <v>470</v>
      </c>
      <c r="D316" s="32">
        <v>54000000</v>
      </c>
      <c r="E316" s="32">
        <v>400000000</v>
      </c>
      <c r="F316" s="32">
        <v>54000000</v>
      </c>
      <c r="I316" s="32">
        <v>400000000</v>
      </c>
      <c r="J316" s="32">
        <v>347526267</v>
      </c>
      <c r="K316" s="49"/>
      <c r="L316" s="48" t="s">
        <v>1264</v>
      </c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 spans="2:28" ht="15.75" customHeight="1">
      <c r="B317" s="31" t="s">
        <v>188</v>
      </c>
      <c r="C317" s="30" t="s">
        <v>470</v>
      </c>
      <c r="D317" s="32">
        <v>224000000</v>
      </c>
      <c r="E317" s="32">
        <v>142876470</v>
      </c>
      <c r="F317" s="32">
        <v>224000000</v>
      </c>
      <c r="I317" s="32">
        <v>142876470</v>
      </c>
      <c r="J317" s="32">
        <v>142876470</v>
      </c>
      <c r="K317" s="34">
        <v>142876470</v>
      </c>
      <c r="L317" s="48" t="s">
        <v>1265</v>
      </c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 spans="2:28" ht="15.75" customHeight="1">
      <c r="B318" s="31" t="s">
        <v>1047</v>
      </c>
      <c r="C318" s="30" t="s">
        <v>470</v>
      </c>
      <c r="D318" s="11">
        <v>4000000</v>
      </c>
      <c r="E318" s="11">
        <v>6209300</v>
      </c>
      <c r="F318" s="11">
        <v>4000000</v>
      </c>
      <c r="I318" s="32">
        <v>2809300</v>
      </c>
      <c r="J318" s="11">
        <v>509300</v>
      </c>
      <c r="K318" s="54"/>
      <c r="L318" s="48" t="s">
        <v>1266</v>
      </c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2:28" ht="15.75" customHeight="1">
      <c r="B319" s="55" t="s">
        <v>468</v>
      </c>
      <c r="C319" s="30" t="s">
        <v>470</v>
      </c>
      <c r="D319" s="38">
        <v>704213809308</v>
      </c>
      <c r="E319" s="38">
        <v>712637216092</v>
      </c>
      <c r="F319" s="38">
        <v>422303134346</v>
      </c>
      <c r="I319" s="38">
        <v>439655001195</v>
      </c>
      <c r="J319" s="38">
        <v>385750148771</v>
      </c>
      <c r="K319" s="39">
        <v>614315813081</v>
      </c>
      <c r="L319" s="50" t="s">
        <v>1267</v>
      </c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spans="2:28" ht="15.75" customHeight="1">
      <c r="B320" s="35"/>
      <c r="C320" s="35"/>
      <c r="D320" s="40"/>
      <c r="E320" s="40"/>
      <c r="F320" s="40"/>
      <c r="G320" s="40"/>
      <c r="H320" s="40"/>
      <c r="K320" s="40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 spans="2:28" ht="15.75" customHeight="1">
      <c r="B321" s="30"/>
      <c r="C321" s="30"/>
      <c r="D321" s="40"/>
      <c r="E321" s="40"/>
      <c r="F321" s="40"/>
      <c r="G321" s="40"/>
      <c r="H321" s="40"/>
      <c r="I321" s="40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 spans="2:28" ht="15.75" customHeight="1">
      <c r="B322" s="29" t="s">
        <v>0</v>
      </c>
      <c r="C322" s="29"/>
      <c r="D322" s="29" t="s">
        <v>1048</v>
      </c>
      <c r="E322" s="29" t="s">
        <v>1049</v>
      </c>
      <c r="F322" s="41" t="s">
        <v>1050</v>
      </c>
      <c r="G322" s="29" t="s">
        <v>1268</v>
      </c>
      <c r="H322" s="29" t="s">
        <v>1269</v>
      </c>
      <c r="I322" s="29" t="s">
        <v>1270</v>
      </c>
      <c r="J322" s="29" t="s">
        <v>1052</v>
      </c>
      <c r="K322" s="29" t="s">
        <v>1053</v>
      </c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2:28" ht="15.75" customHeight="1">
      <c r="B323" s="31" t="s">
        <v>976</v>
      </c>
      <c r="C323" s="30" t="s">
        <v>549</v>
      </c>
      <c r="D323" s="32">
        <v>1108830000</v>
      </c>
      <c r="E323" s="32">
        <v>1108830000</v>
      </c>
      <c r="F323" s="32">
        <v>1102265701</v>
      </c>
      <c r="G323" s="32">
        <v>1108830000</v>
      </c>
      <c r="H323" s="32">
        <v>1108830000</v>
      </c>
      <c r="I323" s="32">
        <v>1102265701</v>
      </c>
      <c r="J323" s="32">
        <v>767737289</v>
      </c>
      <c r="K323" s="34">
        <v>988573616</v>
      </c>
      <c r="L323" s="48" t="s">
        <v>1271</v>
      </c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 spans="2:28" ht="15.75" customHeight="1">
      <c r="B324" s="42" t="s">
        <v>202</v>
      </c>
      <c r="C324" s="30" t="s">
        <v>549</v>
      </c>
      <c r="D324" s="32">
        <v>17308702000</v>
      </c>
      <c r="E324" s="32">
        <v>17308702000</v>
      </c>
      <c r="F324" s="32">
        <v>17169702000</v>
      </c>
      <c r="G324" s="32">
        <v>16944700000</v>
      </c>
      <c r="H324" s="32">
        <v>16944700000</v>
      </c>
      <c r="I324" s="32">
        <v>16805700000</v>
      </c>
      <c r="J324" s="32">
        <v>14799824495</v>
      </c>
      <c r="K324" s="34">
        <v>16080974807</v>
      </c>
      <c r="L324" s="48" t="s">
        <v>1272</v>
      </c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 spans="2:28" ht="15.75" customHeight="1">
      <c r="B325" s="42" t="s">
        <v>54</v>
      </c>
      <c r="C325" s="30" t="s">
        <v>549</v>
      </c>
      <c r="D325" s="32">
        <v>1812600000</v>
      </c>
      <c r="E325" s="32">
        <v>1812600000</v>
      </c>
      <c r="F325" s="32">
        <v>639628462</v>
      </c>
      <c r="G325" s="32">
        <v>1812600000</v>
      </c>
      <c r="H325" s="32">
        <v>1812600000</v>
      </c>
      <c r="I325" s="32">
        <v>639628462</v>
      </c>
      <c r="J325" s="32">
        <v>403277785</v>
      </c>
      <c r="K325" s="34">
        <v>405772713</v>
      </c>
      <c r="L325" s="48" t="s">
        <v>1273</v>
      </c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 spans="2:28" ht="15.75" customHeight="1">
      <c r="B326" s="42" t="s">
        <v>56</v>
      </c>
      <c r="C326" s="30" t="s">
        <v>549</v>
      </c>
      <c r="D326" s="32">
        <v>690300000</v>
      </c>
      <c r="E326" s="32">
        <v>690300000</v>
      </c>
      <c r="F326" s="32">
        <v>1493285005</v>
      </c>
      <c r="G326" s="32">
        <v>690300000</v>
      </c>
      <c r="H326" s="32">
        <v>690300000</v>
      </c>
      <c r="I326" s="32">
        <v>1493285005</v>
      </c>
      <c r="J326" s="32">
        <v>1460063305</v>
      </c>
      <c r="K326" s="34">
        <v>1482062951</v>
      </c>
      <c r="L326" s="48" t="s">
        <v>1274</v>
      </c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 spans="2:28" ht="15.75" customHeight="1">
      <c r="B327" s="42" t="s">
        <v>207</v>
      </c>
      <c r="C327" s="30" t="s">
        <v>549</v>
      </c>
      <c r="D327" s="32">
        <v>37959566000</v>
      </c>
      <c r="E327" s="32">
        <v>35487132000</v>
      </c>
      <c r="F327" s="32">
        <v>41730832000</v>
      </c>
      <c r="G327" s="32">
        <v>36736566000</v>
      </c>
      <c r="H327" s="32">
        <v>34264132000</v>
      </c>
      <c r="I327" s="32">
        <v>36507832000</v>
      </c>
      <c r="J327" s="32">
        <v>34049100000</v>
      </c>
      <c r="K327" s="34">
        <v>34188271926</v>
      </c>
      <c r="L327" s="48" t="s">
        <v>1275</v>
      </c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 spans="2:28" ht="15.75" customHeight="1">
      <c r="B328" s="42" t="s">
        <v>209</v>
      </c>
      <c r="C328" s="30" t="s">
        <v>549</v>
      </c>
      <c r="D328" s="32">
        <v>5358000000</v>
      </c>
      <c r="E328" s="32">
        <v>5358000000</v>
      </c>
      <c r="F328" s="32">
        <v>5923000000</v>
      </c>
      <c r="G328" s="32">
        <v>2820000000</v>
      </c>
      <c r="H328" s="32">
        <v>2820000000</v>
      </c>
      <c r="I328" s="32">
        <v>3385000000</v>
      </c>
      <c r="J328" s="32">
        <v>3288400000</v>
      </c>
      <c r="K328" s="34">
        <v>4788890822</v>
      </c>
      <c r="L328" s="48" t="s">
        <v>1276</v>
      </c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 spans="2:28" ht="15.75" customHeight="1">
      <c r="B329" s="31" t="s">
        <v>987</v>
      </c>
      <c r="C329" s="30" t="s">
        <v>549</v>
      </c>
      <c r="D329" s="32">
        <v>14974349680</v>
      </c>
      <c r="E329" s="32">
        <v>14974349680</v>
      </c>
      <c r="F329" s="32">
        <v>14974349680</v>
      </c>
      <c r="G329" s="32">
        <v>4000000000</v>
      </c>
      <c r="H329" s="32">
        <v>4000000000</v>
      </c>
      <c r="I329" s="32">
        <v>4000000000</v>
      </c>
      <c r="J329" s="32">
        <v>3431695000</v>
      </c>
      <c r="K329" s="34">
        <v>7079128680</v>
      </c>
      <c r="L329" s="48" t="s">
        <v>1277</v>
      </c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 spans="2:28" ht="15.75" customHeight="1">
      <c r="B330" s="42" t="s">
        <v>639</v>
      </c>
      <c r="C330" s="30" t="s">
        <v>549</v>
      </c>
      <c r="D330" s="32">
        <v>1937740000</v>
      </c>
      <c r="E330" s="32">
        <v>1937740000</v>
      </c>
      <c r="F330" s="32">
        <v>2237740000</v>
      </c>
      <c r="G330" s="32">
        <v>1937740000</v>
      </c>
      <c r="H330" s="32">
        <v>1937740000</v>
      </c>
      <c r="I330" s="32">
        <v>2237740000</v>
      </c>
      <c r="J330" s="32">
        <v>1806070000</v>
      </c>
      <c r="K330" s="34">
        <v>2050392619</v>
      </c>
      <c r="L330" s="48" t="s">
        <v>1278</v>
      </c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 spans="2:28" ht="15.75" customHeight="1">
      <c r="B331" s="42" t="s">
        <v>72</v>
      </c>
      <c r="C331" s="30" t="s">
        <v>549</v>
      </c>
      <c r="D331" s="32">
        <v>8338000000</v>
      </c>
      <c r="E331" s="32">
        <v>8338000000</v>
      </c>
      <c r="F331" s="32">
        <v>7971735000</v>
      </c>
      <c r="G331" s="32">
        <v>5038000000</v>
      </c>
      <c r="H331" s="32">
        <v>5038000000</v>
      </c>
      <c r="I331" s="32">
        <v>2671735000</v>
      </c>
      <c r="J331" s="32">
        <v>2069815646</v>
      </c>
      <c r="K331" s="34">
        <v>4390807089</v>
      </c>
      <c r="L331" s="48" t="s">
        <v>1279</v>
      </c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 spans="2:28" ht="15.75" customHeight="1">
      <c r="B332" s="31" t="s">
        <v>217</v>
      </c>
      <c r="C332" s="30" t="s">
        <v>549</v>
      </c>
      <c r="D332" s="32">
        <v>13338000000</v>
      </c>
      <c r="E332" s="32">
        <v>13109000000</v>
      </c>
      <c r="F332" s="32">
        <v>11979000000</v>
      </c>
      <c r="G332" s="32">
        <v>10538000000</v>
      </c>
      <c r="H332" s="32">
        <v>10309000000</v>
      </c>
      <c r="I332" s="32">
        <v>9179000000</v>
      </c>
      <c r="J332" s="32">
        <v>7962384635</v>
      </c>
      <c r="K332" s="34">
        <v>11133123660</v>
      </c>
      <c r="L332" s="48" t="s">
        <v>1280</v>
      </c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 spans="2:28" ht="15.75" customHeight="1">
      <c r="B333" s="42" t="s">
        <v>219</v>
      </c>
      <c r="C333" s="30" t="s">
        <v>549</v>
      </c>
      <c r="D333" s="32">
        <v>10418830978</v>
      </c>
      <c r="E333" s="32">
        <v>9818830978</v>
      </c>
      <c r="F333" s="32">
        <v>10510830978</v>
      </c>
      <c r="G333" s="32">
        <v>9848830978</v>
      </c>
      <c r="H333" s="32">
        <v>9248830978</v>
      </c>
      <c r="I333" s="32">
        <v>9940830978</v>
      </c>
      <c r="J333" s="32">
        <v>8583845993</v>
      </c>
      <c r="K333" s="34">
        <v>6091926988</v>
      </c>
      <c r="L333" s="48" t="s">
        <v>1281</v>
      </c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 spans="2:28" ht="15.75" customHeight="1">
      <c r="B334" s="31" t="s">
        <v>995</v>
      </c>
      <c r="C334" s="30" t="s">
        <v>549</v>
      </c>
      <c r="D334" s="32">
        <v>38577476758</v>
      </c>
      <c r="E334" s="32">
        <v>32568476758</v>
      </c>
      <c r="F334" s="32">
        <v>26885701009</v>
      </c>
      <c r="G334" s="32">
        <v>26173935007</v>
      </c>
      <c r="H334" s="32">
        <v>20164935007</v>
      </c>
      <c r="I334" s="32">
        <v>14482159258</v>
      </c>
      <c r="J334" s="32">
        <v>9059231680</v>
      </c>
      <c r="K334" s="34">
        <v>8606435829</v>
      </c>
      <c r="L334" s="48" t="s">
        <v>1282</v>
      </c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 spans="2:28" ht="15.75" customHeight="1">
      <c r="B335" s="42" t="s">
        <v>226</v>
      </c>
      <c r="C335" s="30" t="s">
        <v>549</v>
      </c>
      <c r="D335" s="32">
        <v>2602424000</v>
      </c>
      <c r="E335" s="32">
        <v>2602424000</v>
      </c>
      <c r="F335" s="32">
        <v>1931548591</v>
      </c>
      <c r="G335" s="32">
        <v>2484324000</v>
      </c>
      <c r="H335" s="32">
        <v>2484324000</v>
      </c>
      <c r="I335" s="32">
        <v>1813448591</v>
      </c>
      <c r="J335" s="32">
        <v>1756532000</v>
      </c>
      <c r="K335" s="34">
        <v>1763420981</v>
      </c>
      <c r="L335" s="48" t="s">
        <v>1283</v>
      </c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 spans="2:28" ht="15.75" customHeight="1">
      <c r="B336" s="42" t="s">
        <v>228</v>
      </c>
      <c r="C336" s="30" t="s">
        <v>549</v>
      </c>
      <c r="D336" s="32">
        <v>40906449648</v>
      </c>
      <c r="E336" s="32">
        <v>40906449648</v>
      </c>
      <c r="F336" s="32">
        <v>39280918666</v>
      </c>
      <c r="G336" s="32">
        <v>23567308466</v>
      </c>
      <c r="H336" s="32">
        <v>23567308466</v>
      </c>
      <c r="I336" s="32">
        <v>21941777484</v>
      </c>
      <c r="J336" s="32">
        <v>18975823550</v>
      </c>
      <c r="K336" s="34">
        <v>25839081282</v>
      </c>
      <c r="L336" s="48" t="s">
        <v>1284</v>
      </c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 spans="2:28" ht="15.75" customHeight="1">
      <c r="B337" s="42" t="s">
        <v>232</v>
      </c>
      <c r="C337" s="30" t="s">
        <v>549</v>
      </c>
      <c r="D337" s="32">
        <v>121685380000</v>
      </c>
      <c r="E337" s="32">
        <v>112985380000</v>
      </c>
      <c r="F337" s="32">
        <v>104614975055</v>
      </c>
      <c r="G337" s="32">
        <v>81052548000</v>
      </c>
      <c r="H337" s="32">
        <v>72352548000</v>
      </c>
      <c r="I337" s="32">
        <v>63982143055</v>
      </c>
      <c r="J337" s="32">
        <v>63185147839</v>
      </c>
      <c r="K337" s="34">
        <v>95750521606</v>
      </c>
      <c r="L337" s="48" t="s">
        <v>1285</v>
      </c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spans="2:28" ht="15.75" customHeight="1">
      <c r="B338" s="31" t="s">
        <v>327</v>
      </c>
      <c r="C338" s="30" t="s">
        <v>549</v>
      </c>
      <c r="D338" s="32">
        <v>90424591835</v>
      </c>
      <c r="E338" s="32">
        <v>90424591835</v>
      </c>
      <c r="F338" s="32">
        <v>120885930800</v>
      </c>
      <c r="G338" s="32">
        <v>12493000000</v>
      </c>
      <c r="H338" s="32">
        <v>12493000000</v>
      </c>
      <c r="I338" s="32">
        <v>13611231699</v>
      </c>
      <c r="J338" s="32">
        <v>13529887946</v>
      </c>
      <c r="K338" s="34">
        <v>118749249787</v>
      </c>
      <c r="L338" s="48" t="s">
        <v>1286</v>
      </c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spans="2:28" ht="15.75" customHeight="1">
      <c r="B339" s="42" t="s">
        <v>331</v>
      </c>
      <c r="C339" s="30" t="s">
        <v>549</v>
      </c>
      <c r="D339" s="42"/>
      <c r="E339" s="32">
        <v>20643042217</v>
      </c>
      <c r="F339" s="32">
        <v>32343313115</v>
      </c>
      <c r="G339" s="42"/>
      <c r="H339" s="32">
        <v>9178339717</v>
      </c>
      <c r="I339" s="32">
        <v>13492129693</v>
      </c>
      <c r="J339" s="32">
        <v>11409815742</v>
      </c>
      <c r="K339" s="34">
        <v>31265681478</v>
      </c>
      <c r="L339" s="48" t="s">
        <v>1287</v>
      </c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 spans="2:28" ht="15.75" customHeight="1">
      <c r="B340" s="42" t="s">
        <v>93</v>
      </c>
      <c r="C340" s="30" t="s">
        <v>549</v>
      </c>
      <c r="D340" s="42"/>
      <c r="E340" s="32">
        <v>1903291805</v>
      </c>
      <c r="F340" s="32">
        <v>1369115739</v>
      </c>
      <c r="G340" s="42"/>
      <c r="H340" s="32">
        <v>1903291805</v>
      </c>
      <c r="I340" s="32">
        <v>1369115739</v>
      </c>
      <c r="J340" s="32">
        <v>902600000</v>
      </c>
      <c r="K340" s="34">
        <v>913512934</v>
      </c>
      <c r="L340" s="48" t="s">
        <v>1288</v>
      </c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 spans="2:28" ht="15.75" customHeight="1">
      <c r="B341" s="42" t="s">
        <v>571</v>
      </c>
      <c r="C341" s="30" t="s">
        <v>549</v>
      </c>
      <c r="D341" s="32">
        <v>29101373965</v>
      </c>
      <c r="E341" s="32">
        <v>6555039943</v>
      </c>
      <c r="F341" s="32">
        <v>6488922693</v>
      </c>
      <c r="G341" s="32">
        <v>13084671465</v>
      </c>
      <c r="H341" s="32">
        <v>2003039943</v>
      </c>
      <c r="I341" s="32">
        <v>1936922693</v>
      </c>
      <c r="J341" s="32">
        <v>1911459717</v>
      </c>
      <c r="K341" s="34">
        <v>1009842303</v>
      </c>
      <c r="L341" s="48" t="s">
        <v>1289</v>
      </c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 spans="2:28" ht="15.75" customHeight="1">
      <c r="B342" s="31" t="s">
        <v>1059</v>
      </c>
      <c r="C342" s="30" t="s">
        <v>549</v>
      </c>
      <c r="D342" s="32">
        <v>48771390000</v>
      </c>
      <c r="E342" s="32">
        <v>48771390000</v>
      </c>
      <c r="F342" s="32">
        <v>45978676208</v>
      </c>
      <c r="G342" s="32">
        <v>23577640000</v>
      </c>
      <c r="H342" s="32">
        <v>23577640000</v>
      </c>
      <c r="I342" s="32">
        <v>20784926208</v>
      </c>
      <c r="J342" s="32">
        <v>14404437835</v>
      </c>
      <c r="K342" s="34">
        <v>28869253647</v>
      </c>
      <c r="L342" s="48" t="s">
        <v>1290</v>
      </c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 spans="2:28" ht="15.75" customHeight="1">
      <c r="B343" s="42" t="s">
        <v>494</v>
      </c>
      <c r="C343" s="30" t="s">
        <v>549</v>
      </c>
      <c r="D343" s="32">
        <v>6003000000</v>
      </c>
      <c r="E343" s="32">
        <v>6003000000</v>
      </c>
      <c r="F343" s="32">
        <v>5886987585</v>
      </c>
      <c r="G343" s="32">
        <v>4076000000</v>
      </c>
      <c r="H343" s="32">
        <v>4076000000</v>
      </c>
      <c r="I343" s="32">
        <v>3959987585</v>
      </c>
      <c r="J343" s="32">
        <v>3012012092</v>
      </c>
      <c r="K343" s="34">
        <v>3123000000</v>
      </c>
      <c r="L343" s="48" t="s">
        <v>1291</v>
      </c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 spans="2:28" ht="15.75" customHeight="1">
      <c r="B344" s="42" t="s">
        <v>244</v>
      </c>
      <c r="C344" s="30" t="s">
        <v>549</v>
      </c>
      <c r="D344" s="32">
        <v>3345214997</v>
      </c>
      <c r="E344" s="32">
        <v>3345214997</v>
      </c>
      <c r="F344" s="32">
        <v>2763077437</v>
      </c>
      <c r="G344" s="32">
        <v>3345214997</v>
      </c>
      <c r="H344" s="32">
        <v>3345214997</v>
      </c>
      <c r="I344" s="32">
        <v>2763077437</v>
      </c>
      <c r="J344" s="32">
        <v>2196100440</v>
      </c>
      <c r="K344" s="34">
        <v>2288805220</v>
      </c>
      <c r="L344" s="48" t="s">
        <v>1292</v>
      </c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 spans="2:28" ht="15.75" customHeight="1">
      <c r="B345" s="42" t="s">
        <v>1095</v>
      </c>
      <c r="C345" s="30" t="s">
        <v>549</v>
      </c>
      <c r="D345" s="32">
        <v>26958614114</v>
      </c>
      <c r="E345" s="32">
        <v>21058614114</v>
      </c>
      <c r="F345" s="32">
        <v>23054074873</v>
      </c>
      <c r="G345" s="32">
        <v>16697614114</v>
      </c>
      <c r="H345" s="32">
        <v>10797614114</v>
      </c>
      <c r="I345" s="32">
        <v>9616696386</v>
      </c>
      <c r="J345" s="32">
        <v>7912375327</v>
      </c>
      <c r="K345" s="34">
        <v>20985593134</v>
      </c>
      <c r="L345" s="48" t="s">
        <v>1293</v>
      </c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 spans="2:28" ht="15.75" customHeight="1">
      <c r="B346" s="42" t="s">
        <v>419</v>
      </c>
      <c r="C346" s="30" t="s">
        <v>549</v>
      </c>
      <c r="D346" s="32">
        <v>688000000</v>
      </c>
      <c r="E346" s="32">
        <v>688000000</v>
      </c>
      <c r="F346" s="32">
        <v>688000000</v>
      </c>
      <c r="G346" s="32">
        <v>688000000</v>
      </c>
      <c r="H346" s="32">
        <v>688000000</v>
      </c>
      <c r="I346" s="32">
        <v>688000000</v>
      </c>
      <c r="J346" s="32">
        <v>632500000</v>
      </c>
      <c r="K346" s="34">
        <v>686269882</v>
      </c>
      <c r="L346" s="48" t="s">
        <v>1294</v>
      </c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 spans="2:28" ht="15.75" customHeight="1">
      <c r="B347" s="42" t="s">
        <v>105</v>
      </c>
      <c r="C347" s="30" t="s">
        <v>549</v>
      </c>
      <c r="D347" s="32">
        <v>675000000</v>
      </c>
      <c r="E347" s="32">
        <v>675000000</v>
      </c>
      <c r="F347" s="32">
        <v>695000000</v>
      </c>
      <c r="G347" s="32">
        <v>675000000</v>
      </c>
      <c r="H347" s="32">
        <v>675000000</v>
      </c>
      <c r="I347" s="32">
        <v>695000000</v>
      </c>
      <c r="J347" s="32">
        <v>669600000</v>
      </c>
      <c r="K347" s="34">
        <v>675000000</v>
      </c>
      <c r="L347" s="48" t="s">
        <v>1295</v>
      </c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 spans="2:28" ht="15.75" customHeight="1">
      <c r="B348" s="42" t="s">
        <v>249</v>
      </c>
      <c r="C348" s="30" t="s">
        <v>549</v>
      </c>
      <c r="D348" s="32">
        <v>881600000</v>
      </c>
      <c r="E348" s="32">
        <v>881600000</v>
      </c>
      <c r="F348" s="32">
        <v>881600000</v>
      </c>
      <c r="G348" s="32">
        <v>881600000</v>
      </c>
      <c r="H348" s="32">
        <v>881600000</v>
      </c>
      <c r="I348" s="32">
        <v>881600000</v>
      </c>
      <c r="J348" s="32">
        <v>787600000</v>
      </c>
      <c r="K348" s="34">
        <v>812333699</v>
      </c>
      <c r="L348" s="48" t="s">
        <v>1296</v>
      </c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 spans="2:28" ht="15.75" customHeight="1">
      <c r="B349" s="42" t="s">
        <v>816</v>
      </c>
      <c r="C349" s="30" t="s">
        <v>549</v>
      </c>
      <c r="D349" s="32">
        <v>64386827489</v>
      </c>
      <c r="E349" s="32">
        <v>64386827489</v>
      </c>
      <c r="F349" s="32">
        <v>67116827489</v>
      </c>
      <c r="G349" s="32">
        <v>24932000000</v>
      </c>
      <c r="H349" s="32">
        <v>22332000000</v>
      </c>
      <c r="I349" s="32">
        <v>25062000000</v>
      </c>
      <c r="J349" s="32">
        <v>24379363446</v>
      </c>
      <c r="K349" s="34">
        <v>48308662387</v>
      </c>
      <c r="L349" s="48" t="s">
        <v>1297</v>
      </c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 spans="2:28" ht="15.75" customHeight="1">
      <c r="B350" s="42" t="s">
        <v>252</v>
      </c>
      <c r="C350" s="30" t="s">
        <v>549</v>
      </c>
      <c r="D350" s="32">
        <v>4281740920</v>
      </c>
      <c r="E350" s="32">
        <v>4281740920</v>
      </c>
      <c r="F350" s="32">
        <v>5259852201</v>
      </c>
      <c r="G350" s="32">
        <v>2963740920</v>
      </c>
      <c r="H350" s="32">
        <v>2963740920</v>
      </c>
      <c r="I350" s="32">
        <v>3941852201</v>
      </c>
      <c r="J350" s="32">
        <v>3514123459</v>
      </c>
      <c r="K350" s="34">
        <v>4415845180</v>
      </c>
      <c r="L350" s="48" t="s">
        <v>1298</v>
      </c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 spans="2:28" ht="15.75" customHeight="1">
      <c r="B351" s="31" t="s">
        <v>1061</v>
      </c>
      <c r="C351" s="30" t="s">
        <v>549</v>
      </c>
      <c r="D351" s="32">
        <v>20215429236</v>
      </c>
      <c r="E351" s="32">
        <v>20085429236</v>
      </c>
      <c r="F351" s="32">
        <v>20118796594</v>
      </c>
      <c r="G351" s="32">
        <v>13847987656</v>
      </c>
      <c r="H351" s="32">
        <v>13717987656</v>
      </c>
      <c r="I351" s="32">
        <v>10802216591</v>
      </c>
      <c r="J351" s="32">
        <v>9451712100</v>
      </c>
      <c r="K351" s="34">
        <v>11724076005</v>
      </c>
      <c r="L351" s="48" t="s">
        <v>1299</v>
      </c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 spans="2:28" ht="15.75" customHeight="1">
      <c r="B352" s="42" t="s">
        <v>255</v>
      </c>
      <c r="C352" s="30" t="s">
        <v>549</v>
      </c>
      <c r="D352" s="32">
        <v>2184000000</v>
      </c>
      <c r="E352" s="32">
        <v>2184000000</v>
      </c>
      <c r="F352" s="32">
        <v>1439000000</v>
      </c>
      <c r="G352" s="32">
        <v>2184000000</v>
      </c>
      <c r="H352" s="32">
        <v>2184000000</v>
      </c>
      <c r="I352" s="32">
        <v>1439000000</v>
      </c>
      <c r="J352" s="32">
        <v>719702018</v>
      </c>
      <c r="K352" s="34">
        <v>580068282</v>
      </c>
      <c r="L352" s="48" t="s">
        <v>1300</v>
      </c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 spans="2:28" ht="15.75" customHeight="1">
      <c r="B353" s="42" t="s">
        <v>95</v>
      </c>
      <c r="C353" s="30" t="s">
        <v>549</v>
      </c>
      <c r="D353" s="32">
        <v>6659000000</v>
      </c>
      <c r="E353" s="32">
        <v>6659000000</v>
      </c>
      <c r="F353" s="32">
        <v>7254193236</v>
      </c>
      <c r="G353" s="32">
        <v>5790000000</v>
      </c>
      <c r="H353" s="32">
        <v>5790000000</v>
      </c>
      <c r="I353" s="32">
        <v>6385193236</v>
      </c>
      <c r="J353" s="32">
        <v>6385192462</v>
      </c>
      <c r="K353" s="34">
        <v>6082420257</v>
      </c>
      <c r="L353" s="48" t="s">
        <v>1301</v>
      </c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 spans="2:28" ht="15.75" customHeight="1">
      <c r="B354" s="42" t="s">
        <v>506</v>
      </c>
      <c r="C354" s="30" t="s">
        <v>549</v>
      </c>
      <c r="D354" s="32">
        <v>475899330</v>
      </c>
      <c r="E354" s="32">
        <v>475899330</v>
      </c>
      <c r="F354" s="32">
        <v>869430388</v>
      </c>
      <c r="G354" s="32">
        <v>475899330</v>
      </c>
      <c r="H354" s="32">
        <v>475899330</v>
      </c>
      <c r="I354" s="32">
        <v>869430388</v>
      </c>
      <c r="J354" s="32">
        <v>705430389</v>
      </c>
      <c r="K354" s="34">
        <v>869430388</v>
      </c>
      <c r="L354" s="48" t="s">
        <v>1302</v>
      </c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 spans="2:28" ht="15.75" customHeight="1">
      <c r="B355" s="42" t="s">
        <v>119</v>
      </c>
      <c r="C355" s="30" t="s">
        <v>549</v>
      </c>
      <c r="D355" s="32">
        <v>840000000</v>
      </c>
      <c r="E355" s="32">
        <v>340000000</v>
      </c>
      <c r="F355" s="32">
        <v>378000000</v>
      </c>
      <c r="G355" s="32">
        <v>840000000</v>
      </c>
      <c r="H355" s="32">
        <v>340000000</v>
      </c>
      <c r="I355" s="32">
        <v>378000000</v>
      </c>
      <c r="J355" s="32">
        <v>338900000</v>
      </c>
      <c r="K355" s="34">
        <v>338810783</v>
      </c>
      <c r="L355" s="48" t="s">
        <v>1303</v>
      </c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 spans="2:28" ht="15.75" customHeight="1">
      <c r="B356" s="42" t="s">
        <v>121</v>
      </c>
      <c r="C356" s="30" t="s">
        <v>549</v>
      </c>
      <c r="D356" s="32">
        <v>312000000</v>
      </c>
      <c r="E356" s="32">
        <v>312000000</v>
      </c>
      <c r="F356" s="32">
        <v>272000000</v>
      </c>
      <c r="G356" s="32">
        <v>312000000</v>
      </c>
      <c r="H356" s="32">
        <v>312000000</v>
      </c>
      <c r="I356" s="32">
        <v>272000000</v>
      </c>
      <c r="J356" s="32">
        <v>209817625</v>
      </c>
      <c r="K356" s="34">
        <v>257536293</v>
      </c>
      <c r="L356" s="48" t="s">
        <v>1304</v>
      </c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 spans="2:28" ht="15.75" customHeight="1">
      <c r="B357" s="42" t="s">
        <v>262</v>
      </c>
      <c r="C357" s="30" t="s">
        <v>549</v>
      </c>
      <c r="D357" s="32">
        <v>4298000000</v>
      </c>
      <c r="E357" s="32">
        <v>4298000000</v>
      </c>
      <c r="F357" s="32">
        <v>3853000000</v>
      </c>
      <c r="G357" s="32">
        <v>3694000000</v>
      </c>
      <c r="H357" s="32">
        <v>3694000000</v>
      </c>
      <c r="I357" s="32">
        <v>3249000000</v>
      </c>
      <c r="J357" s="32">
        <v>3021588721</v>
      </c>
      <c r="K357" s="34">
        <v>3040534828</v>
      </c>
      <c r="L357" s="48" t="s">
        <v>1305</v>
      </c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 spans="2:28" ht="15.75" customHeight="1">
      <c r="B358" s="42" t="s">
        <v>264</v>
      </c>
      <c r="C358" s="30" t="s">
        <v>549</v>
      </c>
      <c r="D358" s="32">
        <v>1549400000</v>
      </c>
      <c r="E358" s="32">
        <v>1549400000</v>
      </c>
      <c r="F358" s="32">
        <v>1530400000</v>
      </c>
      <c r="G358" s="32">
        <v>1549400000</v>
      </c>
      <c r="H358" s="32">
        <v>1549400000</v>
      </c>
      <c r="I358" s="32">
        <v>1530400000</v>
      </c>
      <c r="J358" s="32">
        <v>933238841</v>
      </c>
      <c r="K358" s="34">
        <v>1356168059</v>
      </c>
      <c r="L358" s="48" t="s">
        <v>1306</v>
      </c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 spans="2:28" ht="15.75" customHeight="1">
      <c r="B359" s="42" t="s">
        <v>1183</v>
      </c>
      <c r="C359" s="30" t="s">
        <v>549</v>
      </c>
      <c r="D359" s="32">
        <v>12491090000</v>
      </c>
      <c r="E359" s="32">
        <v>12491090000</v>
      </c>
      <c r="F359" s="32">
        <v>12888289603</v>
      </c>
      <c r="G359" s="32">
        <v>12491090000</v>
      </c>
      <c r="H359" s="32">
        <v>12491090000</v>
      </c>
      <c r="I359" s="32">
        <v>12888289603</v>
      </c>
      <c r="J359" s="32">
        <v>12737511690</v>
      </c>
      <c r="K359" s="34">
        <v>12729069686</v>
      </c>
      <c r="L359" s="48" t="s">
        <v>1307</v>
      </c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 spans="2:28" ht="15.75" customHeight="1">
      <c r="B360" s="42" t="s">
        <v>133</v>
      </c>
      <c r="C360" s="30" t="s">
        <v>549</v>
      </c>
      <c r="D360" s="32">
        <v>325000000</v>
      </c>
      <c r="E360" s="32">
        <v>325000000</v>
      </c>
      <c r="F360" s="32">
        <v>308000000</v>
      </c>
      <c r="G360" s="32">
        <v>325000000</v>
      </c>
      <c r="H360" s="32">
        <v>325000000</v>
      </c>
      <c r="I360" s="32">
        <v>308000000</v>
      </c>
      <c r="J360" s="32">
        <v>307600000</v>
      </c>
      <c r="K360" s="34">
        <v>307930916</v>
      </c>
      <c r="L360" s="48" t="s">
        <v>1308</v>
      </c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 spans="2:28" ht="15.75" customHeight="1">
      <c r="B361" s="42" t="s">
        <v>135</v>
      </c>
      <c r="C361" s="30" t="s">
        <v>549</v>
      </c>
      <c r="D361" s="32">
        <v>4758500000</v>
      </c>
      <c r="E361" s="32">
        <v>3258500000</v>
      </c>
      <c r="F361" s="32">
        <v>3258480659</v>
      </c>
      <c r="G361" s="32">
        <v>2413000000</v>
      </c>
      <c r="H361" s="32">
        <v>913000000</v>
      </c>
      <c r="I361" s="32">
        <v>912980659</v>
      </c>
      <c r="J361" s="32">
        <v>713214006</v>
      </c>
      <c r="K361" s="34">
        <v>2625211433</v>
      </c>
      <c r="L361" s="48" t="s">
        <v>1309</v>
      </c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 spans="2:28" ht="15.75" customHeight="1">
      <c r="B362" s="42" t="s">
        <v>137</v>
      </c>
      <c r="C362" s="30" t="s">
        <v>549</v>
      </c>
      <c r="D362" s="42"/>
      <c r="E362" s="32">
        <v>2050000000</v>
      </c>
      <c r="F362" s="32">
        <v>1270000000</v>
      </c>
      <c r="G362" s="42"/>
      <c r="H362" s="32">
        <v>2050000000</v>
      </c>
      <c r="I362" s="32">
        <v>1270000000</v>
      </c>
      <c r="J362" s="32">
        <v>748300000</v>
      </c>
      <c r="K362" s="34">
        <v>746023156</v>
      </c>
      <c r="L362" s="48" t="s">
        <v>1310</v>
      </c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 spans="2:28" ht="15.75" customHeight="1">
      <c r="B363" s="42" t="s">
        <v>139</v>
      </c>
      <c r="C363" s="30" t="s">
        <v>549</v>
      </c>
      <c r="D363" s="42"/>
      <c r="E363" s="32">
        <v>873250000</v>
      </c>
      <c r="F363" s="32">
        <v>873250000</v>
      </c>
      <c r="G363" s="42"/>
      <c r="H363" s="32">
        <v>873250000</v>
      </c>
      <c r="I363" s="32">
        <v>873250000</v>
      </c>
      <c r="J363" s="32">
        <v>873250000</v>
      </c>
      <c r="K363" s="34">
        <v>873173124</v>
      </c>
      <c r="L363" s="48" t="s">
        <v>1311</v>
      </c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 spans="2:28" ht="15.75" customHeight="1">
      <c r="B364" s="42" t="s">
        <v>595</v>
      </c>
      <c r="C364" s="30" t="s">
        <v>549</v>
      </c>
      <c r="D364" s="32">
        <v>3645516000</v>
      </c>
      <c r="E364" s="32">
        <v>622266000</v>
      </c>
      <c r="F364" s="32">
        <v>422266000</v>
      </c>
      <c r="G364" s="32">
        <v>3400500000</v>
      </c>
      <c r="H364" s="32">
        <v>377250000</v>
      </c>
      <c r="I364" s="32">
        <v>177250000</v>
      </c>
      <c r="J364" s="32">
        <v>177250000</v>
      </c>
      <c r="K364" s="34">
        <v>377250000</v>
      </c>
      <c r="L364" s="48" t="s">
        <v>1312</v>
      </c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 spans="2:28" ht="15.75" customHeight="1">
      <c r="B365" s="42" t="s">
        <v>1313</v>
      </c>
      <c r="C365" s="30" t="s">
        <v>549</v>
      </c>
      <c r="D365" s="32">
        <v>4068334400</v>
      </c>
      <c r="E365" s="32">
        <v>1800821492</v>
      </c>
      <c r="F365" s="32">
        <v>1391478885</v>
      </c>
      <c r="G365" s="32">
        <v>4068334400</v>
      </c>
      <c r="H365" s="32">
        <v>1800821492</v>
      </c>
      <c r="I365" s="32">
        <v>1391478885</v>
      </c>
      <c r="J365" s="32">
        <v>1541219720</v>
      </c>
      <c r="K365" s="34">
        <v>590593004</v>
      </c>
      <c r="L365" s="48" t="s">
        <v>1314</v>
      </c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 spans="2:28" ht="15.75" customHeight="1">
      <c r="B366" s="42" t="s">
        <v>275</v>
      </c>
      <c r="C366" s="30" t="s">
        <v>549</v>
      </c>
      <c r="D366" s="32">
        <v>3413000000</v>
      </c>
      <c r="E366" s="32">
        <v>2813000000</v>
      </c>
      <c r="F366" s="32">
        <v>2813000000</v>
      </c>
      <c r="G366" s="32">
        <v>3413000000</v>
      </c>
      <c r="H366" s="32">
        <v>2813000000</v>
      </c>
      <c r="I366" s="32">
        <v>2813000000</v>
      </c>
      <c r="J366" s="32">
        <v>2628600000</v>
      </c>
      <c r="K366" s="34">
        <v>2628500000</v>
      </c>
      <c r="L366" s="48" t="s">
        <v>1315</v>
      </c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 spans="2:28" ht="15.75" customHeight="1">
      <c r="B367" s="42" t="s">
        <v>143</v>
      </c>
      <c r="C367" s="30" t="s">
        <v>549</v>
      </c>
      <c r="D367" s="42"/>
      <c r="E367" s="32">
        <v>997459359</v>
      </c>
      <c r="F367" s="32">
        <v>1161637863</v>
      </c>
      <c r="G367" s="42"/>
      <c r="H367" s="32">
        <v>997459359</v>
      </c>
      <c r="I367" s="32">
        <v>1161637863</v>
      </c>
      <c r="J367" s="32">
        <v>846695088</v>
      </c>
      <c r="K367" s="34">
        <v>863215685</v>
      </c>
      <c r="L367" s="48" t="s">
        <v>1316</v>
      </c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 spans="2:28" ht="15.75" customHeight="1">
      <c r="B368" s="42" t="s">
        <v>439</v>
      </c>
      <c r="C368" s="30" t="s">
        <v>549</v>
      </c>
      <c r="D368" s="42"/>
      <c r="E368" s="32">
        <v>1270053549</v>
      </c>
      <c r="F368" s="32">
        <v>2783362691</v>
      </c>
      <c r="G368" s="42"/>
      <c r="H368" s="32">
        <v>1270053549</v>
      </c>
      <c r="I368" s="32">
        <v>2783362691</v>
      </c>
      <c r="J368" s="32">
        <v>1935377200</v>
      </c>
      <c r="K368" s="34">
        <v>2408848194</v>
      </c>
      <c r="L368" s="48" t="s">
        <v>1317</v>
      </c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 spans="2:28" ht="15.75" customHeight="1">
      <c r="B369" s="42" t="s">
        <v>278</v>
      </c>
      <c r="C369" s="30" t="s">
        <v>549</v>
      </c>
      <c r="D369" s="32">
        <v>12636950000</v>
      </c>
      <c r="E369" s="32">
        <v>12636950000</v>
      </c>
      <c r="F369" s="32">
        <v>12340450000</v>
      </c>
      <c r="G369" s="32">
        <v>4178942863</v>
      </c>
      <c r="H369" s="32">
        <v>4178942863</v>
      </c>
      <c r="I369" s="32">
        <v>3882442863</v>
      </c>
      <c r="J369" s="32">
        <v>2817700000</v>
      </c>
      <c r="K369" s="34">
        <v>6484195236</v>
      </c>
      <c r="L369" s="48" t="s">
        <v>1318</v>
      </c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 spans="2:28" ht="15.75" customHeight="1">
      <c r="B370" s="42" t="s">
        <v>280</v>
      </c>
      <c r="C370" s="30" t="s">
        <v>549</v>
      </c>
      <c r="D370" s="32">
        <v>714000000</v>
      </c>
      <c r="E370" s="32">
        <v>614000000</v>
      </c>
      <c r="F370" s="32">
        <v>76000000</v>
      </c>
      <c r="G370" s="32">
        <v>714000000</v>
      </c>
      <c r="H370" s="32">
        <v>614000000</v>
      </c>
      <c r="I370" s="32">
        <v>76000000</v>
      </c>
      <c r="J370" s="32">
        <v>76000000</v>
      </c>
      <c r="K370" s="34">
        <v>76000000</v>
      </c>
      <c r="L370" s="48" t="s">
        <v>1319</v>
      </c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 spans="2:28" ht="15.75" customHeight="1">
      <c r="B371" s="42" t="s">
        <v>148</v>
      </c>
      <c r="C371" s="30" t="s">
        <v>549</v>
      </c>
      <c r="D371" s="32">
        <v>1549000000</v>
      </c>
      <c r="E371" s="32">
        <v>3049000000</v>
      </c>
      <c r="F371" s="32">
        <v>3567944639</v>
      </c>
      <c r="G371" s="32">
        <v>50000000</v>
      </c>
      <c r="H371" s="32">
        <v>1550000000</v>
      </c>
      <c r="I371" s="32">
        <v>2068944639</v>
      </c>
      <c r="J371" s="32">
        <v>1387218768</v>
      </c>
      <c r="K371" s="34">
        <v>1606770777</v>
      </c>
      <c r="L371" s="48" t="s">
        <v>1320</v>
      </c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 spans="2:28" ht="15.75" customHeight="1">
      <c r="B372" s="31" t="s">
        <v>1037</v>
      </c>
      <c r="C372" s="30" t="s">
        <v>549</v>
      </c>
      <c r="D372" s="32">
        <v>125000000</v>
      </c>
      <c r="E372" s="32">
        <v>125000000</v>
      </c>
      <c r="F372" s="32">
        <v>40816746</v>
      </c>
      <c r="G372" s="32">
        <v>125000000</v>
      </c>
      <c r="H372" s="32">
        <v>125000000</v>
      </c>
      <c r="I372" s="32">
        <v>40816746</v>
      </c>
      <c r="J372" s="42"/>
      <c r="K372" s="49"/>
      <c r="L372" s="48" t="s">
        <v>1321</v>
      </c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 spans="2:28" ht="15.75" customHeight="1">
      <c r="B373" s="31" t="s">
        <v>1038</v>
      </c>
      <c r="C373" s="30" t="s">
        <v>549</v>
      </c>
      <c r="D373" s="32">
        <v>100000000</v>
      </c>
      <c r="E373" s="32">
        <v>100000000</v>
      </c>
      <c r="F373" s="32">
        <v>25000000</v>
      </c>
      <c r="G373" s="32">
        <v>100000000</v>
      </c>
      <c r="H373" s="32">
        <v>100000000</v>
      </c>
      <c r="I373" s="32">
        <v>25000000</v>
      </c>
      <c r="J373" s="42"/>
      <c r="K373" s="49"/>
      <c r="L373" s="48" t="s">
        <v>1322</v>
      </c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 spans="2:28" ht="15.75" customHeight="1">
      <c r="B374" s="31" t="s">
        <v>1042</v>
      </c>
      <c r="C374" s="30" t="s">
        <v>549</v>
      </c>
      <c r="D374" s="32">
        <v>43000000</v>
      </c>
      <c r="E374" s="32">
        <v>43000000</v>
      </c>
      <c r="F374" s="42"/>
      <c r="G374" s="32">
        <v>43000000</v>
      </c>
      <c r="H374" s="32">
        <v>43000000</v>
      </c>
      <c r="I374" s="42"/>
      <c r="J374" s="42"/>
      <c r="K374" s="49"/>
      <c r="L374" s="48" t="s">
        <v>1323</v>
      </c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 spans="2:28" ht="15.75" customHeight="1">
      <c r="B375" s="42" t="s">
        <v>170</v>
      </c>
      <c r="C375" s="30" t="s">
        <v>549</v>
      </c>
      <c r="D375" s="32">
        <v>2700000000</v>
      </c>
      <c r="E375" s="32">
        <v>2100000000</v>
      </c>
      <c r="F375" s="32">
        <v>1650000000</v>
      </c>
      <c r="G375" s="32">
        <v>2700000000</v>
      </c>
      <c r="H375" s="32">
        <v>2100000000</v>
      </c>
      <c r="I375" s="32">
        <v>1650000000</v>
      </c>
      <c r="J375" s="32">
        <v>680500000</v>
      </c>
      <c r="K375" s="34">
        <v>1188559614</v>
      </c>
      <c r="L375" s="48" t="s">
        <v>1324</v>
      </c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 spans="2:28" ht="15.75" customHeight="1">
      <c r="B376" s="31" t="s">
        <v>1044</v>
      </c>
      <c r="C376" s="30" t="s">
        <v>549</v>
      </c>
      <c r="D376" s="32">
        <v>59290000</v>
      </c>
      <c r="E376" s="32">
        <v>59290000</v>
      </c>
      <c r="F376" s="32">
        <v>60799433</v>
      </c>
      <c r="G376" s="32">
        <v>59290000</v>
      </c>
      <c r="H376" s="32">
        <v>59290000</v>
      </c>
      <c r="I376" s="32">
        <v>60799433</v>
      </c>
      <c r="J376" s="32">
        <v>47600000</v>
      </c>
      <c r="K376" s="34">
        <v>60444162</v>
      </c>
      <c r="L376" s="48" t="s">
        <v>1325</v>
      </c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 spans="2:28" ht="15.75" customHeight="1">
      <c r="B377" s="31" t="s">
        <v>1045</v>
      </c>
      <c r="C377" s="30" t="s">
        <v>549</v>
      </c>
      <c r="D377" s="32">
        <v>136000000</v>
      </c>
      <c r="E377" s="32">
        <v>136000000</v>
      </c>
      <c r="F377" s="32">
        <v>40000000</v>
      </c>
      <c r="G377" s="32">
        <v>136000000</v>
      </c>
      <c r="H377" s="32">
        <v>136000000</v>
      </c>
      <c r="I377" s="32">
        <v>40000000</v>
      </c>
      <c r="J377" s="42"/>
      <c r="K377" s="34">
        <v>6849256</v>
      </c>
      <c r="L377" s="48" t="s">
        <v>1326</v>
      </c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 spans="2:28" ht="15.75" customHeight="1">
      <c r="B378" s="31" t="s">
        <v>188</v>
      </c>
      <c r="C378" s="30" t="s">
        <v>549</v>
      </c>
      <c r="D378" s="32">
        <v>682230000</v>
      </c>
      <c r="E378" s="32">
        <v>682230000</v>
      </c>
      <c r="F378" s="32">
        <v>462230000</v>
      </c>
      <c r="G378" s="32">
        <v>682230000</v>
      </c>
      <c r="H378" s="32">
        <v>682230000</v>
      </c>
      <c r="I378" s="32">
        <v>462230000</v>
      </c>
      <c r="J378" s="32">
        <v>378000000</v>
      </c>
      <c r="K378" s="34">
        <v>379455378</v>
      </c>
      <c r="L378" s="48" t="s">
        <v>1327</v>
      </c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 spans="2:28" ht="15.75" customHeight="1">
      <c r="B379" s="31" t="s">
        <v>1047</v>
      </c>
      <c r="C379" s="30" t="s">
        <v>549</v>
      </c>
      <c r="D379" s="42"/>
      <c r="E379" s="42"/>
      <c r="F379" s="32">
        <v>1200000</v>
      </c>
      <c r="G379" s="42"/>
      <c r="H379" s="42"/>
      <c r="I379" s="32">
        <v>1200000</v>
      </c>
      <c r="J379" s="32">
        <v>606600</v>
      </c>
      <c r="K379" s="49"/>
      <c r="L379" s="48" t="s">
        <v>1328</v>
      </c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 spans="2:28" ht="15.75" customHeight="1">
      <c r="B380" s="55" t="s">
        <v>468</v>
      </c>
      <c r="C380" s="30" t="s">
        <v>549</v>
      </c>
      <c r="D380" s="38">
        <v>676514641350</v>
      </c>
      <c r="E380" s="38">
        <v>650574207350</v>
      </c>
      <c r="F380" s="38">
        <v>683005917024</v>
      </c>
      <c r="G380" s="38">
        <v>391760838196</v>
      </c>
      <c r="H380" s="38">
        <v>363220404196</v>
      </c>
      <c r="I380" s="38">
        <v>346797008772</v>
      </c>
      <c r="J380" s="38">
        <v>306523050449</v>
      </c>
      <c r="K380" s="39">
        <v>540943569736</v>
      </c>
      <c r="L380" s="50" t="s">
        <v>1329</v>
      </c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spans="2:28" ht="15.75" customHeight="1">
      <c r="B381" s="30"/>
      <c r="C381" s="30"/>
      <c r="D381" s="40"/>
      <c r="E381" s="40"/>
      <c r="F381" s="40"/>
      <c r="G381" s="40"/>
      <c r="H381" s="40"/>
      <c r="I381" s="40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 spans="2:28" ht="15.75" customHeight="1">
      <c r="B382" s="56" t="s">
        <v>0</v>
      </c>
      <c r="C382" s="56"/>
      <c r="D382" s="57" t="s">
        <v>1048</v>
      </c>
      <c r="E382" s="57" t="s">
        <v>1330</v>
      </c>
      <c r="F382" s="57" t="s">
        <v>1331</v>
      </c>
      <c r="G382" s="58" t="s">
        <v>1332</v>
      </c>
      <c r="H382" s="58" t="s">
        <v>1333</v>
      </c>
      <c r="I382" s="58" t="s">
        <v>1334</v>
      </c>
      <c r="J382" s="59" t="s">
        <v>1335</v>
      </c>
      <c r="K382" s="59" t="s">
        <v>1336</v>
      </c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</row>
    <row r="383" spans="2:28" ht="15.75" customHeight="1">
      <c r="B383" s="31" t="s">
        <v>976</v>
      </c>
      <c r="C383" s="30" t="s">
        <v>629</v>
      </c>
      <c r="D383" s="32">
        <v>1110000000</v>
      </c>
      <c r="E383" s="32">
        <v>893500000</v>
      </c>
      <c r="F383" s="32">
        <v>1075932530</v>
      </c>
      <c r="G383" s="32">
        <v>1110000000</v>
      </c>
      <c r="H383" s="32">
        <v>893500000</v>
      </c>
      <c r="I383" s="32">
        <v>1075932530</v>
      </c>
      <c r="J383" s="32">
        <v>726864144</v>
      </c>
      <c r="K383" s="45">
        <v>822056800</v>
      </c>
      <c r="L383" s="48" t="s">
        <v>1337</v>
      </c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 spans="2:28" ht="15.75" customHeight="1">
      <c r="B384" s="42" t="s">
        <v>202</v>
      </c>
      <c r="C384" s="30" t="s">
        <v>629</v>
      </c>
      <c r="D384" s="32">
        <v>17616796889</v>
      </c>
      <c r="E384" s="32">
        <v>18082496889</v>
      </c>
      <c r="F384" s="32">
        <v>15331087110</v>
      </c>
      <c r="G384" s="32">
        <v>17180800000</v>
      </c>
      <c r="H384" s="32">
        <v>17646500000</v>
      </c>
      <c r="I384" s="32">
        <v>14895090221</v>
      </c>
      <c r="J384" s="42" t="s">
        <v>1338</v>
      </c>
      <c r="K384" s="45">
        <v>13331495709</v>
      </c>
      <c r="L384" s="48" t="s">
        <v>1339</v>
      </c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 spans="2:28" ht="15.75" customHeight="1">
      <c r="B385" s="42" t="s">
        <v>54</v>
      </c>
      <c r="C385" s="30" t="s">
        <v>629</v>
      </c>
      <c r="D385" s="32">
        <v>900000000</v>
      </c>
      <c r="E385" s="32">
        <v>900000000</v>
      </c>
      <c r="F385" s="32">
        <v>553323930</v>
      </c>
      <c r="G385" s="32">
        <v>900000000</v>
      </c>
      <c r="H385" s="32">
        <v>900000000</v>
      </c>
      <c r="I385" s="32">
        <v>553323930</v>
      </c>
      <c r="J385" s="32">
        <v>404155200</v>
      </c>
      <c r="K385" s="45">
        <v>395758025</v>
      </c>
      <c r="L385" s="48" t="s">
        <v>1340</v>
      </c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 spans="2:28" ht="15.75" customHeight="1">
      <c r="B386" s="42" t="s">
        <v>207</v>
      </c>
      <c r="C386" s="30" t="s">
        <v>629</v>
      </c>
      <c r="D386" s="32">
        <v>3539300000</v>
      </c>
      <c r="E386" s="32">
        <v>3539300000</v>
      </c>
      <c r="F386" s="32">
        <v>8073000000</v>
      </c>
      <c r="G386" s="32">
        <v>2539300000</v>
      </c>
      <c r="H386" s="32">
        <v>2539300000</v>
      </c>
      <c r="I386" s="32">
        <v>2974999990</v>
      </c>
      <c r="J386" s="32">
        <v>337916600</v>
      </c>
      <c r="K386" s="45">
        <v>6601679490</v>
      </c>
      <c r="L386" s="48" t="s">
        <v>1341</v>
      </c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 spans="2:28" ht="15.75" customHeight="1">
      <c r="B387" s="42" t="s">
        <v>634</v>
      </c>
      <c r="C387" s="30" t="s">
        <v>629</v>
      </c>
      <c r="D387" s="32">
        <v>4519450000</v>
      </c>
      <c r="E387" s="32">
        <v>4355875000</v>
      </c>
      <c r="F387" s="32">
        <v>4345875000</v>
      </c>
      <c r="G387" s="32">
        <v>2950100000</v>
      </c>
      <c r="H387" s="32">
        <v>2786525000</v>
      </c>
      <c r="I387" s="32">
        <v>2776525000</v>
      </c>
      <c r="J387" s="32">
        <v>2666158200</v>
      </c>
      <c r="K387" s="45">
        <v>3720055425</v>
      </c>
      <c r="L387" s="48" t="s">
        <v>1342</v>
      </c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 spans="2:28" ht="15.75" customHeight="1">
      <c r="B388" s="42" t="s">
        <v>636</v>
      </c>
      <c r="C388" s="30" t="s">
        <v>629</v>
      </c>
      <c r="D388" s="32">
        <v>37478856000</v>
      </c>
      <c r="E388" s="32">
        <v>29977673156</v>
      </c>
      <c r="F388" s="32">
        <v>33962714656</v>
      </c>
      <c r="G388" s="32">
        <v>36861756000</v>
      </c>
      <c r="H388" s="32">
        <v>29360573156</v>
      </c>
      <c r="I388" s="32">
        <v>33345614656</v>
      </c>
      <c r="J388" s="32">
        <v>33279866949</v>
      </c>
      <c r="K388" s="45">
        <v>34506592792</v>
      </c>
      <c r="L388" s="48" t="s">
        <v>1343</v>
      </c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 spans="2:28" ht="15.75" customHeight="1">
      <c r="B389" s="31" t="s">
        <v>987</v>
      </c>
      <c r="C389" s="30" t="s">
        <v>629</v>
      </c>
      <c r="D389" s="32">
        <v>45000000</v>
      </c>
      <c r="E389" s="32">
        <v>45000000</v>
      </c>
      <c r="F389" s="32">
        <v>7474995045</v>
      </c>
      <c r="G389" s="42"/>
      <c r="H389" s="42"/>
      <c r="I389" s="42"/>
      <c r="J389" s="42"/>
      <c r="K389" s="45">
        <v>5959506872</v>
      </c>
      <c r="L389" s="48" t="s">
        <v>1344</v>
      </c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 spans="2:28" ht="15.75" customHeight="1">
      <c r="B390" s="42" t="s">
        <v>639</v>
      </c>
      <c r="C390" s="30" t="s">
        <v>629</v>
      </c>
      <c r="D390" s="32">
        <v>2000000000</v>
      </c>
      <c r="E390" s="32">
        <v>247499999</v>
      </c>
      <c r="F390" s="32">
        <v>455697738</v>
      </c>
      <c r="G390" s="32">
        <v>2000000000</v>
      </c>
      <c r="H390" s="32">
        <v>247499999</v>
      </c>
      <c r="I390" s="32">
        <v>455697738</v>
      </c>
      <c r="J390" s="32">
        <v>372400000</v>
      </c>
      <c r="K390" s="45">
        <v>93897836</v>
      </c>
      <c r="L390" s="48" t="s">
        <v>1345</v>
      </c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 spans="2:28" ht="15.75" customHeight="1">
      <c r="B391" s="42" t="s">
        <v>75</v>
      </c>
      <c r="C391" s="30" t="s">
        <v>629</v>
      </c>
      <c r="D391" s="32">
        <v>6406730000</v>
      </c>
      <c r="E391" s="32">
        <v>7256718600</v>
      </c>
      <c r="F391" s="32">
        <v>7820658996</v>
      </c>
      <c r="G391" s="32">
        <v>6292000000</v>
      </c>
      <c r="H391" s="32">
        <v>7141988600</v>
      </c>
      <c r="I391" s="32">
        <v>7705928996</v>
      </c>
      <c r="J391" s="32">
        <v>7520847760</v>
      </c>
      <c r="K391" s="45">
        <v>7079278454</v>
      </c>
      <c r="L391" s="48" t="s">
        <v>1346</v>
      </c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 spans="2:28" ht="15.75" customHeight="1">
      <c r="B392" s="42" t="s">
        <v>72</v>
      </c>
      <c r="C392" s="30" t="s">
        <v>629</v>
      </c>
      <c r="D392" s="32">
        <v>5646000000</v>
      </c>
      <c r="E392" s="32">
        <v>5735000000</v>
      </c>
      <c r="F392" s="32">
        <v>5124910908</v>
      </c>
      <c r="G392" s="32">
        <v>4346000000</v>
      </c>
      <c r="H392" s="32">
        <v>4435000000</v>
      </c>
      <c r="I392" s="32">
        <v>1824910908</v>
      </c>
      <c r="J392" s="32">
        <v>1121536000</v>
      </c>
      <c r="K392" s="45">
        <v>3577009651</v>
      </c>
      <c r="L392" s="48" t="s">
        <v>1347</v>
      </c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 spans="2:28" ht="15.75" customHeight="1">
      <c r="B393" s="31" t="s">
        <v>217</v>
      </c>
      <c r="C393" s="30" t="s">
        <v>629</v>
      </c>
      <c r="D393" s="32">
        <v>12668100000</v>
      </c>
      <c r="E393" s="32">
        <v>5435849998</v>
      </c>
      <c r="F393" s="32">
        <v>4998859688</v>
      </c>
      <c r="G393" s="32">
        <v>9692750000</v>
      </c>
      <c r="H393" s="32">
        <v>2460499998</v>
      </c>
      <c r="I393" s="32">
        <v>2023509688</v>
      </c>
      <c r="J393" s="32">
        <v>1612056547</v>
      </c>
      <c r="K393" s="45">
        <v>3893260310</v>
      </c>
      <c r="L393" s="48" t="s">
        <v>1348</v>
      </c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 spans="2:28" ht="15.75" customHeight="1">
      <c r="B394" s="31" t="s">
        <v>995</v>
      </c>
      <c r="C394" s="30" t="s">
        <v>629</v>
      </c>
      <c r="D394" s="32">
        <v>43908042616</v>
      </c>
      <c r="E394" s="32">
        <v>46745013082</v>
      </c>
      <c r="F394" s="32">
        <v>29224191682</v>
      </c>
      <c r="G394" s="32">
        <v>26546819817</v>
      </c>
      <c r="H394" s="32">
        <v>29383790283</v>
      </c>
      <c r="I394" s="32">
        <v>11862968883</v>
      </c>
      <c r="J394" s="32">
        <v>9489920771</v>
      </c>
      <c r="K394" s="45">
        <v>9456605843</v>
      </c>
      <c r="L394" s="48" t="s">
        <v>1349</v>
      </c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 spans="2:28" ht="15.75" customHeight="1">
      <c r="B395" s="42" t="s">
        <v>228</v>
      </c>
      <c r="C395" s="30" t="s">
        <v>629</v>
      </c>
      <c r="D395" s="32">
        <v>30978663319</v>
      </c>
      <c r="E395" s="32">
        <v>30022431054</v>
      </c>
      <c r="F395" s="32">
        <v>36781925264</v>
      </c>
      <c r="G395" s="32">
        <v>19616441419</v>
      </c>
      <c r="H395" s="32">
        <v>18660209154</v>
      </c>
      <c r="I395" s="32">
        <v>22834996499</v>
      </c>
      <c r="J395" s="32">
        <v>15687561371</v>
      </c>
      <c r="K395" s="45">
        <v>19763223525</v>
      </c>
      <c r="L395" s="48" t="s">
        <v>1350</v>
      </c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 spans="2:28" ht="15.75" customHeight="1">
      <c r="B396" s="42" t="s">
        <v>325</v>
      </c>
      <c r="C396" s="30" t="s">
        <v>629</v>
      </c>
      <c r="D396" s="32">
        <v>134987591571</v>
      </c>
      <c r="E396" s="32">
        <v>129987591571</v>
      </c>
      <c r="F396" s="32">
        <v>106476451245</v>
      </c>
      <c r="G396" s="32">
        <v>81859000000</v>
      </c>
      <c r="H396" s="32">
        <v>76859000000</v>
      </c>
      <c r="I396" s="32">
        <v>53347859674</v>
      </c>
      <c r="J396" s="32">
        <v>51237673853</v>
      </c>
      <c r="K396" s="45">
        <v>73312347689</v>
      </c>
      <c r="L396" s="48" t="s">
        <v>1351</v>
      </c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 spans="2:28" ht="15.75" customHeight="1">
      <c r="B397" s="31" t="s">
        <v>327</v>
      </c>
      <c r="C397" s="30" t="s">
        <v>629</v>
      </c>
      <c r="D397" s="32">
        <v>96769432000</v>
      </c>
      <c r="E397" s="32">
        <v>88969432000</v>
      </c>
      <c r="F397" s="32">
        <v>104061800000</v>
      </c>
      <c r="G397" s="32">
        <v>15575000000</v>
      </c>
      <c r="H397" s="32">
        <v>7775000000</v>
      </c>
      <c r="I397" s="32">
        <v>17382800000</v>
      </c>
      <c r="J397" s="32">
        <v>12450839326</v>
      </c>
      <c r="K397" s="45">
        <v>99930463773</v>
      </c>
      <c r="L397" s="48" t="s">
        <v>1352</v>
      </c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 spans="2:28" ht="15.75" customHeight="1">
      <c r="B398" s="42" t="s">
        <v>91</v>
      </c>
      <c r="C398" s="30" t="s">
        <v>629</v>
      </c>
      <c r="D398" s="32">
        <v>14272000000</v>
      </c>
      <c r="E398" s="32">
        <v>13342065000</v>
      </c>
      <c r="F398" s="32">
        <v>15973664394</v>
      </c>
      <c r="G398" s="32">
        <v>9247000000</v>
      </c>
      <c r="H398" s="32">
        <v>8317065000</v>
      </c>
      <c r="I398" s="32">
        <v>10948664394</v>
      </c>
      <c r="J398" s="32">
        <v>8879560635</v>
      </c>
      <c r="K398" s="45">
        <v>8550039894</v>
      </c>
      <c r="L398" s="48" t="s">
        <v>1353</v>
      </c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 spans="2:28" ht="15.75" customHeight="1">
      <c r="B399" s="42" t="s">
        <v>1354</v>
      </c>
      <c r="C399" s="30" t="s">
        <v>629</v>
      </c>
      <c r="D399" s="32">
        <v>2176090000</v>
      </c>
      <c r="E399" s="32">
        <v>544022500</v>
      </c>
      <c r="F399" s="32">
        <v>714490253</v>
      </c>
      <c r="G399" s="32">
        <v>2176090000</v>
      </c>
      <c r="H399" s="32">
        <v>544022500</v>
      </c>
      <c r="I399" s="32">
        <v>714490253</v>
      </c>
      <c r="J399" s="32">
        <v>472231100</v>
      </c>
      <c r="K399" s="45">
        <v>626135110</v>
      </c>
      <c r="L399" s="48" t="s">
        <v>1355</v>
      </c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 spans="2:28" ht="15.75" customHeight="1">
      <c r="B400" s="42" t="s">
        <v>652</v>
      </c>
      <c r="C400" s="30" t="s">
        <v>629</v>
      </c>
      <c r="D400" s="32">
        <v>29777370000</v>
      </c>
      <c r="E400" s="32">
        <v>32582516698</v>
      </c>
      <c r="F400" s="32">
        <v>36350937411</v>
      </c>
      <c r="G400" s="32">
        <v>8895600000</v>
      </c>
      <c r="H400" s="32">
        <v>11700746698</v>
      </c>
      <c r="I400" s="32">
        <v>15469167411</v>
      </c>
      <c r="J400" s="32">
        <v>13992491517</v>
      </c>
      <c r="K400" s="45">
        <v>29522337052</v>
      </c>
      <c r="L400" s="48" t="s">
        <v>1356</v>
      </c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 spans="2:28" ht="15.75" customHeight="1">
      <c r="B401" s="42" t="s">
        <v>95</v>
      </c>
      <c r="C401" s="30" t="s">
        <v>629</v>
      </c>
      <c r="D401" s="32">
        <v>12258300000</v>
      </c>
      <c r="E401" s="32">
        <v>12458300000</v>
      </c>
      <c r="F401" s="32">
        <v>10372182477</v>
      </c>
      <c r="G401" s="32">
        <v>9022300000</v>
      </c>
      <c r="H401" s="32">
        <v>9222300000</v>
      </c>
      <c r="I401" s="32">
        <v>7136182477</v>
      </c>
      <c r="J401" s="32">
        <v>6158882477</v>
      </c>
      <c r="K401" s="45">
        <v>6310141785</v>
      </c>
      <c r="L401" s="48" t="s">
        <v>1357</v>
      </c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 spans="2:28" ht="15.75" customHeight="1">
      <c r="B402" s="42" t="s">
        <v>655</v>
      </c>
      <c r="C402" s="30" t="s">
        <v>629</v>
      </c>
      <c r="D402" s="32">
        <v>3629000000</v>
      </c>
      <c r="E402" s="32">
        <v>2303625000</v>
      </c>
      <c r="F402" s="32">
        <v>1760081875</v>
      </c>
      <c r="G402" s="32">
        <v>3371642000</v>
      </c>
      <c r="H402" s="32">
        <v>2046267000</v>
      </c>
      <c r="I402" s="32">
        <v>1502723875</v>
      </c>
      <c r="J402" s="32">
        <v>1061153385</v>
      </c>
      <c r="K402" s="45">
        <v>985886822</v>
      </c>
      <c r="L402" s="48" t="s">
        <v>1358</v>
      </c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 spans="2:28" ht="15.75" customHeight="1">
      <c r="B403" s="42" t="s">
        <v>657</v>
      </c>
      <c r="C403" s="30" t="s">
        <v>629</v>
      </c>
      <c r="D403" s="32">
        <v>3877320990</v>
      </c>
      <c r="E403" s="32">
        <v>3164070990</v>
      </c>
      <c r="F403" s="32">
        <v>2698332302</v>
      </c>
      <c r="G403" s="32">
        <v>2813000000</v>
      </c>
      <c r="H403" s="32">
        <v>2099750000</v>
      </c>
      <c r="I403" s="32">
        <v>1634011312</v>
      </c>
      <c r="J403" s="32">
        <v>1323550000</v>
      </c>
      <c r="K403" s="45">
        <v>1327538144</v>
      </c>
      <c r="L403" s="48" t="s">
        <v>1359</v>
      </c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 spans="2:28" ht="15.75" customHeight="1">
      <c r="B404" s="42" t="s">
        <v>244</v>
      </c>
      <c r="C404" s="30" t="s">
        <v>629</v>
      </c>
      <c r="D404" s="32">
        <v>3770000000</v>
      </c>
      <c r="E404" s="32">
        <v>3563375000</v>
      </c>
      <c r="F404" s="32">
        <v>2797595734</v>
      </c>
      <c r="G404" s="32">
        <v>3770000000</v>
      </c>
      <c r="H404" s="32">
        <v>3563375000</v>
      </c>
      <c r="I404" s="32">
        <v>2797595734</v>
      </c>
      <c r="J404" s="32">
        <v>2397402050</v>
      </c>
      <c r="K404" s="45">
        <v>2340651327</v>
      </c>
      <c r="L404" s="48" t="s">
        <v>1360</v>
      </c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 spans="2:28" ht="15.75" customHeight="1">
      <c r="B405" s="42" t="s">
        <v>1361</v>
      </c>
      <c r="C405" s="30" t="s">
        <v>629</v>
      </c>
      <c r="D405" s="32">
        <v>19247000000</v>
      </c>
      <c r="E405" s="32">
        <v>11947478834</v>
      </c>
      <c r="F405" s="32">
        <v>10563519068</v>
      </c>
      <c r="G405" s="32">
        <v>16201000000</v>
      </c>
      <c r="H405" s="32">
        <v>8901478834</v>
      </c>
      <c r="I405" s="32">
        <v>7517519068</v>
      </c>
      <c r="J405" s="32">
        <v>7192341183</v>
      </c>
      <c r="K405" s="45">
        <v>7191885876</v>
      </c>
      <c r="L405" s="48" t="s">
        <v>1362</v>
      </c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 spans="2:28" ht="15.75" customHeight="1">
      <c r="B406" s="42" t="s">
        <v>1363</v>
      </c>
      <c r="C406" s="30" t="s">
        <v>629</v>
      </c>
      <c r="D406" s="32">
        <v>764000000</v>
      </c>
      <c r="E406" s="32">
        <v>191000000</v>
      </c>
      <c r="F406" s="32">
        <v>380483438</v>
      </c>
      <c r="G406" s="32">
        <v>764000000</v>
      </c>
      <c r="H406" s="32">
        <v>191000000</v>
      </c>
      <c r="I406" s="32">
        <v>380483438</v>
      </c>
      <c r="J406" s="32">
        <v>280100000</v>
      </c>
      <c r="K406" s="45">
        <v>378111880</v>
      </c>
      <c r="L406" s="48" t="s">
        <v>1364</v>
      </c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 spans="2:28" ht="15.75" customHeight="1">
      <c r="B407" s="42" t="s">
        <v>663</v>
      </c>
      <c r="C407" s="30" t="s">
        <v>629</v>
      </c>
      <c r="D407" s="32">
        <v>560000001</v>
      </c>
      <c r="E407" s="32">
        <v>2950000000</v>
      </c>
      <c r="F407" s="32">
        <v>2873899981</v>
      </c>
      <c r="G407" s="32">
        <v>560000001</v>
      </c>
      <c r="H407" s="32">
        <v>2950000000</v>
      </c>
      <c r="I407" s="32">
        <v>2246899981</v>
      </c>
      <c r="J407" s="32">
        <v>2246010000</v>
      </c>
      <c r="K407" s="45">
        <v>2293273796</v>
      </c>
      <c r="L407" s="48" t="s">
        <v>1365</v>
      </c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 spans="2:28" ht="15.75" customHeight="1">
      <c r="B408" s="42" t="s">
        <v>665</v>
      </c>
      <c r="C408" s="30" t="s">
        <v>629</v>
      </c>
      <c r="D408" s="32">
        <v>1046978010</v>
      </c>
      <c r="E408" s="32">
        <v>683228010</v>
      </c>
      <c r="F408" s="32">
        <v>591913837</v>
      </c>
      <c r="G408" s="32">
        <v>1005000000</v>
      </c>
      <c r="H408" s="32">
        <v>641250000</v>
      </c>
      <c r="I408" s="32">
        <v>549935827</v>
      </c>
      <c r="J408" s="32">
        <v>548100000</v>
      </c>
      <c r="K408" s="45">
        <v>549748875</v>
      </c>
      <c r="L408" s="48" t="s">
        <v>1366</v>
      </c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 spans="2:28" ht="15.75" customHeight="1">
      <c r="B409" s="42" t="s">
        <v>111</v>
      </c>
      <c r="C409" s="30" t="s">
        <v>629</v>
      </c>
      <c r="D409" s="32">
        <v>75166704310</v>
      </c>
      <c r="E409" s="32">
        <v>82725394310</v>
      </c>
      <c r="F409" s="32">
        <v>83783708447</v>
      </c>
      <c r="G409" s="32">
        <v>31301004658</v>
      </c>
      <c r="H409" s="32">
        <v>38859694658</v>
      </c>
      <c r="I409" s="32">
        <v>39918008795</v>
      </c>
      <c r="J409" s="32">
        <v>38557997865</v>
      </c>
      <c r="K409" s="45">
        <v>31919656018</v>
      </c>
      <c r="L409" s="48" t="s">
        <v>1367</v>
      </c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 spans="2:28" ht="15.75" customHeight="1">
      <c r="B410" s="42" t="s">
        <v>669</v>
      </c>
      <c r="C410" s="30" t="s">
        <v>629</v>
      </c>
      <c r="D410" s="32">
        <v>5138500000</v>
      </c>
      <c r="E410" s="32">
        <v>4276875000</v>
      </c>
      <c r="F410" s="32">
        <v>3405698000</v>
      </c>
      <c r="G410" s="32">
        <v>2925500000</v>
      </c>
      <c r="H410" s="32">
        <v>2063875000</v>
      </c>
      <c r="I410" s="32">
        <v>1192698000</v>
      </c>
      <c r="J410" s="32">
        <v>807029375</v>
      </c>
      <c r="K410" s="45">
        <v>2990045956</v>
      </c>
      <c r="L410" s="48" t="s">
        <v>1368</v>
      </c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 spans="2:28" ht="15.75" customHeight="1">
      <c r="B411" s="42" t="s">
        <v>506</v>
      </c>
      <c r="C411" s="30" t="s">
        <v>629</v>
      </c>
      <c r="D411" s="32">
        <v>10601800000</v>
      </c>
      <c r="E411" s="32">
        <v>15035194148</v>
      </c>
      <c r="F411" s="32">
        <v>11957968561</v>
      </c>
      <c r="G411" s="32">
        <v>8901401537</v>
      </c>
      <c r="H411" s="32">
        <v>13334795685</v>
      </c>
      <c r="I411" s="32">
        <v>9207570098</v>
      </c>
      <c r="J411" s="32">
        <v>7268691783</v>
      </c>
      <c r="K411" s="45">
        <v>8662045591</v>
      </c>
      <c r="L411" s="48" t="s">
        <v>1369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 spans="2:28" ht="15.75" customHeight="1">
      <c r="B412" s="42" t="s">
        <v>252</v>
      </c>
      <c r="C412" s="30" t="s">
        <v>629</v>
      </c>
      <c r="D412" s="32">
        <v>5498980000</v>
      </c>
      <c r="E412" s="32">
        <v>3693332750</v>
      </c>
      <c r="F412" s="32">
        <v>4993882845</v>
      </c>
      <c r="G412" s="32">
        <v>4681665000</v>
      </c>
      <c r="H412" s="32">
        <v>2876017750</v>
      </c>
      <c r="I412" s="32">
        <v>4176567845</v>
      </c>
      <c r="J412" s="32">
        <v>3223191723</v>
      </c>
      <c r="K412" s="45">
        <v>3761707365</v>
      </c>
      <c r="L412" s="48" t="s">
        <v>1370</v>
      </c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 spans="2:28" ht="15.75" customHeight="1">
      <c r="B413" s="42" t="s">
        <v>1371</v>
      </c>
      <c r="C413" s="30" t="s">
        <v>629</v>
      </c>
      <c r="D413" s="32">
        <v>914000000</v>
      </c>
      <c r="E413" s="32">
        <v>420920000</v>
      </c>
      <c r="F413" s="32">
        <v>313976804</v>
      </c>
      <c r="G413" s="32">
        <v>914000000</v>
      </c>
      <c r="H413" s="32">
        <v>420920000</v>
      </c>
      <c r="I413" s="32">
        <v>313976804</v>
      </c>
      <c r="J413" s="32">
        <v>261443952</v>
      </c>
      <c r="K413" s="45">
        <v>100084854</v>
      </c>
      <c r="L413" s="48" t="s">
        <v>1372</v>
      </c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 spans="2:28" ht="15.75" customHeight="1">
      <c r="B414" s="42" t="s">
        <v>676</v>
      </c>
      <c r="C414" s="30" t="s">
        <v>629</v>
      </c>
      <c r="D414" s="32">
        <v>5381062000</v>
      </c>
      <c r="E414" s="32">
        <v>2614687000</v>
      </c>
      <c r="F414" s="32">
        <v>4035088489</v>
      </c>
      <c r="G414" s="32">
        <v>5327062000</v>
      </c>
      <c r="H414" s="32">
        <v>2560687000</v>
      </c>
      <c r="I414" s="32">
        <v>3981088489</v>
      </c>
      <c r="J414" s="32">
        <v>3890536150</v>
      </c>
      <c r="K414" s="45">
        <v>1460634360</v>
      </c>
      <c r="L414" s="48" t="s">
        <v>1373</v>
      </c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 spans="2:28" ht="15.75" customHeight="1">
      <c r="B415" s="42" t="s">
        <v>119</v>
      </c>
      <c r="C415" s="30" t="s">
        <v>629</v>
      </c>
      <c r="D415" s="32">
        <v>490000000</v>
      </c>
      <c r="E415" s="32">
        <v>385000000</v>
      </c>
      <c r="F415" s="32">
        <v>555000000</v>
      </c>
      <c r="G415" s="32">
        <v>490000000</v>
      </c>
      <c r="H415" s="32">
        <v>385000000</v>
      </c>
      <c r="I415" s="32">
        <v>555000000</v>
      </c>
      <c r="J415" s="32">
        <v>462449000</v>
      </c>
      <c r="K415" s="45">
        <v>462435400</v>
      </c>
      <c r="L415" s="48" t="s">
        <v>1374</v>
      </c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 spans="2:28" ht="15.75" customHeight="1">
      <c r="B416" s="42" t="s">
        <v>121</v>
      </c>
      <c r="C416" s="30" t="s">
        <v>629</v>
      </c>
      <c r="D416" s="32">
        <v>327500000</v>
      </c>
      <c r="E416" s="32">
        <v>71250000</v>
      </c>
      <c r="F416" s="32">
        <v>47566957</v>
      </c>
      <c r="G416" s="32">
        <v>327500000</v>
      </c>
      <c r="H416" s="32">
        <v>71250000</v>
      </c>
      <c r="I416" s="32">
        <v>47566957</v>
      </c>
      <c r="J416" s="32">
        <v>39863100</v>
      </c>
      <c r="K416" s="45">
        <v>47028836</v>
      </c>
      <c r="L416" s="48" t="s">
        <v>1375</v>
      </c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 spans="2:28" ht="15.75" customHeight="1">
      <c r="B417" s="42" t="s">
        <v>680</v>
      </c>
      <c r="C417" s="30" t="s">
        <v>629</v>
      </c>
      <c r="D417" s="32">
        <v>65000000</v>
      </c>
      <c r="E417" s="32">
        <v>65000000</v>
      </c>
      <c r="F417" s="32">
        <v>65000000</v>
      </c>
      <c r="G417" s="42"/>
      <c r="H417" s="42"/>
      <c r="I417" s="42"/>
      <c r="J417" s="42"/>
      <c r="K417" s="45">
        <v>7698000</v>
      </c>
      <c r="L417" s="48" t="s">
        <v>1376</v>
      </c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 spans="2:28" ht="15.75" customHeight="1">
      <c r="B418" s="42" t="s">
        <v>264</v>
      </c>
      <c r="C418" s="30" t="s">
        <v>629</v>
      </c>
      <c r="D418" s="32">
        <v>1044100000</v>
      </c>
      <c r="E418" s="32">
        <v>636024999</v>
      </c>
      <c r="F418" s="32">
        <v>392926951</v>
      </c>
      <c r="G418" s="32">
        <v>1044100000</v>
      </c>
      <c r="H418" s="32">
        <v>636024999</v>
      </c>
      <c r="I418" s="32">
        <v>392926951</v>
      </c>
      <c r="J418" s="32">
        <v>339040075</v>
      </c>
      <c r="K418" s="45">
        <v>234600092</v>
      </c>
      <c r="L418" s="48" t="s">
        <v>1377</v>
      </c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 spans="2:28" ht="15.75" customHeight="1">
      <c r="B419" s="42" t="s">
        <v>512</v>
      </c>
      <c r="C419" s="30" t="s">
        <v>629</v>
      </c>
      <c r="D419" s="32">
        <v>14959750000</v>
      </c>
      <c r="E419" s="32">
        <v>14663955283</v>
      </c>
      <c r="F419" s="32">
        <v>13017955283</v>
      </c>
      <c r="G419" s="32">
        <v>14959750000</v>
      </c>
      <c r="H419" s="32">
        <v>14663955283</v>
      </c>
      <c r="I419" s="32">
        <v>13017955283</v>
      </c>
      <c r="J419" s="32">
        <v>9362648630</v>
      </c>
      <c r="K419" s="45">
        <v>12312765141</v>
      </c>
      <c r="L419" s="48" t="s">
        <v>1378</v>
      </c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 spans="2:28" ht="15.75" customHeight="1">
      <c r="B420" s="42" t="s">
        <v>684</v>
      </c>
      <c r="C420" s="30" t="s">
        <v>629</v>
      </c>
      <c r="D420" s="32">
        <v>1256321429</v>
      </c>
      <c r="E420" s="32">
        <v>330821429</v>
      </c>
      <c r="F420" s="32">
        <v>208068224</v>
      </c>
      <c r="G420" s="32">
        <v>1234000000</v>
      </c>
      <c r="H420" s="32">
        <v>308500000</v>
      </c>
      <c r="I420" s="32">
        <v>185746795</v>
      </c>
      <c r="J420" s="32">
        <v>185746795</v>
      </c>
      <c r="K420" s="45">
        <v>177661765</v>
      </c>
      <c r="L420" s="48" t="s">
        <v>1379</v>
      </c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 spans="2:28" ht="15.75" customHeight="1">
      <c r="B421" s="42" t="s">
        <v>595</v>
      </c>
      <c r="C421" s="30" t="s">
        <v>629</v>
      </c>
      <c r="D421" s="32">
        <v>3921000000</v>
      </c>
      <c r="E421" s="32">
        <v>980250000</v>
      </c>
      <c r="F421" s="32">
        <v>980250000</v>
      </c>
      <c r="G421" s="32">
        <v>3921000000</v>
      </c>
      <c r="H421" s="32">
        <v>980250000</v>
      </c>
      <c r="I421" s="32">
        <v>980250000</v>
      </c>
      <c r="J421" s="32">
        <v>554657960</v>
      </c>
      <c r="K421" s="45">
        <v>939726163</v>
      </c>
      <c r="L421" s="48" t="s">
        <v>1380</v>
      </c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 spans="2:28" ht="15.75" customHeight="1">
      <c r="B422" s="42" t="s">
        <v>1313</v>
      </c>
      <c r="C422" s="30" t="s">
        <v>629</v>
      </c>
      <c r="D422" s="32">
        <v>12990000000</v>
      </c>
      <c r="E422" s="32">
        <v>11891899727</v>
      </c>
      <c r="F422" s="32">
        <v>11854092379</v>
      </c>
      <c r="G422" s="32">
        <v>12990000000</v>
      </c>
      <c r="H422" s="32">
        <v>11891899727</v>
      </c>
      <c r="I422" s="32">
        <v>11854092379</v>
      </c>
      <c r="J422" s="32">
        <v>8261264831</v>
      </c>
      <c r="K422" s="45">
        <v>11680336162</v>
      </c>
      <c r="L422" s="48" t="s">
        <v>1381</v>
      </c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 spans="2:28" ht="15.75" customHeight="1">
      <c r="B423" s="42" t="s">
        <v>275</v>
      </c>
      <c r="C423" s="30" t="s">
        <v>629</v>
      </c>
      <c r="D423" s="32">
        <v>3430000000</v>
      </c>
      <c r="E423" s="32">
        <v>3187500000</v>
      </c>
      <c r="F423" s="32">
        <v>3187500000</v>
      </c>
      <c r="G423" s="32">
        <v>3430000000</v>
      </c>
      <c r="H423" s="32">
        <v>3187750000</v>
      </c>
      <c r="I423" s="32">
        <v>3187750000</v>
      </c>
      <c r="J423" s="32">
        <v>3187750000</v>
      </c>
      <c r="K423" s="45">
        <v>3187750000</v>
      </c>
      <c r="L423" s="48" t="s">
        <v>1382</v>
      </c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 spans="2:28" ht="15.75" customHeight="1">
      <c r="B424" s="42" t="s">
        <v>280</v>
      </c>
      <c r="C424" s="30" t="s">
        <v>629</v>
      </c>
      <c r="D424" s="32">
        <v>1445928571</v>
      </c>
      <c r="E424" s="32">
        <v>388178571</v>
      </c>
      <c r="F424" s="32">
        <v>382103196</v>
      </c>
      <c r="G424" s="32">
        <v>1137000000</v>
      </c>
      <c r="H424" s="32">
        <v>79250000</v>
      </c>
      <c r="I424" s="32">
        <v>73174625</v>
      </c>
      <c r="J424" s="42"/>
      <c r="K424" s="45">
        <v>70731594</v>
      </c>
      <c r="L424" s="48" t="s">
        <v>1383</v>
      </c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 spans="2:28" ht="15.75" customHeight="1">
      <c r="B425" s="42" t="s">
        <v>148</v>
      </c>
      <c r="C425" s="30" t="s">
        <v>629</v>
      </c>
      <c r="D425" s="32">
        <v>4128900000</v>
      </c>
      <c r="E425" s="32">
        <v>3248975000</v>
      </c>
      <c r="F425" s="32">
        <v>1567750089</v>
      </c>
      <c r="G425" s="32">
        <v>4128900000</v>
      </c>
      <c r="H425" s="32">
        <v>3248975000</v>
      </c>
      <c r="I425" s="32">
        <v>1567750089</v>
      </c>
      <c r="J425" s="32">
        <v>1429124078</v>
      </c>
      <c r="K425" s="45">
        <v>1696558433</v>
      </c>
      <c r="L425" s="48" t="s">
        <v>1384</v>
      </c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 spans="2:28" ht="15.75" customHeight="1">
      <c r="B426" s="31" t="s">
        <v>1037</v>
      </c>
      <c r="C426" s="30" t="s">
        <v>629</v>
      </c>
      <c r="D426" s="32">
        <v>1268000000</v>
      </c>
      <c r="E426" s="32">
        <v>1268000000</v>
      </c>
      <c r="F426" s="32">
        <v>1268000000</v>
      </c>
      <c r="G426" s="32">
        <v>1268000000</v>
      </c>
      <c r="H426" s="32">
        <v>1268000000</v>
      </c>
      <c r="I426" s="32">
        <v>1268000000</v>
      </c>
      <c r="J426" s="32">
        <v>1268000000</v>
      </c>
      <c r="K426" s="45">
        <v>1268000000</v>
      </c>
      <c r="L426" s="48" t="s">
        <v>1385</v>
      </c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 spans="2:28" ht="15.75" customHeight="1">
      <c r="B427" s="31" t="s">
        <v>1038</v>
      </c>
      <c r="C427" s="30" t="s">
        <v>629</v>
      </c>
      <c r="D427" s="32">
        <v>82550000</v>
      </c>
      <c r="E427" s="32">
        <v>2550000</v>
      </c>
      <c r="F427" s="32">
        <v>5310500</v>
      </c>
      <c r="G427" s="32">
        <v>82550000</v>
      </c>
      <c r="H427" s="32">
        <v>2550000</v>
      </c>
      <c r="I427" s="32">
        <v>4560500</v>
      </c>
      <c r="J427" s="42"/>
      <c r="K427" s="45">
        <v>6342342</v>
      </c>
      <c r="L427" s="48" t="s">
        <v>1386</v>
      </c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 spans="2:28" ht="15.75" customHeight="1">
      <c r="B428" s="31" t="s">
        <v>1041</v>
      </c>
      <c r="C428" s="30" t="s">
        <v>629</v>
      </c>
      <c r="D428" s="32">
        <v>300000000</v>
      </c>
      <c r="E428" s="42"/>
      <c r="F428" s="32">
        <v>173000000</v>
      </c>
      <c r="G428" s="32">
        <v>300000000</v>
      </c>
      <c r="H428" s="42"/>
      <c r="I428" s="32">
        <v>173000000</v>
      </c>
      <c r="J428" s="32">
        <v>16539800</v>
      </c>
      <c r="K428" s="45">
        <v>16539742</v>
      </c>
      <c r="L428" s="48" t="s">
        <v>1387</v>
      </c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 spans="2:28" ht="15.75" customHeight="1">
      <c r="B429" s="31" t="s">
        <v>1042</v>
      </c>
      <c r="C429" s="30" t="s">
        <v>629</v>
      </c>
      <c r="D429" s="32">
        <v>757210000</v>
      </c>
      <c r="E429" s="32">
        <v>712210000</v>
      </c>
      <c r="F429" s="32">
        <v>712210000</v>
      </c>
      <c r="G429" s="32">
        <v>45000000</v>
      </c>
      <c r="H429" s="42"/>
      <c r="I429" s="42"/>
      <c r="J429" s="42"/>
      <c r="K429" s="61"/>
      <c r="L429" s="48" t="s">
        <v>1388</v>
      </c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 spans="2:28" ht="15.75" customHeight="1">
      <c r="B430" s="42" t="s">
        <v>170</v>
      </c>
      <c r="C430" s="30" t="s">
        <v>629</v>
      </c>
      <c r="D430" s="32">
        <v>3150000000</v>
      </c>
      <c r="E430" s="32">
        <v>2637500000</v>
      </c>
      <c r="F430" s="32">
        <v>2187500000</v>
      </c>
      <c r="G430" s="32">
        <v>3150000000</v>
      </c>
      <c r="H430" s="32">
        <v>2637500000</v>
      </c>
      <c r="I430" s="32">
        <v>2187500000</v>
      </c>
      <c r="J430" s="32">
        <v>879483000</v>
      </c>
      <c r="K430" s="45">
        <v>1057875659</v>
      </c>
      <c r="L430" s="48" t="s">
        <v>1389</v>
      </c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 spans="2:28" ht="15.75" customHeight="1">
      <c r="B431" s="31" t="s">
        <v>1044</v>
      </c>
      <c r="C431" s="30" t="s">
        <v>629</v>
      </c>
      <c r="D431" s="32">
        <v>60000000</v>
      </c>
      <c r="E431" s="32">
        <v>15000000</v>
      </c>
      <c r="F431" s="32">
        <v>8986779</v>
      </c>
      <c r="G431" s="32">
        <v>60000000</v>
      </c>
      <c r="H431" s="32">
        <v>15000000</v>
      </c>
      <c r="I431" s="32">
        <v>8986779</v>
      </c>
      <c r="J431" s="32">
        <v>5000000</v>
      </c>
      <c r="K431" s="45">
        <v>8986780</v>
      </c>
      <c r="L431" s="48" t="s">
        <v>1390</v>
      </c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 spans="2:28" ht="15.75" customHeight="1">
      <c r="B432" s="31" t="s">
        <v>1045</v>
      </c>
      <c r="C432" s="30" t="s">
        <v>629</v>
      </c>
      <c r="D432" s="32">
        <v>118000000</v>
      </c>
      <c r="E432" s="32">
        <v>118000000</v>
      </c>
      <c r="F432" s="32">
        <v>1236457400</v>
      </c>
      <c r="G432" s="32">
        <v>719457400</v>
      </c>
      <c r="H432" s="32">
        <v>719457400</v>
      </c>
      <c r="I432" s="32">
        <v>143000000</v>
      </c>
      <c r="J432" s="32">
        <v>142282520</v>
      </c>
      <c r="K432" s="45">
        <v>1096476291</v>
      </c>
      <c r="L432" s="48" t="s">
        <v>1391</v>
      </c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 spans="2:28" ht="15.75" customHeight="1">
      <c r="B433" s="42" t="s">
        <v>187</v>
      </c>
      <c r="C433" s="30" t="s">
        <v>629</v>
      </c>
      <c r="D433" s="32">
        <v>65000000</v>
      </c>
      <c r="E433" s="42"/>
      <c r="F433" s="42"/>
      <c r="G433" s="32">
        <v>65000000</v>
      </c>
      <c r="H433" s="42"/>
      <c r="I433" s="42"/>
      <c r="J433" s="42"/>
      <c r="K433" s="61"/>
      <c r="L433" s="48" t="s">
        <v>1392</v>
      </c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 spans="2:28" ht="15.75" customHeight="1">
      <c r="B434" s="31" t="s">
        <v>188</v>
      </c>
      <c r="C434" s="30" t="s">
        <v>629</v>
      </c>
      <c r="D434" s="32">
        <v>235000000</v>
      </c>
      <c r="E434" s="32">
        <v>171250000</v>
      </c>
      <c r="F434" s="32">
        <v>102837884</v>
      </c>
      <c r="G434" s="32">
        <v>235000000</v>
      </c>
      <c r="H434" s="32">
        <v>171250000</v>
      </c>
      <c r="I434" s="32">
        <v>102837884</v>
      </c>
      <c r="J434" s="32">
        <v>100000000</v>
      </c>
      <c r="K434" s="45">
        <v>102703531</v>
      </c>
      <c r="L434" s="48" t="s">
        <v>1393</v>
      </c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 spans="2:28" ht="15.75" customHeight="1">
      <c r="B435" s="42" t="s">
        <v>389</v>
      </c>
      <c r="C435" s="30" t="s">
        <v>629</v>
      </c>
      <c r="D435" s="32">
        <v>150000000</v>
      </c>
      <c r="E435" s="42"/>
      <c r="F435" s="42"/>
      <c r="G435" s="32">
        <v>150000000</v>
      </c>
      <c r="H435" s="42"/>
      <c r="I435" s="42"/>
      <c r="J435" s="42"/>
      <c r="K435" s="61"/>
      <c r="L435" s="48" t="s">
        <v>1394</v>
      </c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 spans="2:28" ht="15.75" customHeight="1">
      <c r="B436" s="30" t="s">
        <v>468</v>
      </c>
      <c r="C436" s="30" t="s">
        <v>629</v>
      </c>
      <c r="D436" s="38">
        <v>642897327706</v>
      </c>
      <c r="E436" s="38">
        <v>605462831598</v>
      </c>
      <c r="F436" s="38">
        <v>597281363350</v>
      </c>
      <c r="G436" s="38">
        <v>389083489832</v>
      </c>
      <c r="H436" s="38">
        <v>351649243724</v>
      </c>
      <c r="I436" s="38">
        <v>318497840756</v>
      </c>
      <c r="J436" s="38">
        <v>276350152444</v>
      </c>
      <c r="K436" s="62">
        <v>425787372830</v>
      </c>
      <c r="L436" s="50" t="s">
        <v>1395</v>
      </c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spans="2:28" ht="15.75" customHeight="1">
      <c r="B437" s="30"/>
      <c r="C437" s="30"/>
      <c r="D437" s="40"/>
      <c r="E437" s="40"/>
      <c r="F437" s="40"/>
      <c r="G437" s="40"/>
      <c r="H437" s="40"/>
      <c r="I437" s="40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 spans="2:28" ht="15.75" customHeight="1">
      <c r="B438" s="29" t="s">
        <v>0</v>
      </c>
      <c r="C438" s="29"/>
      <c r="D438" s="29" t="s">
        <v>1048</v>
      </c>
      <c r="E438" s="29" t="s">
        <v>1396</v>
      </c>
      <c r="F438" s="41" t="s">
        <v>1332</v>
      </c>
      <c r="I438" s="29" t="s">
        <v>1270</v>
      </c>
      <c r="J438" s="29" t="s">
        <v>1052</v>
      </c>
      <c r="K438" s="29" t="s">
        <v>1053</v>
      </c>
      <c r="L438" s="29"/>
      <c r="M438" s="41"/>
      <c r="N438" s="41"/>
      <c r="O438" s="41"/>
      <c r="P438" s="41"/>
      <c r="Q438" s="41"/>
      <c r="R438" s="41"/>
      <c r="S438" s="41"/>
      <c r="T438" s="41"/>
      <c r="U438" s="35"/>
      <c r="V438" s="35"/>
      <c r="W438" s="35"/>
      <c r="X438" s="35"/>
      <c r="Y438" s="35"/>
      <c r="Z438" s="35"/>
      <c r="AA438" s="35"/>
      <c r="AB438" s="35"/>
    </row>
    <row r="439" spans="2:28" ht="15.75" customHeight="1">
      <c r="B439" s="31" t="s">
        <v>976</v>
      </c>
      <c r="C439" s="30" t="s">
        <v>720</v>
      </c>
      <c r="D439" s="32">
        <v>481340000</v>
      </c>
      <c r="E439" s="32">
        <v>470640000</v>
      </c>
      <c r="F439" s="32">
        <v>481340000</v>
      </c>
      <c r="I439" s="32">
        <v>470640000</v>
      </c>
      <c r="J439" s="32">
        <v>448500000</v>
      </c>
      <c r="K439" s="45">
        <v>455571266</v>
      </c>
      <c r="L439" s="48" t="s">
        <v>1397</v>
      </c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 spans="2:28" ht="15.75" customHeight="1">
      <c r="B440" s="42" t="s">
        <v>202</v>
      </c>
      <c r="C440" s="30" t="s">
        <v>720</v>
      </c>
      <c r="D440" s="32">
        <v>22854796889</v>
      </c>
      <c r="E440" s="32">
        <v>27534566889</v>
      </c>
      <c r="F440" s="32">
        <v>22722800000</v>
      </c>
      <c r="I440" s="32">
        <v>27402570000</v>
      </c>
      <c r="J440" s="32">
        <v>26434500000</v>
      </c>
      <c r="K440" s="45">
        <v>24220292159</v>
      </c>
      <c r="L440" s="48" t="s">
        <v>1398</v>
      </c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 spans="2:28" ht="15.75" customHeight="1">
      <c r="B441" s="42" t="s">
        <v>54</v>
      </c>
      <c r="C441" s="30" t="s">
        <v>720</v>
      </c>
      <c r="D441" s="32">
        <v>1050000000</v>
      </c>
      <c r="E441" s="32">
        <v>525000000</v>
      </c>
      <c r="F441" s="32">
        <v>1050000000</v>
      </c>
      <c r="I441" s="32">
        <v>525000000</v>
      </c>
      <c r="J441" s="32">
        <v>524200000</v>
      </c>
      <c r="K441" s="45">
        <v>242035681</v>
      </c>
      <c r="L441" s="48" t="s">
        <v>1399</v>
      </c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 spans="2:28" ht="15.75" customHeight="1">
      <c r="B442" s="42" t="s">
        <v>207</v>
      </c>
      <c r="C442" s="30" t="s">
        <v>720</v>
      </c>
      <c r="D442" s="32">
        <v>2424000000</v>
      </c>
      <c r="E442" s="32">
        <v>1164809000</v>
      </c>
      <c r="F442" s="32">
        <v>2304000000</v>
      </c>
      <c r="I442" s="32">
        <v>1044809000</v>
      </c>
      <c r="J442" s="32">
        <v>348868883</v>
      </c>
      <c r="K442" s="45">
        <v>384578606</v>
      </c>
      <c r="L442" s="48" t="s">
        <v>1400</v>
      </c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 spans="2:28" ht="15.75" customHeight="1">
      <c r="B443" s="42" t="s">
        <v>634</v>
      </c>
      <c r="C443" s="30" t="s">
        <v>720</v>
      </c>
      <c r="D443" s="32">
        <v>5111345330</v>
      </c>
      <c r="E443" s="32">
        <v>7459545330</v>
      </c>
      <c r="F443" s="32">
        <v>2678000000</v>
      </c>
      <c r="I443" s="32">
        <v>4788000000</v>
      </c>
      <c r="J443" s="32">
        <v>4787200000</v>
      </c>
      <c r="K443" s="45">
        <v>7289273875</v>
      </c>
      <c r="L443" s="48" t="s">
        <v>1401</v>
      </c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 spans="2:28" ht="15.75" customHeight="1">
      <c r="B444" s="42" t="s">
        <v>636</v>
      </c>
      <c r="C444" s="30" t="s">
        <v>720</v>
      </c>
      <c r="D444" s="32">
        <v>41506246464</v>
      </c>
      <c r="E444" s="32">
        <v>32133978364</v>
      </c>
      <c r="F444" s="32">
        <v>40089318664</v>
      </c>
      <c r="I444" s="32">
        <v>30717050564</v>
      </c>
      <c r="J444" s="32">
        <v>30466284001</v>
      </c>
      <c r="K444" s="45">
        <v>29654695866</v>
      </c>
      <c r="L444" s="48" t="s">
        <v>1402</v>
      </c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 spans="2:28" ht="15.75" customHeight="1">
      <c r="B445" s="31" t="s">
        <v>987</v>
      </c>
      <c r="C445" s="30" t="s">
        <v>720</v>
      </c>
      <c r="D445" s="32">
        <v>45000000</v>
      </c>
      <c r="E445" s="32">
        <v>45000000</v>
      </c>
      <c r="F445" s="42"/>
      <c r="I445" s="42"/>
      <c r="J445" s="42"/>
      <c r="K445" s="45">
        <v>25000000</v>
      </c>
      <c r="L445" s="48" t="s">
        <v>1403</v>
      </c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 spans="2:28" ht="15.75" customHeight="1">
      <c r="B446" s="42" t="s">
        <v>639</v>
      </c>
      <c r="C446" s="30" t="s">
        <v>720</v>
      </c>
      <c r="D446" s="32">
        <v>3000000000</v>
      </c>
      <c r="E446" s="32">
        <v>2750000000</v>
      </c>
      <c r="F446" s="32">
        <v>3000000000</v>
      </c>
      <c r="I446" s="32">
        <v>2750000000</v>
      </c>
      <c r="J446" s="32">
        <v>2750000000</v>
      </c>
      <c r="K446" s="45">
        <v>159096667</v>
      </c>
      <c r="L446" s="48" t="s">
        <v>1404</v>
      </c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 spans="2:28" ht="15.75" customHeight="1">
      <c r="B447" s="42" t="s">
        <v>75</v>
      </c>
      <c r="C447" s="30" t="s">
        <v>720</v>
      </c>
      <c r="D447" s="32">
        <v>8395219512</v>
      </c>
      <c r="E447" s="32">
        <v>15297034486</v>
      </c>
      <c r="F447" s="32">
        <v>5942420568</v>
      </c>
      <c r="I447" s="32">
        <v>12844235542</v>
      </c>
      <c r="J447" s="32">
        <v>11521544472</v>
      </c>
      <c r="K447" s="45">
        <v>8133818119</v>
      </c>
      <c r="L447" s="48" t="s">
        <v>1405</v>
      </c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 spans="2:28" ht="15.75" customHeight="1">
      <c r="B448" s="42" t="s">
        <v>72</v>
      </c>
      <c r="C448" s="30" t="s">
        <v>720</v>
      </c>
      <c r="D448" s="32">
        <v>4200999358</v>
      </c>
      <c r="E448" s="32">
        <v>4893049370</v>
      </c>
      <c r="F448" s="32">
        <v>2450999370</v>
      </c>
      <c r="I448" s="32">
        <v>4893049370</v>
      </c>
      <c r="J448" s="32">
        <v>4737000000</v>
      </c>
      <c r="K448" s="45">
        <v>4744574084</v>
      </c>
      <c r="L448" s="48" t="s">
        <v>1406</v>
      </c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 spans="2:28" ht="15.75" customHeight="1">
      <c r="B449" s="31" t="s">
        <v>217</v>
      </c>
      <c r="C449" s="30" t="s">
        <v>720</v>
      </c>
      <c r="D449" s="32">
        <v>11479095026</v>
      </c>
      <c r="E449" s="32">
        <v>9966000630</v>
      </c>
      <c r="F449" s="32">
        <v>8503750630</v>
      </c>
      <c r="I449" s="32">
        <v>8200785630</v>
      </c>
      <c r="J449" s="32">
        <v>8129086500</v>
      </c>
      <c r="K449" s="45">
        <v>9381530872</v>
      </c>
      <c r="L449" s="48" t="s">
        <v>1407</v>
      </c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 spans="2:28" ht="15.75" customHeight="1">
      <c r="B450" s="31" t="s">
        <v>995</v>
      </c>
      <c r="C450" s="30" t="s">
        <v>720</v>
      </c>
      <c r="D450" s="32">
        <v>45530120315</v>
      </c>
      <c r="E450" s="32">
        <v>40400112214</v>
      </c>
      <c r="F450" s="32">
        <v>26657892403</v>
      </c>
      <c r="I450" s="32">
        <v>21527884302</v>
      </c>
      <c r="J450" s="32">
        <v>16900474028</v>
      </c>
      <c r="K450" s="45">
        <v>22607827894</v>
      </c>
      <c r="L450" s="48" t="s">
        <v>1408</v>
      </c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 spans="2:28" ht="15.75" customHeight="1">
      <c r="B451" s="42" t="s">
        <v>228</v>
      </c>
      <c r="C451" s="30" t="s">
        <v>720</v>
      </c>
      <c r="D451" s="32">
        <v>31279819184</v>
      </c>
      <c r="E451" s="32">
        <v>41705757703</v>
      </c>
      <c r="F451" s="32">
        <v>20826356164</v>
      </c>
      <c r="I451" s="32">
        <v>31252294683</v>
      </c>
      <c r="J451" s="32">
        <v>26223017388</v>
      </c>
      <c r="K451" s="45">
        <v>27158997583</v>
      </c>
      <c r="L451" s="48" t="s">
        <v>1409</v>
      </c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 spans="2:28" ht="15.75" customHeight="1">
      <c r="B452" s="42" t="s">
        <v>325</v>
      </c>
      <c r="C452" s="30" t="s">
        <v>720</v>
      </c>
      <c r="D452" s="32">
        <v>147711782851</v>
      </c>
      <c r="E452" s="32">
        <v>160892917596</v>
      </c>
      <c r="F452" s="32">
        <v>84782200000</v>
      </c>
      <c r="I452" s="32">
        <v>94983480370</v>
      </c>
      <c r="J452" s="32">
        <v>88753616810</v>
      </c>
      <c r="K452" s="45">
        <v>109567513911</v>
      </c>
      <c r="L452" s="48" t="s">
        <v>1410</v>
      </c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 spans="2:28" ht="15.75" customHeight="1">
      <c r="B453" s="31" t="s">
        <v>327</v>
      </c>
      <c r="C453" s="30" t="s">
        <v>720</v>
      </c>
      <c r="D453" s="32">
        <v>175806596000</v>
      </c>
      <c r="E453" s="32">
        <v>163305396000</v>
      </c>
      <c r="F453" s="32">
        <v>15345000000</v>
      </c>
      <c r="I453" s="32">
        <v>15854800000</v>
      </c>
      <c r="J453" s="32">
        <v>11367776343</v>
      </c>
      <c r="K453" s="63">
        <v>149607189638</v>
      </c>
      <c r="L453" s="48" t="s">
        <v>1411</v>
      </c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 spans="2:28" ht="15.75" customHeight="1">
      <c r="B454" s="42" t="s">
        <v>91</v>
      </c>
      <c r="C454" s="30" t="s">
        <v>720</v>
      </c>
      <c r="D454" s="32">
        <v>19289020000</v>
      </c>
      <c r="E454" s="32">
        <v>17521835000</v>
      </c>
      <c r="F454" s="32">
        <v>13364020000</v>
      </c>
      <c r="I454" s="32">
        <v>11596835000</v>
      </c>
      <c r="J454" s="32">
        <v>9560020511</v>
      </c>
      <c r="K454" s="63">
        <v>14021321026</v>
      </c>
      <c r="L454" s="48" t="s">
        <v>1412</v>
      </c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 spans="2:28" ht="15.75" customHeight="1">
      <c r="B455" s="42" t="s">
        <v>93</v>
      </c>
      <c r="C455" s="30" t="s">
        <v>720</v>
      </c>
      <c r="D455" s="32">
        <v>2047000000</v>
      </c>
      <c r="E455" s="32">
        <v>1168500000</v>
      </c>
      <c r="F455" s="32">
        <v>2047000000</v>
      </c>
      <c r="I455" s="32">
        <v>1168500000</v>
      </c>
      <c r="J455" s="32">
        <v>1009600000</v>
      </c>
      <c r="K455" s="63">
        <v>969258267</v>
      </c>
      <c r="L455" s="48" t="s">
        <v>1413</v>
      </c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 spans="2:28" ht="15.75" customHeight="1">
      <c r="B456" s="42" t="s">
        <v>652</v>
      </c>
      <c r="C456" s="30" t="s">
        <v>720</v>
      </c>
      <c r="D456" s="32">
        <v>39606072000</v>
      </c>
      <c r="E456" s="32">
        <v>50472606131</v>
      </c>
      <c r="F456" s="32">
        <v>11139000000</v>
      </c>
      <c r="I456" s="32">
        <v>22005534131</v>
      </c>
      <c r="J456" s="32">
        <v>20460757602</v>
      </c>
      <c r="K456" s="63">
        <v>29999947098</v>
      </c>
      <c r="L456" s="48" t="s">
        <v>1414</v>
      </c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 spans="2:28" ht="15.75" customHeight="1">
      <c r="B457" s="42" t="s">
        <v>95</v>
      </c>
      <c r="C457" s="30" t="s">
        <v>720</v>
      </c>
      <c r="D457" s="32">
        <v>18107929750</v>
      </c>
      <c r="E457" s="32">
        <v>16568429750</v>
      </c>
      <c r="F457" s="32">
        <v>9840000000</v>
      </c>
      <c r="I457" s="32">
        <v>8300500000</v>
      </c>
      <c r="J457" s="32">
        <v>7008794345</v>
      </c>
      <c r="K457" s="63">
        <v>7981484374</v>
      </c>
      <c r="L457" s="48" t="s">
        <v>1415</v>
      </c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 spans="2:28" ht="15.75" customHeight="1">
      <c r="B458" s="42" t="s">
        <v>655</v>
      </c>
      <c r="C458" s="30" t="s">
        <v>720</v>
      </c>
      <c r="D458" s="32">
        <v>4246619731</v>
      </c>
      <c r="E458" s="32">
        <v>2843881500</v>
      </c>
      <c r="F458" s="32">
        <v>3900544731</v>
      </c>
      <c r="I458" s="32">
        <v>2497806500</v>
      </c>
      <c r="J458" s="32">
        <v>1927241490</v>
      </c>
      <c r="K458" s="63">
        <v>1663152944</v>
      </c>
      <c r="L458" s="48" t="s">
        <v>1416</v>
      </c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 spans="2:28" ht="15.75" customHeight="1">
      <c r="B459" s="42" t="s">
        <v>657</v>
      </c>
      <c r="C459" s="30" t="s">
        <v>720</v>
      </c>
      <c r="D459" s="32">
        <v>3592000000</v>
      </c>
      <c r="E459" s="32">
        <v>1957000000</v>
      </c>
      <c r="F459" s="32">
        <v>2146000000</v>
      </c>
      <c r="I459" s="32">
        <v>1545500000</v>
      </c>
      <c r="J459" s="32">
        <v>1545500000</v>
      </c>
      <c r="K459" s="63">
        <v>1546054472</v>
      </c>
      <c r="L459" s="48" t="s">
        <v>1417</v>
      </c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 spans="2:28" ht="15.75" customHeight="1">
      <c r="B460" s="42" t="s">
        <v>244</v>
      </c>
      <c r="C460" s="30" t="s">
        <v>720</v>
      </c>
      <c r="D460" s="32">
        <v>3841480000</v>
      </c>
      <c r="E460" s="32">
        <v>3375480000</v>
      </c>
      <c r="F460" s="32">
        <v>3832080000</v>
      </c>
      <c r="I460" s="32">
        <v>3366080000</v>
      </c>
      <c r="J460" s="32">
        <v>2703400000</v>
      </c>
      <c r="K460" s="63">
        <v>2944158893</v>
      </c>
      <c r="L460" s="48" t="s">
        <v>1418</v>
      </c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 spans="2:28" ht="15.75" customHeight="1">
      <c r="B461" s="42" t="s">
        <v>1361</v>
      </c>
      <c r="C461" s="30" t="s">
        <v>720</v>
      </c>
      <c r="D461" s="32">
        <v>22313000000</v>
      </c>
      <c r="E461" s="32">
        <v>21147895788</v>
      </c>
      <c r="F461" s="32">
        <v>19501000000</v>
      </c>
      <c r="I461" s="32">
        <v>21147895788</v>
      </c>
      <c r="J461" s="32">
        <v>19305556336</v>
      </c>
      <c r="K461" s="63">
        <v>19314401846</v>
      </c>
      <c r="L461" s="48" t="s">
        <v>1419</v>
      </c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 spans="2:28" ht="15.75" customHeight="1">
      <c r="B462" s="42" t="s">
        <v>1363</v>
      </c>
      <c r="C462" s="30" t="s">
        <v>720</v>
      </c>
      <c r="D462" s="32">
        <v>658000000</v>
      </c>
      <c r="E462" s="32">
        <v>329000000</v>
      </c>
      <c r="F462" s="32">
        <v>658000000</v>
      </c>
      <c r="I462" s="32">
        <v>329000000</v>
      </c>
      <c r="J462" s="32">
        <v>319000000</v>
      </c>
      <c r="K462" s="63">
        <v>328967700</v>
      </c>
      <c r="L462" s="48" t="s">
        <v>1420</v>
      </c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 spans="2:28" ht="15.75" customHeight="1">
      <c r="B463" s="42" t="s">
        <v>663</v>
      </c>
      <c r="C463" s="30" t="s">
        <v>720</v>
      </c>
      <c r="D463" s="32">
        <v>1555000000</v>
      </c>
      <c r="E463" s="32">
        <v>2010500000</v>
      </c>
      <c r="F463" s="32">
        <v>1555000000</v>
      </c>
      <c r="I463" s="32">
        <v>2010500000</v>
      </c>
      <c r="J463" s="32">
        <v>2008000000</v>
      </c>
      <c r="K463" s="63">
        <v>1997999999</v>
      </c>
      <c r="L463" s="48" t="s">
        <v>1421</v>
      </c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 spans="2:28" ht="15.75" customHeight="1">
      <c r="B464" s="42" t="s">
        <v>665</v>
      </c>
      <c r="C464" s="30" t="s">
        <v>720</v>
      </c>
      <c r="D464" s="32">
        <v>986000000</v>
      </c>
      <c r="E464" s="32">
        <v>495820660</v>
      </c>
      <c r="F464" s="32">
        <v>986000000</v>
      </c>
      <c r="I464" s="32">
        <v>495820660</v>
      </c>
      <c r="J464" s="32">
        <v>483500000</v>
      </c>
      <c r="K464" s="63">
        <v>489257174</v>
      </c>
      <c r="L464" s="48" t="s">
        <v>1422</v>
      </c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 spans="2:28" ht="15.75" customHeight="1">
      <c r="B465" s="42" t="s">
        <v>111</v>
      </c>
      <c r="C465" s="30" t="s">
        <v>720</v>
      </c>
      <c r="D465" s="32">
        <v>115183331715</v>
      </c>
      <c r="E465" s="32">
        <v>152653383120</v>
      </c>
      <c r="F465" s="32">
        <v>36530936986</v>
      </c>
      <c r="I465" s="32">
        <v>43678974925</v>
      </c>
      <c r="J465" s="32">
        <v>40399452654</v>
      </c>
      <c r="K465" s="45">
        <v>67408612746</v>
      </c>
      <c r="L465" s="48" t="s">
        <v>1423</v>
      </c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 spans="2:28" ht="15.75" customHeight="1">
      <c r="B466" s="42" t="s">
        <v>669</v>
      </c>
      <c r="C466" s="30" t="s">
        <v>720</v>
      </c>
      <c r="D466" s="32">
        <v>4208400000</v>
      </c>
      <c r="E466" s="32">
        <v>2870250000</v>
      </c>
      <c r="F466" s="32">
        <v>2870900000</v>
      </c>
      <c r="I466" s="32">
        <v>1532750000</v>
      </c>
      <c r="J466" s="32">
        <v>600692640</v>
      </c>
      <c r="K466" s="45">
        <v>1447138066</v>
      </c>
      <c r="L466" s="48" t="s">
        <v>1424</v>
      </c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 spans="2:28" ht="15.75" customHeight="1">
      <c r="B467" s="42" t="s">
        <v>506</v>
      </c>
      <c r="C467" s="30" t="s">
        <v>720</v>
      </c>
      <c r="D467" s="32">
        <v>12678265821</v>
      </c>
      <c r="E467" s="32">
        <v>11457809152</v>
      </c>
      <c r="F467" s="32">
        <v>9918136783</v>
      </c>
      <c r="I467" s="32">
        <v>9682486047</v>
      </c>
      <c r="J467" s="32">
        <v>8854395970</v>
      </c>
      <c r="K467" s="45">
        <v>9442105337</v>
      </c>
      <c r="L467" s="48" t="s">
        <v>1425</v>
      </c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 spans="2:28" ht="15.75" customHeight="1">
      <c r="B468" s="42" t="s">
        <v>252</v>
      </c>
      <c r="C468" s="30" t="s">
        <v>720</v>
      </c>
      <c r="D468" s="32">
        <v>11742135480</v>
      </c>
      <c r="E468" s="32">
        <v>11121635480</v>
      </c>
      <c r="F468" s="32">
        <v>4003031164</v>
      </c>
      <c r="I468" s="32">
        <v>3382531164</v>
      </c>
      <c r="J468" s="32">
        <v>2555676956</v>
      </c>
      <c r="K468" s="45">
        <v>1808937720</v>
      </c>
      <c r="L468" s="48" t="s">
        <v>1426</v>
      </c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 spans="2:28" ht="15.75" customHeight="1">
      <c r="B469" s="42" t="s">
        <v>1371</v>
      </c>
      <c r="C469" s="30" t="s">
        <v>720</v>
      </c>
      <c r="D469" s="32">
        <v>2530000000</v>
      </c>
      <c r="E469" s="32">
        <v>2661345654</v>
      </c>
      <c r="F469" s="32">
        <v>2030000000</v>
      </c>
      <c r="I469" s="32">
        <v>2161345654</v>
      </c>
      <c r="J469" s="32">
        <v>2142534238</v>
      </c>
      <c r="K469" s="45">
        <v>2103424833</v>
      </c>
      <c r="L469" s="48" t="s">
        <v>1427</v>
      </c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 spans="2:28" ht="15.75" customHeight="1">
      <c r="B470" s="42" t="s">
        <v>676</v>
      </c>
      <c r="C470" s="30" t="s">
        <v>720</v>
      </c>
      <c r="D470" s="32">
        <v>5379787000</v>
      </c>
      <c r="E470" s="32">
        <v>5379787000</v>
      </c>
      <c r="F470" s="32">
        <v>5053600000</v>
      </c>
      <c r="I470" s="32">
        <v>3100000000</v>
      </c>
      <c r="J470" s="32">
        <v>3009178329</v>
      </c>
      <c r="K470" s="45">
        <v>3141325470</v>
      </c>
      <c r="L470" s="48" t="s">
        <v>1428</v>
      </c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 spans="2:28" ht="15.75" customHeight="1">
      <c r="B471" s="42" t="s">
        <v>119</v>
      </c>
      <c r="C471" s="30" t="s">
        <v>720</v>
      </c>
      <c r="D471" s="32">
        <v>530000000</v>
      </c>
      <c r="E471" s="32">
        <v>530000000</v>
      </c>
      <c r="F471" s="32">
        <v>530000000</v>
      </c>
      <c r="I471" s="32">
        <v>530000000</v>
      </c>
      <c r="J471" s="32">
        <v>520900000</v>
      </c>
      <c r="K471" s="45">
        <v>530000000</v>
      </c>
      <c r="L471" s="48" t="s">
        <v>1429</v>
      </c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 spans="2:28" ht="15.75" customHeight="1">
      <c r="B472" s="42" t="s">
        <v>121</v>
      </c>
      <c r="C472" s="30" t="s">
        <v>720</v>
      </c>
      <c r="D472" s="32">
        <v>245000000</v>
      </c>
      <c r="E472" s="32">
        <v>122500000</v>
      </c>
      <c r="F472" s="32">
        <v>245000000</v>
      </c>
      <c r="I472" s="32">
        <v>122500000</v>
      </c>
      <c r="J472" s="32">
        <v>100300000</v>
      </c>
      <c r="K472" s="45">
        <v>89676238</v>
      </c>
      <c r="L472" s="48" t="s">
        <v>1430</v>
      </c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 spans="2:28" ht="15.75" customHeight="1">
      <c r="B473" s="42" t="s">
        <v>680</v>
      </c>
      <c r="C473" s="30" t="s">
        <v>720</v>
      </c>
      <c r="D473" s="32">
        <v>65000000</v>
      </c>
      <c r="E473" s="32">
        <v>65000000</v>
      </c>
      <c r="F473" s="42"/>
      <c r="I473" s="42"/>
      <c r="J473" s="42"/>
      <c r="K473" s="45">
        <v>16142748</v>
      </c>
      <c r="L473" s="48" t="s">
        <v>1431</v>
      </c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 spans="2:28" ht="15.75" customHeight="1">
      <c r="B474" s="42" t="s">
        <v>264</v>
      </c>
      <c r="C474" s="30" t="s">
        <v>720</v>
      </c>
      <c r="D474" s="32">
        <v>477200000</v>
      </c>
      <c r="E474" s="32">
        <v>418610000</v>
      </c>
      <c r="F474" s="32">
        <v>477200000</v>
      </c>
      <c r="I474" s="32">
        <v>418610000</v>
      </c>
      <c r="J474" s="32">
        <v>366322824</v>
      </c>
      <c r="K474" s="45">
        <v>404522451</v>
      </c>
      <c r="L474" s="48" t="s">
        <v>1432</v>
      </c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 spans="2:28" ht="15.75" customHeight="1">
      <c r="B475" s="42" t="s">
        <v>512</v>
      </c>
      <c r="C475" s="30" t="s">
        <v>720</v>
      </c>
      <c r="D475" s="32">
        <v>14821800000</v>
      </c>
      <c r="E475" s="32">
        <v>14457898000</v>
      </c>
      <c r="F475" s="32">
        <v>14820400000</v>
      </c>
      <c r="I475" s="32">
        <v>14457898000</v>
      </c>
      <c r="J475" s="32">
        <v>13459338520</v>
      </c>
      <c r="K475" s="45">
        <v>13659270602</v>
      </c>
      <c r="L475" s="48" t="s">
        <v>1433</v>
      </c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 spans="2:28" ht="15.75" customHeight="1">
      <c r="B476" s="42" t="s">
        <v>684</v>
      </c>
      <c r="C476" s="30" t="s">
        <v>720</v>
      </c>
      <c r="D476" s="32">
        <v>3890321429</v>
      </c>
      <c r="E476" s="32">
        <v>1321134978</v>
      </c>
      <c r="F476" s="32">
        <v>3868000000</v>
      </c>
      <c r="I476" s="32">
        <v>1321134978</v>
      </c>
      <c r="J476" s="32">
        <v>1178700000</v>
      </c>
      <c r="K476" s="45">
        <v>1310134978</v>
      </c>
      <c r="L476" s="48" t="s">
        <v>1434</v>
      </c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 spans="2:28" ht="15.75" customHeight="1">
      <c r="B477" s="42" t="s">
        <v>595</v>
      </c>
      <c r="C477" s="30" t="s">
        <v>720</v>
      </c>
      <c r="D477" s="32">
        <v>4842000000</v>
      </c>
      <c r="E477" s="32">
        <v>3592000000</v>
      </c>
      <c r="F477" s="32">
        <v>4842000000</v>
      </c>
      <c r="I477" s="32">
        <v>3592000000</v>
      </c>
      <c r="J477" s="32">
        <v>3205100000</v>
      </c>
      <c r="K477" s="45">
        <v>3375452013</v>
      </c>
      <c r="L477" s="48" t="s">
        <v>1435</v>
      </c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 spans="2:28" ht="15.75" customHeight="1">
      <c r="B478" s="42" t="s">
        <v>1313</v>
      </c>
      <c r="C478" s="30" t="s">
        <v>720</v>
      </c>
      <c r="D478" s="32">
        <v>12648065996</v>
      </c>
      <c r="E478" s="32">
        <v>14483065996</v>
      </c>
      <c r="F478" s="32">
        <v>12648065996</v>
      </c>
      <c r="I478" s="32">
        <v>14483065996</v>
      </c>
      <c r="J478" s="32">
        <v>10041963550</v>
      </c>
      <c r="K478" s="45">
        <v>14029925156</v>
      </c>
      <c r="L478" s="48" t="s">
        <v>1436</v>
      </c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 spans="2:28" ht="15.75" customHeight="1">
      <c r="B479" s="42" t="s">
        <v>275</v>
      </c>
      <c r="C479" s="30" t="s">
        <v>720</v>
      </c>
      <c r="D479" s="32">
        <v>3496900000</v>
      </c>
      <c r="E479" s="32">
        <v>3430000000</v>
      </c>
      <c r="F479" s="32">
        <v>3472400000</v>
      </c>
      <c r="I479" s="32">
        <v>3430000000</v>
      </c>
      <c r="J479" s="32">
        <v>3430000000</v>
      </c>
      <c r="K479" s="45">
        <v>3430000000</v>
      </c>
      <c r="L479" s="48" t="s">
        <v>1437</v>
      </c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 spans="2:28" ht="15.75" customHeight="1">
      <c r="B480" s="42" t="s">
        <v>280</v>
      </c>
      <c r="C480" s="30" t="s">
        <v>720</v>
      </c>
      <c r="D480" s="32">
        <v>379000000</v>
      </c>
      <c r="E480" s="32">
        <v>379000000</v>
      </c>
      <c r="F480" s="32">
        <v>70000000</v>
      </c>
      <c r="I480" s="32">
        <v>70000000</v>
      </c>
      <c r="J480" s="32">
        <v>69500000</v>
      </c>
      <c r="K480" s="45">
        <v>25703851</v>
      </c>
      <c r="L480" s="48" t="s">
        <v>1438</v>
      </c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 spans="2:28" ht="15.75" customHeight="1">
      <c r="B481" s="42" t="s">
        <v>148</v>
      </c>
      <c r="C481" s="30" t="s">
        <v>720</v>
      </c>
      <c r="D481" s="32">
        <v>4449000000</v>
      </c>
      <c r="E481" s="32">
        <v>4153000000</v>
      </c>
      <c r="F481" s="32">
        <v>4449000000</v>
      </c>
      <c r="I481" s="32">
        <v>4153000000</v>
      </c>
      <c r="J481" s="32">
        <v>2214046247</v>
      </c>
      <c r="K481" s="45">
        <v>2784879718</v>
      </c>
      <c r="L481" s="48" t="s">
        <v>1439</v>
      </c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 spans="2:28" ht="15.75" customHeight="1">
      <c r="B482" s="31" t="s">
        <v>1037</v>
      </c>
      <c r="C482" s="30" t="s">
        <v>720</v>
      </c>
      <c r="D482" s="32">
        <v>100000000</v>
      </c>
      <c r="E482" s="32">
        <v>250000000</v>
      </c>
      <c r="F482" s="32">
        <v>100000000</v>
      </c>
      <c r="I482" s="32">
        <v>250000000</v>
      </c>
      <c r="J482" s="32">
        <v>250000000</v>
      </c>
      <c r="K482" s="45">
        <v>250000000</v>
      </c>
      <c r="L482" s="48" t="s">
        <v>1440</v>
      </c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 spans="2:28" ht="15.75" customHeight="1">
      <c r="B483" s="31" t="s">
        <v>1038</v>
      </c>
      <c r="C483" s="30" t="s">
        <v>720</v>
      </c>
      <c r="D483" s="32">
        <v>98550000</v>
      </c>
      <c r="E483" s="32">
        <v>98550000</v>
      </c>
      <c r="F483" s="32">
        <v>98550000</v>
      </c>
      <c r="I483" s="32">
        <v>98550000</v>
      </c>
      <c r="J483" s="42"/>
      <c r="K483" s="45">
        <v>2550000</v>
      </c>
      <c r="L483" s="48" t="s">
        <v>1441</v>
      </c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 spans="2:28" ht="15.75" customHeight="1">
      <c r="B484" s="31" t="s">
        <v>1041</v>
      </c>
      <c r="C484" s="30" t="s">
        <v>720</v>
      </c>
      <c r="D484" s="42"/>
      <c r="E484" s="32">
        <v>103326135</v>
      </c>
      <c r="F484" s="42"/>
      <c r="I484" s="32">
        <v>103326135</v>
      </c>
      <c r="J484" s="32">
        <v>103300000</v>
      </c>
      <c r="K484" s="45">
        <v>103326135</v>
      </c>
      <c r="L484" s="48" t="s">
        <v>1442</v>
      </c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 spans="2:28" ht="15.75" customHeight="1">
      <c r="B485" s="31" t="s">
        <v>1042</v>
      </c>
      <c r="C485" s="30" t="s">
        <v>720</v>
      </c>
      <c r="D485" s="32">
        <v>765209700</v>
      </c>
      <c r="E485" s="32">
        <v>765209700</v>
      </c>
      <c r="F485" s="32">
        <v>53000000</v>
      </c>
      <c r="I485" s="32">
        <v>53000000</v>
      </c>
      <c r="J485" s="42"/>
      <c r="K485" s="61"/>
      <c r="L485" s="48" t="s">
        <v>1443</v>
      </c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 spans="2:28" ht="15.75" customHeight="1">
      <c r="B486" s="42" t="s">
        <v>170</v>
      </c>
      <c r="C486" s="30" t="s">
        <v>720</v>
      </c>
      <c r="D486" s="32">
        <v>4150000000</v>
      </c>
      <c r="E486" s="32">
        <v>4150000000</v>
      </c>
      <c r="F486" s="32">
        <v>4150000000</v>
      </c>
      <c r="I486" s="32">
        <v>3150000000</v>
      </c>
      <c r="J486" s="32">
        <v>1821600000</v>
      </c>
      <c r="K486" s="45">
        <v>1879743202</v>
      </c>
      <c r="L486" s="48" t="s">
        <v>1444</v>
      </c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 spans="2:28" ht="15.75" customHeight="1">
      <c r="B487" s="31" t="s">
        <v>1044</v>
      </c>
      <c r="C487" s="30" t="s">
        <v>720</v>
      </c>
      <c r="D487" s="32">
        <v>39000000</v>
      </c>
      <c r="E487" s="32">
        <v>39000000</v>
      </c>
      <c r="F487" s="32">
        <v>39000000</v>
      </c>
      <c r="I487" s="32">
        <v>39000000</v>
      </c>
      <c r="J487" s="32">
        <v>39000000</v>
      </c>
      <c r="K487" s="45">
        <v>38339399</v>
      </c>
      <c r="L487" s="48" t="s">
        <v>1445</v>
      </c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 spans="2:28" ht="15.75" customHeight="1">
      <c r="B488" s="31" t="s">
        <v>1045</v>
      </c>
      <c r="C488" s="30" t="s">
        <v>720</v>
      </c>
      <c r="D488" s="32">
        <v>100000000</v>
      </c>
      <c r="E488" s="32">
        <v>100000000</v>
      </c>
      <c r="F488" s="32">
        <v>100000000</v>
      </c>
      <c r="I488" s="32">
        <v>100000000</v>
      </c>
      <c r="J488" s="42"/>
      <c r="K488" s="45">
        <v>12677531</v>
      </c>
      <c r="L488" s="48" t="s">
        <v>1446</v>
      </c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 spans="2:28" ht="15.75" customHeight="1">
      <c r="B489" s="31" t="s">
        <v>188</v>
      </c>
      <c r="C489" s="30" t="s">
        <v>720</v>
      </c>
      <c r="D489" s="32">
        <v>224000000</v>
      </c>
      <c r="E489" s="32">
        <v>176000000</v>
      </c>
      <c r="F489" s="32">
        <v>224000000</v>
      </c>
      <c r="I489" s="32">
        <v>176000000</v>
      </c>
      <c r="J489" s="32">
        <v>144000000</v>
      </c>
      <c r="K489" s="45">
        <v>144012529</v>
      </c>
      <c r="L489" s="48" t="s">
        <v>1447</v>
      </c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 spans="2:28" ht="15.75" customHeight="1">
      <c r="B490" s="55" t="s">
        <v>468</v>
      </c>
      <c r="C490" s="30" t="s">
        <v>720</v>
      </c>
      <c r="D490" s="38">
        <v>820161449551</v>
      </c>
      <c r="E490" s="38">
        <v>861213261626</v>
      </c>
      <c r="F490" s="38">
        <v>416395943459</v>
      </c>
      <c r="I490" s="38">
        <v>441804744439</v>
      </c>
      <c r="J490" s="38">
        <v>394229440637</v>
      </c>
      <c r="K490" s="62">
        <v>602325900737</v>
      </c>
      <c r="L490" s="50" t="s">
        <v>1448</v>
      </c>
      <c r="M490" s="30"/>
      <c r="N490" s="30"/>
      <c r="O490" s="30"/>
      <c r="P490" s="30"/>
      <c r="Q490" s="30"/>
      <c r="R490" s="30"/>
      <c r="S490" s="30"/>
      <c r="T490" s="30"/>
      <c r="U490" s="35"/>
      <c r="V490" s="35"/>
      <c r="W490" s="35"/>
      <c r="X490" s="35"/>
      <c r="Y490" s="35"/>
      <c r="Z490" s="35"/>
      <c r="AA490" s="35"/>
      <c r="AB490" s="35"/>
    </row>
    <row r="491" spans="2:28" ht="15.75" customHeight="1">
      <c r="B491" s="30"/>
      <c r="C491" s="30"/>
      <c r="D491" s="40"/>
      <c r="E491" s="40"/>
      <c r="F491" s="40"/>
      <c r="G491" s="40"/>
      <c r="H491" s="40"/>
      <c r="K491" s="40"/>
      <c r="L491" s="35"/>
      <c r="M491" s="35"/>
      <c r="N491" s="35"/>
      <c r="O491" s="35"/>
      <c r="P491" s="35"/>
      <c r="Q491" s="35"/>
      <c r="R491" s="35"/>
      <c r="S491" s="35"/>
      <c r="T491" s="35"/>
    </row>
    <row r="492" spans="2:28" ht="15.75" customHeight="1">
      <c r="B492" s="64" t="s">
        <v>0</v>
      </c>
      <c r="C492" s="65"/>
      <c r="D492" s="66" t="s">
        <v>1449</v>
      </c>
      <c r="I492" s="66" t="s">
        <v>1450</v>
      </c>
      <c r="J492" s="67" t="s">
        <v>1208</v>
      </c>
      <c r="K492" s="67" t="s">
        <v>1209</v>
      </c>
      <c r="L492" s="66" t="s">
        <v>1451</v>
      </c>
      <c r="M492" s="66"/>
      <c r="N492" s="68"/>
      <c r="O492" s="68"/>
      <c r="P492" s="68"/>
      <c r="Q492" s="68"/>
      <c r="R492" s="68"/>
      <c r="S492" s="68"/>
      <c r="T492" s="68"/>
    </row>
    <row r="493" spans="2:28" ht="15.75" customHeight="1">
      <c r="B493" s="31" t="s">
        <v>976</v>
      </c>
      <c r="C493" s="30" t="s">
        <v>787</v>
      </c>
      <c r="D493" s="32">
        <v>1040129798</v>
      </c>
      <c r="I493" s="32">
        <v>1040129798</v>
      </c>
      <c r="J493" s="32">
        <v>542800000</v>
      </c>
      <c r="K493" s="34">
        <v>561378544</v>
      </c>
      <c r="L493" s="48" t="s">
        <v>1452</v>
      </c>
      <c r="M493" s="40"/>
      <c r="N493" s="35"/>
      <c r="O493" s="35"/>
      <c r="P493" s="35"/>
      <c r="Q493" s="35"/>
      <c r="R493" s="35"/>
      <c r="S493" s="35"/>
      <c r="T493" s="35"/>
    </row>
    <row r="494" spans="2:28" ht="15.75" customHeight="1">
      <c r="B494" s="42" t="s">
        <v>202</v>
      </c>
      <c r="C494" s="30" t="s">
        <v>787</v>
      </c>
      <c r="D494" s="32">
        <v>15492122356</v>
      </c>
      <c r="I494" s="32">
        <v>15396122356</v>
      </c>
      <c r="J494" s="32">
        <v>14377000000</v>
      </c>
      <c r="K494" s="34">
        <v>11373208913</v>
      </c>
      <c r="L494" s="48" t="s">
        <v>1453</v>
      </c>
      <c r="M494" s="40"/>
      <c r="N494" s="35"/>
      <c r="O494" s="35"/>
      <c r="P494" s="35"/>
      <c r="Q494" s="35"/>
      <c r="R494" s="35"/>
      <c r="S494" s="35"/>
      <c r="T494" s="35"/>
    </row>
    <row r="495" spans="2:28" ht="15.75" customHeight="1">
      <c r="B495" s="42" t="s">
        <v>790</v>
      </c>
      <c r="C495" s="30" t="s">
        <v>787</v>
      </c>
      <c r="D495" s="32">
        <v>611000000</v>
      </c>
      <c r="I495" s="32">
        <v>611000000</v>
      </c>
      <c r="J495" s="32">
        <v>607310883</v>
      </c>
      <c r="K495" s="34">
        <v>539278341</v>
      </c>
      <c r="L495" s="48" t="s">
        <v>1454</v>
      </c>
      <c r="M495" s="40"/>
      <c r="N495" s="35"/>
      <c r="O495" s="35"/>
      <c r="P495" s="35"/>
      <c r="Q495" s="35"/>
      <c r="R495" s="35"/>
      <c r="S495" s="35"/>
      <c r="T495" s="35"/>
    </row>
    <row r="496" spans="2:28" ht="15.75" customHeight="1">
      <c r="B496" s="42" t="s">
        <v>323</v>
      </c>
      <c r="C496" s="30" t="s">
        <v>787</v>
      </c>
      <c r="D496" s="32">
        <v>54060137306</v>
      </c>
      <c r="I496" s="32">
        <v>52565085436</v>
      </c>
      <c r="J496" s="32">
        <v>51763861565</v>
      </c>
      <c r="K496" s="34">
        <v>50726694504</v>
      </c>
      <c r="L496" s="48" t="s">
        <v>1455</v>
      </c>
      <c r="M496" s="40"/>
      <c r="N496" s="35"/>
      <c r="O496" s="35"/>
      <c r="P496" s="35"/>
      <c r="Q496" s="35"/>
      <c r="R496" s="35"/>
      <c r="S496" s="35"/>
      <c r="T496" s="35"/>
    </row>
    <row r="497" spans="2:20" ht="15.75" customHeight="1">
      <c r="B497" s="42" t="s">
        <v>207</v>
      </c>
      <c r="C497" s="30" t="s">
        <v>787</v>
      </c>
      <c r="D497" s="32">
        <v>9695299809</v>
      </c>
      <c r="I497" s="32">
        <v>5629067259</v>
      </c>
      <c r="J497" s="32">
        <v>4763131312</v>
      </c>
      <c r="K497" s="34">
        <v>4733018303</v>
      </c>
      <c r="L497" s="48" t="s">
        <v>1456</v>
      </c>
      <c r="M497" s="40"/>
      <c r="N497" s="35"/>
      <c r="O497" s="35"/>
      <c r="P497" s="35"/>
      <c r="Q497" s="35"/>
      <c r="R497" s="35"/>
      <c r="S497" s="35"/>
      <c r="T497" s="35"/>
    </row>
    <row r="498" spans="2:20" ht="15.75" customHeight="1">
      <c r="B498" s="31" t="s">
        <v>987</v>
      </c>
      <c r="C498" s="30" t="s">
        <v>787</v>
      </c>
      <c r="D498" s="32">
        <v>64949620</v>
      </c>
      <c r="I498" s="32">
        <v>22949620</v>
      </c>
      <c r="J498" s="42"/>
      <c r="K498" s="49"/>
      <c r="L498" s="48" t="s">
        <v>1457</v>
      </c>
      <c r="M498" s="40"/>
      <c r="N498" s="35"/>
      <c r="O498" s="35"/>
      <c r="P498" s="35"/>
      <c r="Q498" s="35"/>
      <c r="R498" s="35"/>
      <c r="S498" s="35"/>
      <c r="T498" s="35"/>
    </row>
    <row r="499" spans="2:20" ht="15.75" customHeight="1">
      <c r="B499" s="42" t="s">
        <v>639</v>
      </c>
      <c r="C499" s="30" t="s">
        <v>787</v>
      </c>
      <c r="D499" s="32">
        <v>1203850000</v>
      </c>
      <c r="I499" s="32">
        <v>1151150000</v>
      </c>
      <c r="J499" s="32">
        <v>1036200000</v>
      </c>
      <c r="K499" s="34">
        <v>328608860</v>
      </c>
      <c r="L499" s="48" t="s">
        <v>1458</v>
      </c>
      <c r="M499" s="40"/>
      <c r="N499" s="35"/>
      <c r="O499" s="35"/>
      <c r="P499" s="35"/>
      <c r="Q499" s="35"/>
      <c r="R499" s="35"/>
      <c r="S499" s="35"/>
      <c r="T499" s="35"/>
    </row>
    <row r="500" spans="2:20" ht="15.75" customHeight="1">
      <c r="B500" s="42" t="s">
        <v>796</v>
      </c>
      <c r="C500" s="30" t="s">
        <v>787</v>
      </c>
      <c r="D500" s="32">
        <v>8398282657</v>
      </c>
      <c r="I500" s="32">
        <v>7351206957</v>
      </c>
      <c r="J500" s="32">
        <v>4003157910</v>
      </c>
      <c r="K500" s="34">
        <v>3484141908</v>
      </c>
      <c r="L500" s="48" t="s">
        <v>1459</v>
      </c>
      <c r="M500" s="40"/>
      <c r="N500" s="35"/>
      <c r="O500" s="35"/>
      <c r="P500" s="35"/>
      <c r="Q500" s="35"/>
      <c r="R500" s="35"/>
      <c r="S500" s="35"/>
      <c r="T500" s="35"/>
    </row>
    <row r="501" spans="2:20" ht="15.75" customHeight="1">
      <c r="B501" s="42" t="s">
        <v>798</v>
      </c>
      <c r="C501" s="30" t="s">
        <v>787</v>
      </c>
      <c r="D501" s="32">
        <v>11869559192</v>
      </c>
      <c r="I501" s="32">
        <v>8908559192</v>
      </c>
      <c r="J501" s="32">
        <v>8118200000</v>
      </c>
      <c r="K501" s="34">
        <v>8593519839</v>
      </c>
      <c r="L501" s="48" t="s">
        <v>1460</v>
      </c>
      <c r="M501" s="40"/>
      <c r="N501" s="35"/>
      <c r="O501" s="35"/>
      <c r="P501" s="35"/>
      <c r="Q501" s="35"/>
      <c r="R501" s="35"/>
      <c r="S501" s="35"/>
      <c r="T501" s="35"/>
    </row>
    <row r="502" spans="2:20" ht="15.75" customHeight="1">
      <c r="B502" s="31" t="s">
        <v>995</v>
      </c>
      <c r="C502" s="30" t="s">
        <v>787</v>
      </c>
      <c r="D502" s="32">
        <v>62038082293</v>
      </c>
      <c r="I502" s="32">
        <v>45836475797</v>
      </c>
      <c r="J502" s="32">
        <v>43453428915</v>
      </c>
      <c r="K502" s="34">
        <v>43528495830</v>
      </c>
      <c r="L502" s="48" t="s">
        <v>1461</v>
      </c>
      <c r="M502" s="40"/>
      <c r="N502" s="35"/>
      <c r="O502" s="35"/>
      <c r="P502" s="35"/>
      <c r="Q502" s="35"/>
      <c r="R502" s="35"/>
      <c r="S502" s="35"/>
      <c r="T502" s="35"/>
    </row>
    <row r="503" spans="2:20" ht="15.75" customHeight="1">
      <c r="B503" s="42" t="s">
        <v>228</v>
      </c>
      <c r="C503" s="30" t="s">
        <v>787</v>
      </c>
      <c r="D503" s="32">
        <v>32541454797</v>
      </c>
      <c r="I503" s="32">
        <v>21525516777</v>
      </c>
      <c r="J503" s="32">
        <v>17019501618</v>
      </c>
      <c r="K503" s="34">
        <v>17072290415</v>
      </c>
      <c r="L503" s="48" t="s">
        <v>1462</v>
      </c>
      <c r="M503" s="40"/>
      <c r="N503" s="35"/>
      <c r="O503" s="35"/>
      <c r="P503" s="35"/>
      <c r="Q503" s="35"/>
      <c r="R503" s="35"/>
      <c r="S503" s="35"/>
      <c r="T503" s="35"/>
    </row>
    <row r="504" spans="2:20" ht="15.75" customHeight="1">
      <c r="B504" s="42" t="s">
        <v>325</v>
      </c>
      <c r="C504" s="30" t="s">
        <v>787</v>
      </c>
      <c r="D504" s="32">
        <v>84708968534</v>
      </c>
      <c r="I504" s="32">
        <v>57814629334</v>
      </c>
      <c r="J504" s="32">
        <v>55200139357</v>
      </c>
      <c r="K504" s="34">
        <v>76030988858</v>
      </c>
      <c r="L504" s="48" t="s">
        <v>1463</v>
      </c>
      <c r="M504" s="40"/>
      <c r="N504" s="35"/>
      <c r="O504" s="35"/>
      <c r="P504" s="35"/>
      <c r="Q504" s="35"/>
      <c r="R504" s="35"/>
      <c r="S504" s="35"/>
      <c r="T504" s="35"/>
    </row>
    <row r="505" spans="2:20" ht="15.75" customHeight="1">
      <c r="B505" s="31" t="s">
        <v>327</v>
      </c>
      <c r="C505" s="30" t="s">
        <v>787</v>
      </c>
      <c r="D505" s="32">
        <v>159972089915</v>
      </c>
      <c r="I505" s="32">
        <v>6854774456</v>
      </c>
      <c r="J505" s="32">
        <v>6284999523</v>
      </c>
      <c r="K505" s="34">
        <v>67353450045</v>
      </c>
      <c r="L505" s="48" t="s">
        <v>1464</v>
      </c>
      <c r="M505" s="40"/>
      <c r="N505" s="35"/>
      <c r="O505" s="35"/>
      <c r="P505" s="35"/>
      <c r="Q505" s="35"/>
      <c r="R505" s="35"/>
      <c r="S505" s="35"/>
      <c r="T505" s="35"/>
    </row>
    <row r="506" spans="2:20" ht="15.75" customHeight="1">
      <c r="B506" s="42" t="s">
        <v>804</v>
      </c>
      <c r="C506" s="30" t="s">
        <v>787</v>
      </c>
      <c r="D506" s="32">
        <v>7786332872</v>
      </c>
      <c r="I506" s="32">
        <v>4691919691</v>
      </c>
      <c r="J506" s="32">
        <v>3311430770</v>
      </c>
      <c r="K506" s="34">
        <v>3184846390</v>
      </c>
      <c r="L506" s="48" t="s">
        <v>1465</v>
      </c>
      <c r="M506" s="40"/>
      <c r="N506" s="35"/>
      <c r="O506" s="35"/>
      <c r="P506" s="35"/>
      <c r="Q506" s="35"/>
      <c r="R506" s="35"/>
      <c r="S506" s="35"/>
      <c r="T506" s="35"/>
    </row>
    <row r="507" spans="2:20" ht="15.75" customHeight="1">
      <c r="B507" s="42" t="s">
        <v>806</v>
      </c>
      <c r="C507" s="30" t="s">
        <v>787</v>
      </c>
      <c r="D507" s="32">
        <v>33358302858</v>
      </c>
      <c r="I507" s="32">
        <v>16768810858</v>
      </c>
      <c r="J507" s="32">
        <v>14554335406</v>
      </c>
      <c r="K507" s="34">
        <v>15698855294</v>
      </c>
      <c r="L507" s="48" t="s">
        <v>1466</v>
      </c>
      <c r="M507" s="40"/>
      <c r="N507" s="35"/>
      <c r="O507" s="35"/>
      <c r="P507" s="35"/>
      <c r="Q507" s="35"/>
      <c r="R507" s="35"/>
      <c r="S507" s="35"/>
      <c r="T507" s="35"/>
    </row>
    <row r="508" spans="2:20" ht="15.75" customHeight="1">
      <c r="B508" s="42" t="s">
        <v>1467</v>
      </c>
      <c r="C508" s="30" t="s">
        <v>787</v>
      </c>
      <c r="D508" s="32">
        <v>26680562690</v>
      </c>
      <c r="I508" s="32">
        <v>22170049190</v>
      </c>
      <c r="J508" s="32">
        <v>18946309870</v>
      </c>
      <c r="K508" s="34">
        <v>18051337706</v>
      </c>
      <c r="L508" s="48" t="s">
        <v>1468</v>
      </c>
      <c r="M508" s="40"/>
      <c r="N508" s="35"/>
      <c r="O508" s="35"/>
      <c r="P508" s="35"/>
      <c r="Q508" s="35"/>
      <c r="R508" s="35"/>
      <c r="S508" s="35"/>
      <c r="T508" s="35"/>
    </row>
    <row r="509" spans="2:20" ht="15.75" customHeight="1">
      <c r="B509" s="42" t="s">
        <v>930</v>
      </c>
      <c r="C509" s="30" t="s">
        <v>787</v>
      </c>
      <c r="D509" s="32">
        <v>14694097566</v>
      </c>
      <c r="I509" s="32">
        <v>11594097566</v>
      </c>
      <c r="J509" s="32">
        <v>11548716426</v>
      </c>
      <c r="K509" s="34">
        <v>13524000350</v>
      </c>
      <c r="L509" s="48" t="s">
        <v>1469</v>
      </c>
      <c r="M509" s="40"/>
      <c r="N509" s="35"/>
      <c r="O509" s="35"/>
      <c r="P509" s="35"/>
      <c r="Q509" s="35"/>
      <c r="R509" s="35"/>
      <c r="S509" s="35"/>
      <c r="T509" s="35"/>
    </row>
    <row r="510" spans="2:20" ht="15.75" customHeight="1">
      <c r="B510" s="42" t="s">
        <v>932</v>
      </c>
      <c r="C510" s="30" t="s">
        <v>787</v>
      </c>
      <c r="D510" s="32">
        <v>2260470680</v>
      </c>
      <c r="I510" s="32">
        <v>2169500000</v>
      </c>
      <c r="J510" s="32">
        <v>2166400000</v>
      </c>
      <c r="K510" s="34">
        <v>2270885006</v>
      </c>
      <c r="L510" s="48" t="s">
        <v>1470</v>
      </c>
      <c r="M510" s="40"/>
      <c r="N510" s="35"/>
      <c r="O510" s="35"/>
      <c r="P510" s="35"/>
      <c r="Q510" s="35"/>
      <c r="R510" s="35"/>
      <c r="S510" s="35"/>
      <c r="T510" s="35"/>
    </row>
    <row r="511" spans="2:20" ht="15.75" customHeight="1">
      <c r="B511" s="42" t="s">
        <v>934</v>
      </c>
      <c r="C511" s="30" t="s">
        <v>787</v>
      </c>
      <c r="D511" s="32">
        <v>15277713290</v>
      </c>
      <c r="I511" s="32">
        <v>15276313290</v>
      </c>
      <c r="J511" s="32">
        <v>11152027940</v>
      </c>
      <c r="K511" s="34">
        <v>12564897167</v>
      </c>
      <c r="L511" s="48" t="s">
        <v>1471</v>
      </c>
      <c r="M511" s="40"/>
      <c r="N511" s="35"/>
      <c r="O511" s="35"/>
      <c r="P511" s="35"/>
      <c r="Q511" s="35"/>
      <c r="R511" s="35"/>
      <c r="S511" s="35"/>
      <c r="T511" s="35"/>
    </row>
    <row r="512" spans="2:20" ht="15.75" customHeight="1">
      <c r="B512" s="42" t="s">
        <v>816</v>
      </c>
      <c r="C512" s="30" t="s">
        <v>787</v>
      </c>
      <c r="D512" s="32">
        <v>94708597346</v>
      </c>
      <c r="I512" s="32">
        <v>35604570454</v>
      </c>
      <c r="J512" s="32">
        <v>33318766855</v>
      </c>
      <c r="K512" s="34">
        <v>70685543372</v>
      </c>
      <c r="L512" s="48" t="s">
        <v>1472</v>
      </c>
      <c r="M512" s="40"/>
      <c r="N512" s="35"/>
      <c r="O512" s="35"/>
      <c r="P512" s="35"/>
      <c r="Q512" s="35"/>
      <c r="R512" s="35"/>
      <c r="S512" s="35"/>
      <c r="T512" s="35"/>
    </row>
    <row r="513" spans="2:20" ht="15.75" customHeight="1">
      <c r="B513" s="42" t="s">
        <v>506</v>
      </c>
      <c r="C513" s="30" t="s">
        <v>787</v>
      </c>
      <c r="D513" s="32">
        <v>20745170894</v>
      </c>
      <c r="I513" s="32">
        <v>15004559671</v>
      </c>
      <c r="J513" s="32">
        <v>13278796491</v>
      </c>
      <c r="K513" s="34">
        <v>12543095201</v>
      </c>
      <c r="L513" s="48" t="s">
        <v>1473</v>
      </c>
      <c r="M513" s="40"/>
      <c r="N513" s="35"/>
      <c r="O513" s="35"/>
      <c r="P513" s="35"/>
      <c r="Q513" s="35"/>
      <c r="R513" s="35"/>
      <c r="S513" s="35"/>
      <c r="T513" s="35"/>
    </row>
    <row r="514" spans="2:20" ht="15.75" customHeight="1">
      <c r="B514" s="42" t="s">
        <v>252</v>
      </c>
      <c r="C514" s="30" t="s">
        <v>787</v>
      </c>
      <c r="D514" s="32">
        <v>4611364079</v>
      </c>
      <c r="I514" s="32">
        <v>3242266598</v>
      </c>
      <c r="J514" s="32">
        <v>2849073423</v>
      </c>
      <c r="K514" s="34">
        <v>2392014832</v>
      </c>
      <c r="L514" s="48" t="s">
        <v>1474</v>
      </c>
      <c r="M514" s="40"/>
      <c r="N514" s="35"/>
      <c r="O514" s="35"/>
      <c r="P514" s="35"/>
      <c r="Q514" s="35"/>
      <c r="R514" s="35"/>
      <c r="S514" s="35"/>
      <c r="T514" s="35"/>
    </row>
    <row r="515" spans="2:20" ht="15.75" customHeight="1">
      <c r="B515" s="42" t="s">
        <v>820</v>
      </c>
      <c r="C515" s="30" t="s">
        <v>787</v>
      </c>
      <c r="D515" s="32">
        <v>3332625853</v>
      </c>
      <c r="I515" s="32">
        <v>2332625853</v>
      </c>
      <c r="J515" s="32">
        <v>1808199900</v>
      </c>
      <c r="K515" s="34">
        <v>2272189949</v>
      </c>
      <c r="L515" s="48" t="s">
        <v>1475</v>
      </c>
      <c r="M515" s="40"/>
      <c r="N515" s="35"/>
      <c r="O515" s="35"/>
      <c r="P515" s="35"/>
      <c r="Q515" s="35"/>
      <c r="R515" s="35"/>
      <c r="S515" s="35"/>
      <c r="T515" s="35"/>
    </row>
    <row r="516" spans="2:20" ht="15.75" customHeight="1">
      <c r="B516" s="42" t="s">
        <v>822</v>
      </c>
      <c r="C516" s="30" t="s">
        <v>787</v>
      </c>
      <c r="D516" s="32">
        <v>5455050302</v>
      </c>
      <c r="I516" s="32">
        <v>5128862658</v>
      </c>
      <c r="J516" s="32">
        <v>4808109940</v>
      </c>
      <c r="K516" s="34">
        <v>4944170132</v>
      </c>
      <c r="L516" s="48" t="s">
        <v>1476</v>
      </c>
      <c r="M516" s="40"/>
      <c r="N516" s="35"/>
      <c r="O516" s="35"/>
      <c r="P516" s="35"/>
      <c r="Q516" s="35"/>
      <c r="R516" s="35"/>
      <c r="S516" s="35"/>
      <c r="T516" s="35"/>
    </row>
    <row r="517" spans="2:20" ht="15.75" customHeight="1">
      <c r="B517" s="42" t="s">
        <v>824</v>
      </c>
      <c r="C517" s="30" t="s">
        <v>787</v>
      </c>
      <c r="D517" s="32">
        <v>4380898400</v>
      </c>
      <c r="I517" s="32">
        <v>4380898400</v>
      </c>
      <c r="J517" s="32">
        <v>3860900000</v>
      </c>
      <c r="K517" s="34">
        <v>4099409647</v>
      </c>
      <c r="L517" s="48" t="s">
        <v>1477</v>
      </c>
      <c r="M517" s="40"/>
      <c r="N517" s="35"/>
      <c r="O517" s="35"/>
      <c r="P517" s="35"/>
      <c r="Q517" s="35"/>
      <c r="R517" s="35"/>
      <c r="S517" s="35"/>
      <c r="T517" s="35"/>
    </row>
    <row r="518" spans="2:20" ht="15.75" customHeight="1">
      <c r="B518" s="42" t="s">
        <v>826</v>
      </c>
      <c r="C518" s="30" t="s">
        <v>787</v>
      </c>
      <c r="D518" s="32">
        <v>65000000</v>
      </c>
      <c r="I518" s="42"/>
      <c r="J518" s="42"/>
      <c r="K518" s="49"/>
      <c r="L518" s="48" t="s">
        <v>1478</v>
      </c>
      <c r="M518" s="40"/>
      <c r="N518" s="35"/>
      <c r="O518" s="35"/>
      <c r="P518" s="35"/>
      <c r="Q518" s="35"/>
      <c r="R518" s="35"/>
      <c r="S518" s="35"/>
      <c r="T518" s="35"/>
    </row>
    <row r="519" spans="2:20" ht="15.75" customHeight="1">
      <c r="B519" s="42" t="s">
        <v>684</v>
      </c>
      <c r="C519" s="30" t="s">
        <v>787</v>
      </c>
      <c r="D519" s="32">
        <v>568000000</v>
      </c>
      <c r="I519" s="32">
        <v>568000000</v>
      </c>
      <c r="J519" s="32">
        <v>324000000</v>
      </c>
      <c r="K519" s="34">
        <v>329373339</v>
      </c>
      <c r="L519" s="48" t="s">
        <v>1479</v>
      </c>
      <c r="M519" s="40"/>
      <c r="N519" s="35"/>
      <c r="O519" s="35"/>
      <c r="P519" s="35"/>
      <c r="Q519" s="35"/>
      <c r="R519" s="35"/>
      <c r="S519" s="35"/>
      <c r="T519" s="35"/>
    </row>
    <row r="520" spans="2:20" ht="15.75" customHeight="1">
      <c r="B520" s="42" t="s">
        <v>829</v>
      </c>
      <c r="C520" s="30" t="s">
        <v>787</v>
      </c>
      <c r="D520" s="32">
        <v>452928571</v>
      </c>
      <c r="I520" s="32">
        <v>144000000</v>
      </c>
      <c r="J520" s="32">
        <v>102600000</v>
      </c>
      <c r="K520" s="34">
        <v>405868167</v>
      </c>
      <c r="L520" s="48" t="s">
        <v>1480</v>
      </c>
      <c r="M520" s="48" t="s">
        <v>1481</v>
      </c>
      <c r="N520" s="35"/>
      <c r="O520" s="35"/>
      <c r="P520" s="35"/>
      <c r="Q520" s="35"/>
      <c r="R520" s="35"/>
      <c r="S520" s="35"/>
      <c r="T520" s="35"/>
    </row>
    <row r="521" spans="2:20" ht="15.75" customHeight="1">
      <c r="B521" s="42" t="s">
        <v>148</v>
      </c>
      <c r="C521" s="30" t="s">
        <v>787</v>
      </c>
      <c r="D521" s="32">
        <v>3114978000</v>
      </c>
      <c r="I521" s="32">
        <v>3114978000</v>
      </c>
      <c r="J521" s="32">
        <v>1778699365</v>
      </c>
      <c r="K521" s="34">
        <v>1591333296</v>
      </c>
      <c r="L521" s="48" t="s">
        <v>1482</v>
      </c>
      <c r="M521" s="40"/>
      <c r="N521" s="35"/>
      <c r="O521" s="35"/>
      <c r="P521" s="35"/>
      <c r="Q521" s="35"/>
      <c r="R521" s="35"/>
      <c r="S521" s="35"/>
      <c r="T521" s="35"/>
    </row>
    <row r="522" spans="2:20" ht="15.75" customHeight="1">
      <c r="B522" s="31" t="s">
        <v>1037</v>
      </c>
      <c r="C522" s="30" t="s">
        <v>787</v>
      </c>
      <c r="D522" s="53"/>
      <c r="I522" s="53"/>
      <c r="J522" s="53"/>
      <c r="K522" s="49"/>
      <c r="L522" s="48" t="s">
        <v>1483</v>
      </c>
      <c r="M522" s="40"/>
      <c r="N522" s="35"/>
      <c r="O522" s="35"/>
      <c r="P522" s="35"/>
      <c r="Q522" s="35"/>
      <c r="R522" s="35"/>
      <c r="S522" s="35"/>
      <c r="T522" s="35"/>
    </row>
    <row r="523" spans="2:20" ht="15.75" customHeight="1">
      <c r="B523" s="42" t="s">
        <v>834</v>
      </c>
      <c r="C523" s="30" t="s">
        <v>787</v>
      </c>
      <c r="D523" s="32">
        <v>73000000</v>
      </c>
      <c r="I523" s="32">
        <v>73000000</v>
      </c>
      <c r="J523" s="32">
        <v>22160000</v>
      </c>
      <c r="K523" s="34">
        <v>63716250</v>
      </c>
      <c r="L523" s="48" t="s">
        <v>1484</v>
      </c>
      <c r="M523" s="40"/>
      <c r="N523" s="35"/>
      <c r="O523" s="35"/>
      <c r="P523" s="35"/>
      <c r="Q523" s="35"/>
      <c r="R523" s="35"/>
      <c r="S523" s="35"/>
      <c r="T523" s="35"/>
    </row>
    <row r="524" spans="2:20" ht="15.75" customHeight="1">
      <c r="B524" s="31" t="s">
        <v>1041</v>
      </c>
      <c r="C524" s="30" t="s">
        <v>787</v>
      </c>
      <c r="D524" s="32">
        <v>289200000</v>
      </c>
      <c r="I524" s="32">
        <v>289200000</v>
      </c>
      <c r="J524" s="32">
        <v>288500000</v>
      </c>
      <c r="K524" s="34">
        <v>288976981</v>
      </c>
      <c r="L524" s="48" t="s">
        <v>1485</v>
      </c>
      <c r="M524" s="40"/>
      <c r="N524" s="35"/>
      <c r="O524" s="35"/>
      <c r="P524" s="35"/>
      <c r="Q524" s="35"/>
      <c r="R524" s="35"/>
      <c r="S524" s="35"/>
      <c r="T524" s="35"/>
    </row>
    <row r="525" spans="2:20" ht="15.75" customHeight="1">
      <c r="B525" s="31" t="s">
        <v>1042</v>
      </c>
      <c r="C525" s="30" t="s">
        <v>787</v>
      </c>
      <c r="D525" s="32">
        <v>27000000</v>
      </c>
      <c r="I525" s="32">
        <v>27000000</v>
      </c>
      <c r="J525" s="32">
        <v>26500000</v>
      </c>
      <c r="K525" s="34">
        <v>27000000</v>
      </c>
      <c r="L525" s="48" t="s">
        <v>1486</v>
      </c>
      <c r="M525" s="40"/>
      <c r="N525" s="35"/>
      <c r="O525" s="35"/>
      <c r="P525" s="35"/>
      <c r="Q525" s="35"/>
      <c r="R525" s="35"/>
      <c r="S525" s="35"/>
      <c r="T525" s="35"/>
    </row>
    <row r="526" spans="2:20" ht="15.75" customHeight="1">
      <c r="B526" s="42" t="s">
        <v>170</v>
      </c>
      <c r="C526" s="30" t="s">
        <v>787</v>
      </c>
      <c r="D526" s="32">
        <v>2100000000</v>
      </c>
      <c r="I526" s="32">
        <v>2100000000</v>
      </c>
      <c r="J526" s="32">
        <v>1698100000</v>
      </c>
      <c r="K526" s="34">
        <v>1970580915</v>
      </c>
      <c r="L526" s="48" t="s">
        <v>1487</v>
      </c>
      <c r="M526" s="40"/>
      <c r="N526" s="35"/>
      <c r="O526" s="35"/>
      <c r="P526" s="35"/>
      <c r="Q526" s="35"/>
      <c r="R526" s="35"/>
      <c r="S526" s="35"/>
      <c r="T526" s="35"/>
    </row>
    <row r="527" spans="2:20" ht="15.75" customHeight="1">
      <c r="B527" s="31" t="s">
        <v>1044</v>
      </c>
      <c r="C527" s="30" t="s">
        <v>787</v>
      </c>
      <c r="D527" s="32">
        <v>51831450</v>
      </c>
      <c r="I527" s="32">
        <v>51831450</v>
      </c>
      <c r="J527" s="32">
        <v>49000000</v>
      </c>
      <c r="K527" s="34">
        <v>51682468</v>
      </c>
      <c r="L527" s="48" t="s">
        <v>1488</v>
      </c>
      <c r="M527" s="40"/>
      <c r="N527" s="35"/>
      <c r="O527" s="35"/>
      <c r="P527" s="35"/>
      <c r="Q527" s="35"/>
      <c r="R527" s="35"/>
      <c r="S527" s="35"/>
      <c r="T527" s="35"/>
    </row>
    <row r="528" spans="2:20" ht="15.75" customHeight="1">
      <c r="B528" s="31" t="s">
        <v>1045</v>
      </c>
      <c r="C528" s="30" t="s">
        <v>787</v>
      </c>
      <c r="D528" s="32">
        <v>67000000</v>
      </c>
      <c r="I528" s="32">
        <v>67000000</v>
      </c>
      <c r="J528" s="53"/>
      <c r="K528" s="49"/>
      <c r="L528" s="48" t="s">
        <v>1489</v>
      </c>
      <c r="M528" s="40"/>
      <c r="N528" s="35"/>
      <c r="O528" s="35"/>
      <c r="P528" s="35"/>
      <c r="Q528" s="35"/>
      <c r="R528" s="35"/>
      <c r="S528" s="35"/>
      <c r="T528" s="35"/>
    </row>
    <row r="529" spans="2:20" ht="15.75" customHeight="1">
      <c r="B529" s="31" t="s">
        <v>188</v>
      </c>
      <c r="C529" s="30" t="s">
        <v>787</v>
      </c>
      <c r="D529" s="32">
        <v>135183176</v>
      </c>
      <c r="I529" s="32">
        <v>135183176</v>
      </c>
      <c r="J529" s="32">
        <v>108000000</v>
      </c>
      <c r="K529" s="34">
        <v>108013653</v>
      </c>
      <c r="L529" s="48" t="s">
        <v>1490</v>
      </c>
      <c r="M529" s="40"/>
      <c r="N529" s="35"/>
      <c r="O529" s="35"/>
      <c r="P529" s="35"/>
      <c r="Q529" s="35"/>
      <c r="R529" s="35"/>
      <c r="S529" s="35"/>
      <c r="T529" s="35"/>
    </row>
    <row r="530" spans="2:20" ht="15.75" customHeight="1">
      <c r="B530" s="31" t="s">
        <v>1047</v>
      </c>
      <c r="C530" s="30" t="s">
        <v>787</v>
      </c>
      <c r="D530" s="32">
        <v>18217687</v>
      </c>
      <c r="I530" s="32">
        <v>18217687</v>
      </c>
      <c r="J530" s="53"/>
      <c r="K530" s="34">
        <v>18217687</v>
      </c>
      <c r="L530" s="48" t="s">
        <v>1491</v>
      </c>
      <c r="M530" s="40"/>
      <c r="N530" s="35"/>
      <c r="O530" s="35"/>
      <c r="P530" s="35"/>
      <c r="Q530" s="35"/>
      <c r="R530" s="35"/>
      <c r="S530" s="35"/>
      <c r="T530" s="35"/>
    </row>
    <row r="531" spans="2:20" ht="15.75" customHeight="1">
      <c r="B531" s="55" t="s">
        <v>468</v>
      </c>
      <c r="C531" s="30" t="s">
        <v>787</v>
      </c>
      <c r="D531" s="38">
        <v>681949451991</v>
      </c>
      <c r="I531" s="38">
        <v>369659551524</v>
      </c>
      <c r="J531" s="38">
        <v>333170357470</v>
      </c>
      <c r="K531" s="39">
        <v>451831082162</v>
      </c>
      <c r="L531" s="50" t="s">
        <v>1492</v>
      </c>
      <c r="M531" s="69"/>
      <c r="N531" s="30"/>
      <c r="O531" s="30"/>
      <c r="P531" s="30"/>
      <c r="Q531" s="30"/>
      <c r="R531" s="30"/>
      <c r="S531" s="30"/>
      <c r="T531" s="30"/>
    </row>
    <row r="532" spans="2:20" ht="15.75" customHeight="1">
      <c r="B532" s="35"/>
      <c r="C532" s="35"/>
      <c r="D532" s="40"/>
      <c r="I532" s="40"/>
      <c r="J532" s="40"/>
      <c r="K532" s="40"/>
      <c r="L532" s="40"/>
      <c r="M532" s="40"/>
      <c r="N532" s="35"/>
      <c r="O532" s="35"/>
      <c r="P532" s="35"/>
      <c r="Q532" s="35"/>
      <c r="R532" s="35"/>
      <c r="S532" s="35"/>
      <c r="T532" s="35"/>
    </row>
    <row r="533" spans="2:20" ht="15.75" customHeight="1">
      <c r="B533" s="30"/>
      <c r="C533" s="30"/>
      <c r="D533" s="40"/>
      <c r="I533" s="40"/>
      <c r="J533" s="40"/>
      <c r="K533" s="40"/>
      <c r="L533" s="40"/>
      <c r="M533" s="40"/>
      <c r="N533" s="35"/>
      <c r="O533" s="35"/>
      <c r="P533" s="35"/>
      <c r="Q533" s="35"/>
      <c r="R533" s="35"/>
      <c r="S533" s="35"/>
      <c r="T533" s="35"/>
    </row>
    <row r="534" spans="2:20" ht="15.75" customHeight="1">
      <c r="B534" s="64" t="s">
        <v>0</v>
      </c>
      <c r="C534" s="65"/>
      <c r="D534" s="66" t="s">
        <v>1449</v>
      </c>
      <c r="I534" s="66" t="s">
        <v>1450</v>
      </c>
      <c r="J534" s="67" t="s">
        <v>1208</v>
      </c>
      <c r="K534" s="67" t="s">
        <v>1209</v>
      </c>
      <c r="L534" s="66" t="s">
        <v>1451</v>
      </c>
      <c r="M534" s="66"/>
      <c r="N534" s="68"/>
      <c r="O534" s="68"/>
      <c r="P534" s="68"/>
      <c r="Q534" s="68"/>
      <c r="R534" s="68"/>
      <c r="S534" s="68"/>
      <c r="T534" s="68"/>
    </row>
    <row r="535" spans="2:20" ht="15.75" customHeight="1">
      <c r="B535" s="31" t="s">
        <v>976</v>
      </c>
      <c r="C535" s="30" t="s">
        <v>858</v>
      </c>
      <c r="D535" s="32">
        <v>7218783597</v>
      </c>
      <c r="I535" s="32">
        <v>7209783597</v>
      </c>
      <c r="J535" s="32">
        <v>5632016000</v>
      </c>
      <c r="K535" s="51">
        <v>6331349012</v>
      </c>
      <c r="L535" s="48" t="s">
        <v>1493</v>
      </c>
      <c r="M535" s="40"/>
      <c r="N535" s="35"/>
      <c r="O535" s="35"/>
      <c r="P535" s="35"/>
      <c r="Q535" s="35"/>
      <c r="R535" s="35"/>
      <c r="S535" s="35"/>
      <c r="T535" s="35"/>
    </row>
    <row r="536" spans="2:20" ht="15.75" customHeight="1">
      <c r="B536" s="42" t="s">
        <v>202</v>
      </c>
      <c r="C536" s="30" t="s">
        <v>858</v>
      </c>
      <c r="D536" s="32">
        <v>93205458294</v>
      </c>
      <c r="I536" s="32">
        <v>92839437021</v>
      </c>
      <c r="J536" s="32">
        <v>84934000000</v>
      </c>
      <c r="K536" s="51">
        <v>70872297638</v>
      </c>
      <c r="L536" s="48" t="s">
        <v>1494</v>
      </c>
      <c r="M536" s="40"/>
      <c r="N536" s="35"/>
      <c r="O536" s="35"/>
      <c r="P536" s="35"/>
      <c r="Q536" s="35"/>
      <c r="R536" s="35"/>
      <c r="S536" s="35"/>
      <c r="T536" s="35"/>
    </row>
    <row r="537" spans="2:20" ht="15.75" customHeight="1">
      <c r="B537" s="42" t="s">
        <v>790</v>
      </c>
      <c r="C537" s="30" t="s">
        <v>858</v>
      </c>
      <c r="D537" s="32">
        <v>17113870819</v>
      </c>
      <c r="I537" s="32">
        <v>17113870819</v>
      </c>
      <c r="J537" s="32">
        <v>17105000000</v>
      </c>
      <c r="K537" s="51">
        <v>15750761857</v>
      </c>
      <c r="L537" s="48" t="s">
        <v>1495</v>
      </c>
      <c r="M537" s="40"/>
      <c r="N537" s="35"/>
      <c r="O537" s="35"/>
      <c r="P537" s="35"/>
      <c r="Q537" s="35"/>
      <c r="R537" s="35"/>
      <c r="S537" s="35"/>
      <c r="T537" s="35"/>
    </row>
    <row r="538" spans="2:20" ht="15.75" customHeight="1">
      <c r="B538" s="42" t="s">
        <v>323</v>
      </c>
      <c r="C538" s="30" t="s">
        <v>858</v>
      </c>
      <c r="D538" s="32">
        <v>17392200000</v>
      </c>
      <c r="I538" s="32">
        <v>17108800000</v>
      </c>
      <c r="J538" s="32">
        <v>14732840000</v>
      </c>
      <c r="K538" s="51">
        <v>14524367679</v>
      </c>
      <c r="L538" s="48" t="s">
        <v>1496</v>
      </c>
      <c r="M538" s="40"/>
      <c r="N538" s="35"/>
      <c r="O538" s="35"/>
      <c r="P538" s="35"/>
      <c r="Q538" s="35"/>
      <c r="R538" s="35"/>
      <c r="S538" s="35"/>
      <c r="T538" s="35"/>
    </row>
    <row r="539" spans="2:20" ht="15.75" customHeight="1">
      <c r="B539" s="42" t="s">
        <v>207</v>
      </c>
      <c r="C539" s="30" t="s">
        <v>858</v>
      </c>
      <c r="D539" s="32">
        <v>4329827515</v>
      </c>
      <c r="I539" s="32">
        <v>4327827515</v>
      </c>
      <c r="J539" s="32">
        <v>4288050000</v>
      </c>
      <c r="K539" s="51">
        <v>4131793408</v>
      </c>
      <c r="L539" s="48" t="s">
        <v>1497</v>
      </c>
      <c r="M539" s="40"/>
      <c r="N539" s="35"/>
      <c r="O539" s="35"/>
      <c r="P539" s="35"/>
      <c r="Q539" s="35"/>
      <c r="R539" s="35"/>
      <c r="S539" s="35"/>
      <c r="T539" s="35"/>
    </row>
    <row r="540" spans="2:20" ht="15.75" customHeight="1">
      <c r="B540" s="31" t="s">
        <v>987</v>
      </c>
      <c r="C540" s="30" t="s">
        <v>858</v>
      </c>
      <c r="D540" s="32">
        <v>78770800000</v>
      </c>
      <c r="I540" s="32">
        <v>78770800000</v>
      </c>
      <c r="J540" s="32">
        <v>74585220000</v>
      </c>
      <c r="K540" s="51">
        <v>78694694178</v>
      </c>
      <c r="L540" s="48" t="s">
        <v>1498</v>
      </c>
      <c r="M540" s="40"/>
      <c r="N540" s="35"/>
      <c r="O540" s="35"/>
      <c r="P540" s="35"/>
      <c r="Q540" s="35"/>
      <c r="R540" s="35"/>
      <c r="S540" s="35"/>
      <c r="T540" s="35"/>
    </row>
    <row r="541" spans="2:20" ht="15.75" customHeight="1">
      <c r="B541" s="42" t="s">
        <v>639</v>
      </c>
      <c r="C541" s="30" t="s">
        <v>858</v>
      </c>
      <c r="D541" s="32">
        <v>13414814217</v>
      </c>
      <c r="I541" s="32">
        <v>12749814217</v>
      </c>
      <c r="J541" s="32">
        <v>11801800000</v>
      </c>
      <c r="K541" s="51">
        <v>8290107635</v>
      </c>
      <c r="L541" s="48" t="s">
        <v>1499</v>
      </c>
      <c r="M541" s="40"/>
      <c r="N541" s="35"/>
      <c r="O541" s="35"/>
      <c r="P541" s="35"/>
      <c r="Q541" s="35"/>
      <c r="R541" s="35"/>
      <c r="S541" s="35"/>
      <c r="T541" s="35"/>
    </row>
    <row r="542" spans="2:20" ht="15.75" customHeight="1">
      <c r="B542" s="42" t="s">
        <v>796</v>
      </c>
      <c r="C542" s="30" t="s">
        <v>858</v>
      </c>
      <c r="D542" s="32">
        <v>54241370016</v>
      </c>
      <c r="I542" s="32">
        <v>50107770016</v>
      </c>
      <c r="J542" s="32">
        <v>49095900000</v>
      </c>
      <c r="K542" s="51">
        <v>48488836157</v>
      </c>
      <c r="L542" s="48" t="s">
        <v>1500</v>
      </c>
      <c r="M542" s="40"/>
      <c r="N542" s="35"/>
      <c r="O542" s="35"/>
      <c r="P542" s="35"/>
      <c r="Q542" s="35"/>
      <c r="R542" s="35"/>
      <c r="S542" s="35"/>
      <c r="T542" s="35"/>
    </row>
    <row r="543" spans="2:20" ht="15.75" customHeight="1">
      <c r="B543" s="42" t="s">
        <v>798</v>
      </c>
      <c r="C543" s="30" t="s">
        <v>858</v>
      </c>
      <c r="D543" s="32">
        <v>56806291952</v>
      </c>
      <c r="I543" s="32">
        <v>40123691952</v>
      </c>
      <c r="J543" s="32">
        <v>38900000000</v>
      </c>
      <c r="K543" s="51">
        <v>39160390121</v>
      </c>
      <c r="L543" s="48" t="s">
        <v>1501</v>
      </c>
      <c r="M543" s="40"/>
      <c r="N543" s="35"/>
      <c r="O543" s="35"/>
      <c r="P543" s="35"/>
      <c r="Q543" s="35"/>
      <c r="R543" s="35"/>
      <c r="S543" s="35"/>
      <c r="T543" s="35"/>
    </row>
    <row r="544" spans="2:20" ht="15.75" customHeight="1">
      <c r="B544" s="31" t="s">
        <v>995</v>
      </c>
      <c r="C544" s="30" t="s">
        <v>858</v>
      </c>
      <c r="D544" s="32">
        <v>29814525602</v>
      </c>
      <c r="I544" s="32">
        <v>29814525602</v>
      </c>
      <c r="J544" s="32">
        <v>27685820000</v>
      </c>
      <c r="K544" s="51">
        <v>28072667145</v>
      </c>
      <c r="L544" s="48" t="s">
        <v>1502</v>
      </c>
      <c r="M544" s="40"/>
      <c r="N544" s="35"/>
      <c r="O544" s="35"/>
      <c r="P544" s="35"/>
      <c r="Q544" s="35"/>
      <c r="R544" s="35"/>
      <c r="S544" s="35"/>
      <c r="T544" s="35"/>
    </row>
    <row r="545" spans="2:20" ht="15.75" customHeight="1">
      <c r="B545" s="42" t="s">
        <v>228</v>
      </c>
      <c r="C545" s="30" t="s">
        <v>858</v>
      </c>
      <c r="D545" s="32">
        <v>29259165573</v>
      </c>
      <c r="I545" s="32">
        <v>25397289096</v>
      </c>
      <c r="J545" s="32">
        <v>23543000000</v>
      </c>
      <c r="K545" s="51">
        <v>24727282465</v>
      </c>
      <c r="L545" s="48" t="s">
        <v>1503</v>
      </c>
      <c r="M545" s="40"/>
      <c r="N545" s="35"/>
      <c r="O545" s="35"/>
      <c r="P545" s="35"/>
      <c r="Q545" s="35"/>
      <c r="R545" s="35"/>
      <c r="S545" s="35"/>
      <c r="T545" s="35"/>
    </row>
    <row r="546" spans="2:20" ht="15.75" customHeight="1">
      <c r="B546" s="42" t="s">
        <v>325</v>
      </c>
      <c r="C546" s="30" t="s">
        <v>858</v>
      </c>
      <c r="D546" s="32">
        <v>25732227050</v>
      </c>
      <c r="I546" s="32">
        <v>1368979238</v>
      </c>
      <c r="J546" s="32">
        <v>1337386000</v>
      </c>
      <c r="K546" s="51">
        <v>1188713219</v>
      </c>
      <c r="L546" s="48" t="s">
        <v>1504</v>
      </c>
      <c r="M546" s="40"/>
      <c r="N546" s="35"/>
      <c r="O546" s="35"/>
      <c r="P546" s="35"/>
      <c r="Q546" s="35"/>
      <c r="R546" s="35"/>
      <c r="S546" s="35"/>
      <c r="T546" s="35"/>
    </row>
    <row r="547" spans="2:20" ht="15.75" customHeight="1">
      <c r="B547" s="31" t="s">
        <v>327</v>
      </c>
      <c r="C547" s="30" t="s">
        <v>858</v>
      </c>
      <c r="D547" s="32">
        <v>5872774250</v>
      </c>
      <c r="I547" s="32">
        <v>1465553760</v>
      </c>
      <c r="J547" s="32">
        <v>1408740000</v>
      </c>
      <c r="K547" s="51">
        <v>1347580557</v>
      </c>
      <c r="L547" s="48" t="s">
        <v>1505</v>
      </c>
      <c r="M547" s="40"/>
      <c r="N547" s="35"/>
      <c r="O547" s="35"/>
      <c r="P547" s="35"/>
      <c r="Q547" s="35"/>
      <c r="R547" s="35"/>
      <c r="S547" s="35"/>
      <c r="T547" s="35"/>
    </row>
    <row r="548" spans="2:20" ht="15.75" customHeight="1">
      <c r="B548" s="42" t="s">
        <v>804</v>
      </c>
      <c r="C548" s="30" t="s">
        <v>858</v>
      </c>
      <c r="D548" s="32">
        <v>11149533425</v>
      </c>
      <c r="I548" s="32">
        <v>8311291664</v>
      </c>
      <c r="J548" s="32">
        <v>7864900000</v>
      </c>
      <c r="K548" s="51">
        <v>8167498844</v>
      </c>
      <c r="L548" s="48" t="s">
        <v>1506</v>
      </c>
      <c r="M548" s="40"/>
      <c r="N548" s="35"/>
      <c r="O548" s="35"/>
      <c r="P548" s="35"/>
      <c r="Q548" s="35"/>
      <c r="R548" s="35"/>
      <c r="S548" s="35"/>
      <c r="T548" s="35"/>
    </row>
    <row r="549" spans="2:20" ht="15.75" customHeight="1">
      <c r="B549" s="42" t="s">
        <v>806</v>
      </c>
      <c r="C549" s="30" t="s">
        <v>858</v>
      </c>
      <c r="D549" s="32">
        <v>4191551029</v>
      </c>
      <c r="I549" s="32">
        <v>2053792790</v>
      </c>
      <c r="J549" s="32">
        <v>2053792790</v>
      </c>
      <c r="K549" s="51">
        <v>2081459570</v>
      </c>
      <c r="L549" s="48" t="s">
        <v>1507</v>
      </c>
      <c r="M549" s="40"/>
      <c r="N549" s="35"/>
      <c r="O549" s="35"/>
      <c r="P549" s="35"/>
      <c r="Q549" s="35"/>
      <c r="R549" s="35"/>
      <c r="S549" s="35"/>
      <c r="T549" s="35"/>
    </row>
    <row r="550" spans="2:20" ht="15.75" customHeight="1">
      <c r="B550" s="42" t="s">
        <v>1467</v>
      </c>
      <c r="C550" s="30" t="s">
        <v>858</v>
      </c>
      <c r="D550" s="32">
        <v>4398997927</v>
      </c>
      <c r="I550" s="32">
        <v>4352583177</v>
      </c>
      <c r="J550" s="32">
        <v>4007000000</v>
      </c>
      <c r="K550" s="51">
        <v>4311165524</v>
      </c>
      <c r="L550" s="48" t="s">
        <v>1508</v>
      </c>
      <c r="M550" s="40"/>
      <c r="N550" s="35"/>
      <c r="O550" s="35"/>
      <c r="P550" s="35"/>
      <c r="Q550" s="35"/>
      <c r="R550" s="35"/>
      <c r="S550" s="35"/>
      <c r="T550" s="35"/>
    </row>
    <row r="551" spans="2:20" ht="15.75" customHeight="1">
      <c r="B551" s="42" t="s">
        <v>930</v>
      </c>
      <c r="C551" s="30" t="s">
        <v>858</v>
      </c>
      <c r="D551" s="32">
        <v>2609948127</v>
      </c>
      <c r="I551" s="32">
        <v>2513748127</v>
      </c>
      <c r="J551" s="32">
        <v>2240600000</v>
      </c>
      <c r="K551" s="51">
        <v>2120595894</v>
      </c>
      <c r="L551" s="48" t="s">
        <v>1509</v>
      </c>
      <c r="M551" s="40"/>
      <c r="N551" s="35"/>
      <c r="O551" s="35"/>
      <c r="P551" s="35"/>
      <c r="Q551" s="35"/>
      <c r="R551" s="35"/>
      <c r="S551" s="35"/>
      <c r="T551" s="35"/>
    </row>
    <row r="552" spans="2:20" ht="15.75" customHeight="1">
      <c r="B552" s="42" t="s">
        <v>932</v>
      </c>
      <c r="C552" s="30" t="s">
        <v>858</v>
      </c>
      <c r="D552" s="32">
        <v>2891453968</v>
      </c>
      <c r="I552" s="32">
        <v>2881053968</v>
      </c>
      <c r="J552" s="32">
        <v>2608000000</v>
      </c>
      <c r="K552" s="51">
        <v>2724201820</v>
      </c>
      <c r="L552" s="48" t="s">
        <v>1510</v>
      </c>
      <c r="M552" s="40"/>
      <c r="N552" s="35"/>
      <c r="O552" s="35"/>
      <c r="P552" s="35"/>
      <c r="Q552" s="35"/>
      <c r="R552" s="35"/>
      <c r="S552" s="35"/>
      <c r="T552" s="35"/>
    </row>
    <row r="553" spans="2:20" ht="15.75" customHeight="1">
      <c r="B553" s="42" t="s">
        <v>934</v>
      </c>
      <c r="C553" s="30" t="s">
        <v>858</v>
      </c>
      <c r="D553" s="32">
        <v>8903409769</v>
      </c>
      <c r="I553" s="32">
        <v>8688995289</v>
      </c>
      <c r="J553" s="32">
        <v>8336300000</v>
      </c>
      <c r="K553" s="51">
        <v>6618937317</v>
      </c>
      <c r="L553" s="48" t="s">
        <v>1511</v>
      </c>
      <c r="M553" s="40"/>
      <c r="N553" s="35"/>
      <c r="O553" s="35"/>
      <c r="P553" s="35"/>
      <c r="Q553" s="35"/>
      <c r="R553" s="35"/>
      <c r="S553" s="35"/>
      <c r="T553" s="35"/>
    </row>
    <row r="554" spans="2:20" ht="15.75" customHeight="1">
      <c r="B554" s="42" t="s">
        <v>816</v>
      </c>
      <c r="C554" s="30" t="s">
        <v>858</v>
      </c>
      <c r="D554" s="32">
        <v>2022558644</v>
      </c>
      <c r="I554" s="32">
        <v>1766558644</v>
      </c>
      <c r="J554" s="32">
        <v>1735500000</v>
      </c>
      <c r="K554" s="51">
        <v>1752926562</v>
      </c>
      <c r="L554" s="48" t="s">
        <v>1512</v>
      </c>
      <c r="M554" s="40"/>
      <c r="N554" s="35"/>
      <c r="O554" s="35"/>
      <c r="P554" s="35"/>
      <c r="Q554" s="35"/>
      <c r="R554" s="35"/>
      <c r="S554" s="35"/>
      <c r="T554" s="35"/>
    </row>
    <row r="555" spans="2:20" ht="15.75" customHeight="1">
      <c r="B555" s="42" t="s">
        <v>506</v>
      </c>
      <c r="C555" s="30" t="s">
        <v>858</v>
      </c>
      <c r="D555" s="32">
        <v>9965995200</v>
      </c>
      <c r="I555" s="32">
        <v>9538495200</v>
      </c>
      <c r="J555" s="32">
        <v>7898400000</v>
      </c>
      <c r="K555" s="51">
        <v>7417399517</v>
      </c>
      <c r="L555" s="48" t="s">
        <v>1513</v>
      </c>
      <c r="M555" s="40"/>
      <c r="N555" s="35"/>
      <c r="O555" s="35"/>
      <c r="P555" s="35"/>
      <c r="Q555" s="35"/>
      <c r="R555" s="35"/>
      <c r="S555" s="35"/>
      <c r="T555" s="35"/>
    </row>
    <row r="556" spans="2:20" ht="15.75" customHeight="1">
      <c r="B556" s="42" t="s">
        <v>252</v>
      </c>
      <c r="C556" s="30" t="s">
        <v>858</v>
      </c>
      <c r="D556" s="32">
        <v>1843430310</v>
      </c>
      <c r="I556" s="32">
        <v>1819430310</v>
      </c>
      <c r="J556" s="32">
        <v>1762620000</v>
      </c>
      <c r="K556" s="51">
        <v>1267142726</v>
      </c>
      <c r="L556" s="48" t="s">
        <v>1514</v>
      </c>
      <c r="M556" s="40"/>
      <c r="N556" s="35"/>
      <c r="O556" s="35"/>
      <c r="P556" s="35"/>
      <c r="Q556" s="35"/>
      <c r="R556" s="35"/>
      <c r="S556" s="35"/>
      <c r="T556" s="35"/>
    </row>
    <row r="557" spans="2:20" ht="15.75" customHeight="1">
      <c r="B557" s="42" t="s">
        <v>820</v>
      </c>
      <c r="C557" s="30" t="s">
        <v>858</v>
      </c>
      <c r="D557" s="32">
        <v>1113913217</v>
      </c>
      <c r="I557" s="32">
        <v>1113913217</v>
      </c>
      <c r="J557" s="32">
        <v>1111400000</v>
      </c>
      <c r="K557" s="51">
        <v>1069203623</v>
      </c>
      <c r="L557" s="48" t="s">
        <v>1515</v>
      </c>
      <c r="M557" s="40"/>
      <c r="N557" s="35"/>
      <c r="O557" s="35"/>
      <c r="P557" s="35"/>
      <c r="Q557" s="35"/>
      <c r="R557" s="35"/>
      <c r="S557" s="35"/>
      <c r="T557" s="35"/>
    </row>
    <row r="558" spans="2:20" ht="15.75" customHeight="1">
      <c r="B558" s="42" t="s">
        <v>822</v>
      </c>
      <c r="C558" s="30" t="s">
        <v>858</v>
      </c>
      <c r="D558" s="32">
        <v>3299917028</v>
      </c>
      <c r="I558" s="32">
        <v>3275917028</v>
      </c>
      <c r="J558" s="32">
        <v>2819640000</v>
      </c>
      <c r="K558" s="51">
        <v>3030591785</v>
      </c>
      <c r="L558" s="48" t="s">
        <v>1516</v>
      </c>
      <c r="M558" s="40"/>
      <c r="N558" s="35"/>
      <c r="O558" s="35"/>
      <c r="P558" s="35"/>
      <c r="Q558" s="35"/>
      <c r="R558" s="35"/>
      <c r="S558" s="35"/>
      <c r="T558" s="35"/>
    </row>
    <row r="559" spans="2:20" ht="15.75" customHeight="1">
      <c r="B559" s="42" t="s">
        <v>824</v>
      </c>
      <c r="C559" s="30" t="s">
        <v>858</v>
      </c>
      <c r="D559" s="32">
        <v>3005658549</v>
      </c>
      <c r="I559" s="32">
        <v>2975058549</v>
      </c>
      <c r="J559" s="32">
        <v>2877105000</v>
      </c>
      <c r="K559" s="51">
        <v>2838193104</v>
      </c>
      <c r="L559" s="48" t="s">
        <v>1517</v>
      </c>
      <c r="M559" s="40"/>
      <c r="N559" s="35"/>
      <c r="O559" s="35"/>
      <c r="P559" s="35"/>
      <c r="Q559" s="35"/>
      <c r="R559" s="35"/>
      <c r="S559" s="35"/>
      <c r="T559" s="35"/>
    </row>
    <row r="560" spans="2:20" ht="15.75" customHeight="1">
      <c r="B560" s="42" t="s">
        <v>826</v>
      </c>
      <c r="C560" s="30" t="s">
        <v>858</v>
      </c>
      <c r="D560" s="32">
        <v>1618603767</v>
      </c>
      <c r="I560" s="32">
        <v>1617103767</v>
      </c>
      <c r="J560" s="32">
        <v>1480600000</v>
      </c>
      <c r="K560" s="51">
        <v>1519141998</v>
      </c>
      <c r="L560" s="48" t="s">
        <v>1518</v>
      </c>
      <c r="M560" s="40"/>
      <c r="N560" s="35"/>
      <c r="O560" s="35"/>
      <c r="P560" s="35"/>
      <c r="Q560" s="35"/>
      <c r="R560" s="35"/>
      <c r="S560" s="35"/>
      <c r="T560" s="35"/>
    </row>
    <row r="561" spans="2:20" ht="15.75" customHeight="1">
      <c r="B561" s="42" t="s">
        <v>684</v>
      </c>
      <c r="C561" s="30" t="s">
        <v>858</v>
      </c>
      <c r="D561" s="32">
        <v>767711140</v>
      </c>
      <c r="I561" s="32">
        <v>753711140</v>
      </c>
      <c r="J561" s="32">
        <v>665765000</v>
      </c>
      <c r="K561" s="51">
        <v>690276296</v>
      </c>
      <c r="L561" s="48" t="s">
        <v>1519</v>
      </c>
      <c r="M561" s="40"/>
      <c r="N561" s="35"/>
      <c r="O561" s="35"/>
      <c r="P561" s="35"/>
      <c r="Q561" s="35"/>
      <c r="R561" s="35"/>
      <c r="S561" s="35"/>
      <c r="T561" s="35"/>
    </row>
    <row r="562" spans="2:20" ht="15.75" customHeight="1">
      <c r="B562" s="42" t="s">
        <v>829</v>
      </c>
      <c r="C562" s="30" t="s">
        <v>858</v>
      </c>
      <c r="D562" s="32">
        <v>3627486700</v>
      </c>
      <c r="I562" s="32">
        <v>3282486700</v>
      </c>
      <c r="J562" s="32">
        <v>2815115000</v>
      </c>
      <c r="K562" s="51">
        <v>2926052632</v>
      </c>
      <c r="L562" s="48" t="s">
        <v>1520</v>
      </c>
      <c r="M562" s="40"/>
      <c r="N562" s="35"/>
      <c r="O562" s="35"/>
      <c r="P562" s="35"/>
      <c r="Q562" s="35"/>
      <c r="R562" s="35"/>
      <c r="S562" s="35"/>
      <c r="T562" s="35"/>
    </row>
    <row r="563" spans="2:20" ht="15.75" customHeight="1">
      <c r="B563" s="42" t="s">
        <v>148</v>
      </c>
      <c r="C563" s="30" t="s">
        <v>858</v>
      </c>
      <c r="D563" s="32">
        <v>10732000000</v>
      </c>
      <c r="I563" s="32">
        <v>10732000000</v>
      </c>
      <c r="J563" s="32">
        <v>10318560000</v>
      </c>
      <c r="K563" s="51">
        <v>10289836224</v>
      </c>
      <c r="L563" s="48" t="s">
        <v>1521</v>
      </c>
      <c r="M563" s="40"/>
      <c r="N563" s="35"/>
      <c r="O563" s="35"/>
      <c r="P563" s="35"/>
      <c r="Q563" s="35"/>
      <c r="R563" s="35"/>
      <c r="S563" s="35"/>
      <c r="T563" s="35"/>
    </row>
    <row r="564" spans="2:20" ht="15.75" customHeight="1">
      <c r="B564" s="31" t="s">
        <v>1037</v>
      </c>
      <c r="C564" s="30" t="s">
        <v>858</v>
      </c>
      <c r="D564" s="32">
        <v>1746000000</v>
      </c>
      <c r="I564" s="32">
        <v>1746000000</v>
      </c>
      <c r="J564" s="32">
        <v>1646000000</v>
      </c>
      <c r="K564" s="51">
        <v>1701062555</v>
      </c>
      <c r="L564" s="48" t="s">
        <v>1522</v>
      </c>
      <c r="M564" s="40"/>
      <c r="N564" s="35"/>
      <c r="O564" s="35"/>
      <c r="P564" s="35"/>
      <c r="Q564" s="35"/>
      <c r="R564" s="35"/>
      <c r="S564" s="35"/>
      <c r="T564" s="35"/>
    </row>
    <row r="565" spans="2:20" ht="15.75" customHeight="1">
      <c r="B565" s="42" t="s">
        <v>152</v>
      </c>
      <c r="C565" s="30" t="s">
        <v>858</v>
      </c>
      <c r="D565" s="32">
        <v>19141500000</v>
      </c>
      <c r="I565" s="32">
        <v>19140000000</v>
      </c>
      <c r="J565" s="32">
        <v>19137400000</v>
      </c>
      <c r="K565" s="51">
        <v>19127033313</v>
      </c>
      <c r="L565" s="48" t="s">
        <v>1523</v>
      </c>
      <c r="M565" s="40"/>
      <c r="N565" s="35"/>
      <c r="O565" s="35"/>
      <c r="P565" s="35"/>
      <c r="Q565" s="35"/>
      <c r="R565" s="35"/>
      <c r="S565" s="35"/>
      <c r="T565" s="35"/>
    </row>
    <row r="566" spans="2:20" ht="15.75" customHeight="1">
      <c r="B566" s="42" t="s">
        <v>834</v>
      </c>
      <c r="C566" s="30" t="s">
        <v>858</v>
      </c>
      <c r="D566" s="32">
        <v>1726891272</v>
      </c>
      <c r="I566" s="32">
        <v>1726831272</v>
      </c>
      <c r="J566" s="32">
        <v>1479200000</v>
      </c>
      <c r="K566" s="70">
        <v>1263916880</v>
      </c>
      <c r="L566" s="48" t="s">
        <v>1524</v>
      </c>
      <c r="M566" s="40"/>
      <c r="N566" s="35"/>
      <c r="O566" s="35"/>
      <c r="P566" s="35"/>
      <c r="Q566" s="35"/>
      <c r="R566" s="35"/>
      <c r="S566" s="35"/>
      <c r="T566" s="35"/>
    </row>
    <row r="567" spans="2:20" ht="15.75" customHeight="1">
      <c r="B567" s="42" t="s">
        <v>836</v>
      </c>
      <c r="C567" s="30" t="s">
        <v>858</v>
      </c>
      <c r="D567" s="32">
        <v>306000000</v>
      </c>
      <c r="I567" s="32">
        <v>306000000</v>
      </c>
      <c r="J567" s="32">
        <v>304700000</v>
      </c>
      <c r="K567" s="70">
        <v>317845849</v>
      </c>
      <c r="L567" s="48" t="s">
        <v>1525</v>
      </c>
      <c r="M567" s="40"/>
      <c r="N567" s="35"/>
      <c r="O567" s="35"/>
      <c r="P567" s="35"/>
      <c r="Q567" s="35"/>
      <c r="R567" s="35"/>
      <c r="S567" s="35"/>
      <c r="T567" s="35"/>
    </row>
    <row r="568" spans="2:20" ht="15.75" customHeight="1">
      <c r="B568" s="42" t="s">
        <v>838</v>
      </c>
      <c r="C568" s="30" t="s">
        <v>858</v>
      </c>
      <c r="D568" s="32">
        <v>476161000</v>
      </c>
      <c r="I568" s="32">
        <v>475961000</v>
      </c>
      <c r="J568" s="32">
        <v>457341000</v>
      </c>
      <c r="K568" s="70">
        <v>465004632</v>
      </c>
      <c r="L568" s="48" t="s">
        <v>1526</v>
      </c>
      <c r="M568" s="40"/>
      <c r="N568" s="35"/>
      <c r="O568" s="35"/>
      <c r="P568" s="35"/>
      <c r="Q568" s="35"/>
      <c r="R568" s="35"/>
      <c r="S568" s="35"/>
      <c r="T568" s="35"/>
    </row>
    <row r="569" spans="2:20" ht="15.75" customHeight="1">
      <c r="B569" s="42" t="s">
        <v>158</v>
      </c>
      <c r="C569" s="30" t="s">
        <v>858</v>
      </c>
      <c r="D569" s="32">
        <v>295200213</v>
      </c>
      <c r="I569" s="32">
        <v>295200213</v>
      </c>
      <c r="J569" s="32">
        <v>282278600</v>
      </c>
      <c r="K569" s="70">
        <v>275991245</v>
      </c>
      <c r="L569" s="48" t="s">
        <v>1527</v>
      </c>
      <c r="M569" s="40"/>
      <c r="N569" s="35"/>
      <c r="O569" s="35"/>
      <c r="P569" s="35"/>
      <c r="Q569" s="35"/>
      <c r="R569" s="35"/>
      <c r="S569" s="35"/>
      <c r="T569" s="35"/>
    </row>
    <row r="570" spans="2:20" ht="15.75" customHeight="1">
      <c r="B570" s="42" t="s">
        <v>164</v>
      </c>
      <c r="C570" s="30" t="s">
        <v>858</v>
      </c>
      <c r="D570" s="32">
        <v>356500000</v>
      </c>
      <c r="I570" s="32">
        <v>356500000</v>
      </c>
      <c r="J570" s="32">
        <v>345345994</v>
      </c>
      <c r="K570" s="34">
        <v>333425134</v>
      </c>
      <c r="L570" s="48" t="s">
        <v>1528</v>
      </c>
      <c r="M570" s="40"/>
      <c r="N570" s="35"/>
      <c r="O570" s="35"/>
      <c r="P570" s="35"/>
      <c r="Q570" s="35"/>
      <c r="R570" s="35"/>
      <c r="S570" s="35"/>
      <c r="T570" s="35"/>
    </row>
    <row r="571" spans="2:20" ht="15.75" customHeight="1">
      <c r="B571" s="31" t="s">
        <v>1041</v>
      </c>
      <c r="C571" s="30" t="s">
        <v>858</v>
      </c>
      <c r="D571" s="32">
        <v>1093838149</v>
      </c>
      <c r="I571" s="32">
        <v>1093838149</v>
      </c>
      <c r="J571" s="32">
        <v>1089100000</v>
      </c>
      <c r="K571" s="34">
        <v>1055372961</v>
      </c>
      <c r="L571" s="48" t="s">
        <v>1529</v>
      </c>
      <c r="M571" s="40"/>
      <c r="N571" s="35"/>
      <c r="O571" s="35"/>
      <c r="P571" s="35"/>
      <c r="Q571" s="35"/>
      <c r="R571" s="35"/>
      <c r="S571" s="35"/>
      <c r="T571" s="35"/>
    </row>
    <row r="572" spans="2:20" ht="15.75" customHeight="1">
      <c r="B572" s="31" t="s">
        <v>1042</v>
      </c>
      <c r="C572" s="30" t="s">
        <v>858</v>
      </c>
      <c r="D572" s="32">
        <v>6794803346</v>
      </c>
      <c r="I572" s="32">
        <v>6787803346</v>
      </c>
      <c r="J572" s="32">
        <v>5233000000</v>
      </c>
      <c r="K572" s="34">
        <v>5229130215</v>
      </c>
      <c r="L572" s="48" t="s">
        <v>1530</v>
      </c>
      <c r="M572" s="40"/>
      <c r="N572" s="35"/>
      <c r="O572" s="35"/>
      <c r="P572" s="35"/>
      <c r="Q572" s="35"/>
      <c r="R572" s="35"/>
      <c r="S572" s="35"/>
      <c r="T572" s="35"/>
    </row>
    <row r="573" spans="2:20" ht="15.75" customHeight="1">
      <c r="B573" s="42" t="s">
        <v>170</v>
      </c>
      <c r="C573" s="30" t="s">
        <v>858</v>
      </c>
      <c r="D573" s="32">
        <v>22395000000</v>
      </c>
      <c r="I573" s="32">
        <v>22391000000</v>
      </c>
      <c r="J573" s="32">
        <v>22234012000</v>
      </c>
      <c r="K573" s="34">
        <v>20522006463</v>
      </c>
      <c r="L573" s="48" t="s">
        <v>1531</v>
      </c>
      <c r="M573" s="40"/>
      <c r="N573" s="35"/>
      <c r="O573" s="35"/>
      <c r="P573" s="35"/>
      <c r="Q573" s="35"/>
      <c r="R573" s="35"/>
      <c r="S573" s="35"/>
      <c r="T573" s="35"/>
    </row>
    <row r="574" spans="2:20" ht="15.75" customHeight="1">
      <c r="B574" s="42" t="s">
        <v>176</v>
      </c>
      <c r="C574" s="30" t="s">
        <v>858</v>
      </c>
      <c r="D574" s="32">
        <v>338000000</v>
      </c>
      <c r="I574" s="32">
        <v>338000000</v>
      </c>
      <c r="J574" s="32">
        <v>253700000</v>
      </c>
      <c r="K574" s="34">
        <v>267331068</v>
      </c>
      <c r="L574" s="48" t="s">
        <v>1532</v>
      </c>
      <c r="M574" s="40"/>
      <c r="N574" s="35"/>
      <c r="O574" s="35"/>
      <c r="P574" s="35"/>
      <c r="Q574" s="35"/>
      <c r="R574" s="35"/>
      <c r="S574" s="35"/>
      <c r="T574" s="35"/>
    </row>
    <row r="575" spans="2:20" ht="15.75" customHeight="1">
      <c r="B575" s="42" t="s">
        <v>178</v>
      </c>
      <c r="C575" s="30" t="s">
        <v>858</v>
      </c>
      <c r="D575" s="32">
        <v>277315482</v>
      </c>
      <c r="I575" s="32">
        <v>276086889</v>
      </c>
      <c r="J575" s="32">
        <v>212401499</v>
      </c>
      <c r="K575" s="34">
        <v>245593000</v>
      </c>
      <c r="L575" s="48" t="s">
        <v>1533</v>
      </c>
      <c r="M575" s="40"/>
      <c r="N575" s="35"/>
      <c r="O575" s="35"/>
      <c r="P575" s="35"/>
      <c r="Q575" s="35"/>
      <c r="R575" s="35"/>
      <c r="S575" s="35"/>
      <c r="T575" s="35"/>
    </row>
    <row r="576" spans="2:20" ht="15.75" customHeight="1">
      <c r="B576" s="31" t="s">
        <v>1044</v>
      </c>
      <c r="C576" s="30" t="s">
        <v>858</v>
      </c>
      <c r="D576" s="32">
        <v>1016204313</v>
      </c>
      <c r="I576" s="32">
        <v>1008204313</v>
      </c>
      <c r="J576" s="32">
        <v>980040000</v>
      </c>
      <c r="K576" s="34">
        <v>1003388339</v>
      </c>
      <c r="L576" s="48" t="s">
        <v>1534</v>
      </c>
      <c r="M576" s="40"/>
      <c r="N576" s="35"/>
      <c r="O576" s="35"/>
      <c r="P576" s="35"/>
      <c r="Q576" s="35"/>
      <c r="R576" s="35"/>
      <c r="S576" s="35"/>
      <c r="T576" s="35"/>
    </row>
    <row r="577" spans="2:20" ht="15.75" customHeight="1">
      <c r="B577" s="42" t="s">
        <v>709</v>
      </c>
      <c r="C577" s="30" t="s">
        <v>858</v>
      </c>
      <c r="D577" s="32">
        <v>840149493</v>
      </c>
      <c r="I577" s="32">
        <v>839849493</v>
      </c>
      <c r="J577" s="32">
        <v>596500000</v>
      </c>
      <c r="K577" s="34">
        <v>593132191</v>
      </c>
      <c r="L577" s="48" t="s">
        <v>1535</v>
      </c>
      <c r="M577" s="40"/>
      <c r="N577" s="35"/>
      <c r="O577" s="35"/>
      <c r="P577" s="35"/>
      <c r="Q577" s="35"/>
      <c r="R577" s="35"/>
      <c r="S577" s="35"/>
      <c r="T577" s="35"/>
    </row>
    <row r="578" spans="2:20" ht="15.75" customHeight="1">
      <c r="B578" s="31" t="s">
        <v>1045</v>
      </c>
      <c r="C578" s="30" t="s">
        <v>858</v>
      </c>
      <c r="D578" s="32">
        <v>169855978668</v>
      </c>
      <c r="I578" s="32">
        <v>169635978668</v>
      </c>
      <c r="J578" s="32">
        <v>166047000000</v>
      </c>
      <c r="K578" s="34">
        <v>166047000000</v>
      </c>
      <c r="L578" s="48" t="s">
        <v>1536</v>
      </c>
      <c r="M578" s="40"/>
      <c r="N578" s="35"/>
      <c r="O578" s="35"/>
      <c r="P578" s="35"/>
      <c r="Q578" s="35"/>
      <c r="R578" s="35"/>
      <c r="S578" s="35"/>
      <c r="T578" s="35"/>
    </row>
    <row r="579" spans="2:20" ht="15.75" customHeight="1">
      <c r="B579" s="42" t="s">
        <v>187</v>
      </c>
      <c r="C579" s="30" t="s">
        <v>858</v>
      </c>
      <c r="D579" s="32">
        <v>470513240</v>
      </c>
      <c r="I579" s="32">
        <v>470119240</v>
      </c>
      <c r="J579" s="32">
        <v>426100000</v>
      </c>
      <c r="K579" s="34">
        <v>440426600</v>
      </c>
      <c r="L579" s="48" t="s">
        <v>1537</v>
      </c>
      <c r="M579" s="40"/>
      <c r="N579" s="35"/>
      <c r="O579" s="35"/>
      <c r="P579" s="35"/>
      <c r="Q579" s="35"/>
      <c r="R579" s="35"/>
      <c r="S579" s="35"/>
      <c r="T579" s="35"/>
    </row>
    <row r="580" spans="2:20" ht="15.75" customHeight="1">
      <c r="B580" s="31" t="s">
        <v>188</v>
      </c>
      <c r="C580" s="30" t="s">
        <v>858</v>
      </c>
      <c r="D580" s="32">
        <v>2911020000</v>
      </c>
      <c r="I580" s="32">
        <v>2801020000</v>
      </c>
      <c r="J580" s="32">
        <v>2672400000</v>
      </c>
      <c r="K580" s="34">
        <v>2648945902</v>
      </c>
      <c r="L580" s="48" t="s">
        <v>1538</v>
      </c>
      <c r="M580" s="40"/>
      <c r="N580" s="35"/>
      <c r="O580" s="35"/>
      <c r="P580" s="35"/>
      <c r="Q580" s="35"/>
      <c r="R580" s="35"/>
      <c r="S580" s="35"/>
      <c r="T580" s="35"/>
    </row>
    <row r="581" spans="2:20" ht="15.75" customHeight="1">
      <c r="B581" s="42" t="s">
        <v>190</v>
      </c>
      <c r="C581" s="30" t="s">
        <v>858</v>
      </c>
      <c r="D581" s="32">
        <v>395962740</v>
      </c>
      <c r="I581" s="32">
        <v>395962740</v>
      </c>
      <c r="J581" s="32">
        <v>341500000</v>
      </c>
      <c r="K581" s="34">
        <v>369772132</v>
      </c>
      <c r="L581" s="48" t="s">
        <v>1539</v>
      </c>
      <c r="M581" s="40"/>
      <c r="N581" s="35"/>
      <c r="O581" s="35"/>
      <c r="P581" s="35"/>
      <c r="Q581" s="35"/>
      <c r="R581" s="35"/>
      <c r="S581" s="35"/>
      <c r="T581" s="35"/>
    </row>
    <row r="582" spans="2:20" ht="15.75" customHeight="1">
      <c r="B582" s="42" t="s">
        <v>192</v>
      </c>
      <c r="C582" s="30" t="s">
        <v>858</v>
      </c>
      <c r="D582" s="32">
        <v>394503819</v>
      </c>
      <c r="I582" s="32">
        <v>393985500</v>
      </c>
      <c r="J582" s="32">
        <v>363420000</v>
      </c>
      <c r="K582" s="34">
        <v>354243051</v>
      </c>
      <c r="L582" s="48" t="s">
        <v>1540</v>
      </c>
      <c r="M582" s="40"/>
      <c r="N582" s="35"/>
      <c r="O582" s="35"/>
      <c r="P582" s="35"/>
      <c r="Q582" s="35"/>
      <c r="R582" s="35"/>
      <c r="S582" s="35"/>
      <c r="T582" s="35"/>
    </row>
    <row r="583" spans="2:20" ht="15.75" customHeight="1">
      <c r="B583" s="31" t="s">
        <v>1047</v>
      </c>
      <c r="C583" s="30" t="s">
        <v>858</v>
      </c>
      <c r="D583" s="32">
        <v>290250930</v>
      </c>
      <c r="I583" s="32">
        <v>290250930</v>
      </c>
      <c r="J583" s="32">
        <v>289500000</v>
      </c>
      <c r="K583" s="34">
        <v>279361372</v>
      </c>
      <c r="L583" s="48" t="s">
        <v>1541</v>
      </c>
      <c r="M583" s="40"/>
      <c r="N583" s="35"/>
      <c r="O583" s="35"/>
      <c r="P583" s="35"/>
      <c r="Q583" s="35"/>
      <c r="R583" s="35"/>
      <c r="S583" s="35"/>
      <c r="T583" s="35"/>
    </row>
    <row r="584" spans="2:20" ht="15.75" customHeight="1">
      <c r="B584" s="42" t="s">
        <v>389</v>
      </c>
      <c r="C584" s="30" t="s">
        <v>858</v>
      </c>
      <c r="D584" s="32">
        <v>290621165</v>
      </c>
      <c r="I584" s="32">
        <v>290621165</v>
      </c>
      <c r="J584" s="32">
        <v>236200000</v>
      </c>
      <c r="K584" s="34">
        <v>266416962</v>
      </c>
      <c r="L584" s="48" t="s">
        <v>1542</v>
      </c>
      <c r="M584" s="40"/>
      <c r="N584" s="35"/>
      <c r="O584" s="35"/>
      <c r="P584" s="35"/>
      <c r="Q584" s="35"/>
      <c r="R584" s="35"/>
      <c r="S584" s="35"/>
      <c r="T584" s="35"/>
    </row>
    <row r="585" spans="2:20" ht="15.75" customHeight="1">
      <c r="B585" s="55" t="s">
        <v>468</v>
      </c>
      <c r="C585" s="30" t="s">
        <v>858</v>
      </c>
      <c r="D585" s="38">
        <v>736726691515</v>
      </c>
      <c r="I585" s="38">
        <v>675133495321</v>
      </c>
      <c r="J585" s="38">
        <v>640272208883</v>
      </c>
      <c r="K585" s="39">
        <v>623211864372</v>
      </c>
      <c r="L585" s="50" t="s">
        <v>1543</v>
      </c>
      <c r="M585" s="69"/>
      <c r="N585" s="30"/>
      <c r="O585" s="30"/>
      <c r="P585" s="30"/>
      <c r="Q585" s="30"/>
      <c r="R585" s="30"/>
      <c r="S585" s="30"/>
      <c r="T585" s="30"/>
    </row>
    <row r="586" spans="2:20" ht="15.75" customHeight="1">
      <c r="B586" s="35"/>
      <c r="C586" s="35"/>
      <c r="D586" s="40"/>
      <c r="E586" s="40"/>
      <c r="G586" s="40"/>
      <c r="H586" s="40"/>
      <c r="I586" s="40"/>
      <c r="J586" s="40"/>
      <c r="K586" s="35"/>
      <c r="L586" s="35"/>
      <c r="M586" s="35"/>
      <c r="N586" s="35"/>
      <c r="O586" s="35"/>
      <c r="P586" s="35"/>
      <c r="Q586" s="35"/>
      <c r="R586" s="35"/>
      <c r="S586" s="35"/>
      <c r="T586" s="35"/>
    </row>
    <row r="587" spans="2:20" ht="15.75" customHeight="1">
      <c r="B587" s="30"/>
      <c r="C587" s="30"/>
      <c r="D587" s="40"/>
      <c r="E587" s="40"/>
      <c r="F587" s="40"/>
      <c r="G587" s="40"/>
      <c r="H587" s="40"/>
      <c r="I587" s="40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</row>
    <row r="588" spans="2:20" ht="15.75" customHeight="1">
      <c r="B588" s="64" t="s">
        <v>0</v>
      </c>
      <c r="C588" s="65"/>
      <c r="D588" s="71" t="s">
        <v>1544</v>
      </c>
      <c r="E588" s="71" t="s">
        <v>1545</v>
      </c>
      <c r="I588" s="71" t="s">
        <v>1546</v>
      </c>
      <c r="J588" s="41" t="s">
        <v>1547</v>
      </c>
      <c r="K588" s="71" t="s">
        <v>1548</v>
      </c>
      <c r="L588" s="41" t="s">
        <v>1549</v>
      </c>
      <c r="M588" s="41"/>
      <c r="N588" s="41"/>
      <c r="O588" s="41"/>
      <c r="P588" s="41"/>
      <c r="Q588" s="41"/>
      <c r="R588" s="41"/>
      <c r="S588" s="41"/>
      <c r="T588" s="41"/>
    </row>
    <row r="589" spans="2:20" ht="15.75" customHeight="1">
      <c r="B589" s="31" t="s">
        <v>976</v>
      </c>
      <c r="C589" s="42" t="s">
        <v>913</v>
      </c>
      <c r="D589" s="32">
        <v>1165520000</v>
      </c>
      <c r="E589" s="32">
        <v>1551520000</v>
      </c>
      <c r="I589" s="32">
        <v>1529520000</v>
      </c>
      <c r="J589" s="32">
        <v>1480000000</v>
      </c>
      <c r="K589" s="34">
        <v>1521768073</v>
      </c>
      <c r="L589" s="48" t="s">
        <v>1550</v>
      </c>
      <c r="M589" s="35"/>
      <c r="N589" s="35"/>
      <c r="O589" s="35"/>
      <c r="P589" s="35"/>
      <c r="Q589" s="35"/>
      <c r="R589" s="35"/>
      <c r="S589" s="35"/>
      <c r="T589" s="35"/>
    </row>
    <row r="590" spans="2:20" ht="15.75" customHeight="1">
      <c r="B590" s="42" t="s">
        <v>915</v>
      </c>
      <c r="C590" s="42" t="s">
        <v>913</v>
      </c>
      <c r="D590" s="32">
        <v>7661245473</v>
      </c>
      <c r="E590" s="32">
        <v>6500426570</v>
      </c>
      <c r="I590" s="32">
        <v>6349426570</v>
      </c>
      <c r="J590" s="32">
        <v>6077718540</v>
      </c>
      <c r="K590" s="34">
        <v>4533427443</v>
      </c>
      <c r="L590" s="48" t="s">
        <v>1551</v>
      </c>
      <c r="M590" s="35"/>
      <c r="N590" s="35"/>
      <c r="O590" s="35"/>
      <c r="P590" s="35"/>
      <c r="Q590" s="35"/>
      <c r="R590" s="35"/>
      <c r="S590" s="35"/>
      <c r="T590" s="35"/>
    </row>
    <row r="591" spans="2:20" ht="15.75" customHeight="1">
      <c r="B591" s="31" t="s">
        <v>1054</v>
      </c>
      <c r="C591" s="42" t="s">
        <v>913</v>
      </c>
      <c r="D591" s="32">
        <v>61508967720</v>
      </c>
      <c r="E591" s="32">
        <v>59852265772</v>
      </c>
      <c r="I591" s="32">
        <v>44512327303</v>
      </c>
      <c r="J591" s="32">
        <v>42893437790</v>
      </c>
      <c r="K591" s="34">
        <v>43378180916</v>
      </c>
      <c r="L591" s="48" t="s">
        <v>1552</v>
      </c>
      <c r="M591" s="35"/>
      <c r="N591" s="35"/>
      <c r="O591" s="35"/>
      <c r="P591" s="35"/>
      <c r="Q591" s="35"/>
      <c r="R591" s="35"/>
      <c r="S591" s="35"/>
      <c r="T591" s="35"/>
    </row>
    <row r="592" spans="2:20" ht="15.75" customHeight="1">
      <c r="B592" s="42" t="s">
        <v>639</v>
      </c>
      <c r="C592" s="42" t="s">
        <v>913</v>
      </c>
      <c r="D592" s="32">
        <v>268513852</v>
      </c>
      <c r="E592" s="32">
        <v>291513852</v>
      </c>
      <c r="I592" s="32">
        <v>291513852</v>
      </c>
      <c r="J592" s="32">
        <v>251010000</v>
      </c>
      <c r="K592" s="34">
        <v>120333222</v>
      </c>
      <c r="L592" s="48" t="s">
        <v>1553</v>
      </c>
      <c r="M592" s="35"/>
      <c r="N592" s="35"/>
      <c r="O592" s="35"/>
      <c r="P592" s="35"/>
      <c r="Q592" s="35"/>
      <c r="R592" s="35"/>
      <c r="S592" s="35"/>
      <c r="T592" s="35"/>
    </row>
    <row r="593" spans="2:20" ht="15.75" customHeight="1">
      <c r="B593" s="42" t="s">
        <v>920</v>
      </c>
      <c r="C593" s="42" t="s">
        <v>913</v>
      </c>
      <c r="D593" s="32">
        <v>30414718477</v>
      </c>
      <c r="E593" s="32">
        <v>23425998960</v>
      </c>
      <c r="I593" s="32">
        <v>16024960483</v>
      </c>
      <c r="J593" s="32">
        <v>6571399275</v>
      </c>
      <c r="K593" s="34">
        <v>13793666165</v>
      </c>
      <c r="L593" s="48" t="s">
        <v>1554</v>
      </c>
      <c r="M593" s="35"/>
      <c r="N593" s="35"/>
      <c r="O593" s="35"/>
      <c r="P593" s="35"/>
      <c r="Q593" s="35"/>
      <c r="R593" s="35"/>
      <c r="S593" s="35"/>
      <c r="T593" s="35"/>
    </row>
    <row r="594" spans="2:20" ht="15.75" customHeight="1">
      <c r="B594" s="31" t="s">
        <v>995</v>
      </c>
      <c r="C594" s="42" t="s">
        <v>913</v>
      </c>
      <c r="D594" s="32">
        <v>33433153282</v>
      </c>
      <c r="E594" s="32">
        <v>28526129329</v>
      </c>
      <c r="I594" s="32">
        <v>14175645013</v>
      </c>
      <c r="J594" s="32">
        <v>10045120105</v>
      </c>
      <c r="K594" s="34">
        <v>12069453299</v>
      </c>
      <c r="L594" s="48" t="s">
        <v>1555</v>
      </c>
      <c r="M594" s="35"/>
      <c r="N594" s="35"/>
      <c r="O594" s="35"/>
      <c r="P594" s="35"/>
      <c r="Q594" s="35"/>
      <c r="R594" s="35"/>
      <c r="S594" s="35"/>
      <c r="T594" s="35"/>
    </row>
    <row r="595" spans="2:20" ht="15.75" customHeight="1">
      <c r="B595" s="42" t="s">
        <v>228</v>
      </c>
      <c r="C595" s="42" t="s">
        <v>913</v>
      </c>
      <c r="D595" s="32">
        <v>15893355964</v>
      </c>
      <c r="E595" s="32">
        <v>18038125228</v>
      </c>
      <c r="I595" s="32">
        <v>14430468458</v>
      </c>
      <c r="J595" s="32">
        <v>13871441931</v>
      </c>
      <c r="K595" s="34">
        <v>11224566686</v>
      </c>
      <c r="L595" s="48" t="s">
        <v>1556</v>
      </c>
      <c r="M595" s="35"/>
      <c r="N595" s="35"/>
      <c r="O595" s="35"/>
      <c r="P595" s="35"/>
      <c r="Q595" s="35"/>
      <c r="R595" s="35"/>
      <c r="S595" s="35"/>
      <c r="T595" s="35"/>
    </row>
    <row r="596" spans="2:20" ht="15.75" customHeight="1">
      <c r="B596" s="42" t="s">
        <v>924</v>
      </c>
      <c r="C596" s="42" t="s">
        <v>913</v>
      </c>
      <c r="D596" s="32">
        <v>102428482590</v>
      </c>
      <c r="E596" s="32">
        <v>120670307590</v>
      </c>
      <c r="I596" s="32">
        <v>63153111186</v>
      </c>
      <c r="J596" s="32">
        <v>45711186315</v>
      </c>
      <c r="K596" s="34">
        <v>59676534060</v>
      </c>
      <c r="L596" s="48" t="s">
        <v>1557</v>
      </c>
      <c r="M596" s="35"/>
      <c r="N596" s="35"/>
      <c r="O596" s="35"/>
      <c r="P596" s="35"/>
      <c r="Q596" s="35"/>
      <c r="R596" s="35"/>
      <c r="S596" s="35"/>
      <c r="T596" s="35"/>
    </row>
    <row r="597" spans="2:20" ht="15.75" customHeight="1">
      <c r="B597" s="31" t="s">
        <v>336</v>
      </c>
      <c r="C597" s="42" t="s">
        <v>913</v>
      </c>
      <c r="D597" s="32">
        <v>43356454896</v>
      </c>
      <c r="E597" s="32">
        <v>39062613237</v>
      </c>
      <c r="I597" s="32">
        <v>21254891354</v>
      </c>
      <c r="J597" s="32">
        <v>20314861449</v>
      </c>
      <c r="K597" s="34">
        <v>20148316378</v>
      </c>
      <c r="L597" s="48" t="s">
        <v>1558</v>
      </c>
      <c r="M597" s="35"/>
      <c r="N597" s="35"/>
      <c r="O597" s="35"/>
      <c r="P597" s="35"/>
      <c r="Q597" s="35"/>
      <c r="R597" s="35"/>
      <c r="S597" s="35"/>
      <c r="T597" s="35"/>
    </row>
    <row r="598" spans="2:20" ht="15.75" customHeight="1">
      <c r="B598" s="42" t="s">
        <v>1467</v>
      </c>
      <c r="C598" s="42" t="s">
        <v>913</v>
      </c>
      <c r="D598" s="32">
        <v>11823137537</v>
      </c>
      <c r="E598" s="32">
        <v>15163947861</v>
      </c>
      <c r="I598" s="32">
        <v>13768721761</v>
      </c>
      <c r="J598" s="32">
        <v>8227728295</v>
      </c>
      <c r="K598" s="34">
        <v>9946602842</v>
      </c>
      <c r="L598" s="48" t="s">
        <v>1559</v>
      </c>
      <c r="M598" s="35"/>
      <c r="N598" s="35"/>
      <c r="O598" s="35"/>
      <c r="P598" s="35"/>
      <c r="Q598" s="35"/>
      <c r="R598" s="35"/>
      <c r="S598" s="35"/>
      <c r="T598" s="35"/>
    </row>
    <row r="599" spans="2:20" ht="15.75" customHeight="1">
      <c r="B599" s="42" t="s">
        <v>930</v>
      </c>
      <c r="C599" s="42" t="s">
        <v>913</v>
      </c>
      <c r="D599" s="32">
        <v>9133725058</v>
      </c>
      <c r="E599" s="32">
        <v>8438083636</v>
      </c>
      <c r="I599" s="32">
        <v>4505371354</v>
      </c>
      <c r="J599" s="32">
        <v>4474799453</v>
      </c>
      <c r="K599" s="34">
        <v>4536592257</v>
      </c>
      <c r="L599" s="48" t="s">
        <v>1560</v>
      </c>
      <c r="M599" s="35"/>
      <c r="N599" s="35"/>
      <c r="O599" s="35"/>
      <c r="P599" s="35"/>
      <c r="Q599" s="35"/>
      <c r="R599" s="35"/>
      <c r="S599" s="35"/>
      <c r="T599" s="35"/>
    </row>
    <row r="600" spans="2:20" ht="15.75" customHeight="1">
      <c r="B600" s="42" t="s">
        <v>932</v>
      </c>
      <c r="C600" s="42" t="s">
        <v>913</v>
      </c>
      <c r="D600" s="32">
        <v>876672280</v>
      </c>
      <c r="E600" s="32">
        <v>921434280</v>
      </c>
      <c r="I600" s="32">
        <v>905441610</v>
      </c>
      <c r="J600" s="32">
        <v>865000000</v>
      </c>
      <c r="K600" s="34">
        <v>850264167</v>
      </c>
      <c r="L600" s="48" t="s">
        <v>1561</v>
      </c>
      <c r="M600" s="35"/>
      <c r="N600" s="35"/>
      <c r="O600" s="35"/>
      <c r="P600" s="35"/>
      <c r="Q600" s="35"/>
      <c r="R600" s="35"/>
      <c r="S600" s="35"/>
      <c r="T600" s="35"/>
    </row>
    <row r="601" spans="2:20" ht="15.75" customHeight="1">
      <c r="B601" s="42" t="s">
        <v>934</v>
      </c>
      <c r="C601" s="42" t="s">
        <v>913</v>
      </c>
      <c r="D601" s="32">
        <v>8772983451</v>
      </c>
      <c r="E601" s="32">
        <v>7853598863</v>
      </c>
      <c r="I601" s="32">
        <v>7171748863</v>
      </c>
      <c r="J601" s="32">
        <v>5114201090</v>
      </c>
      <c r="K601" s="34">
        <v>4263219741</v>
      </c>
      <c r="L601" s="48" t="s">
        <v>1562</v>
      </c>
      <c r="M601" s="35"/>
      <c r="N601" s="35"/>
      <c r="O601" s="35"/>
      <c r="P601" s="35"/>
      <c r="Q601" s="35"/>
      <c r="R601" s="35"/>
      <c r="S601" s="35"/>
      <c r="T601" s="35"/>
    </row>
    <row r="602" spans="2:20" ht="15.75" customHeight="1">
      <c r="B602" s="42" t="s">
        <v>816</v>
      </c>
      <c r="C602" s="42" t="s">
        <v>913</v>
      </c>
      <c r="D602" s="32">
        <v>77436165122</v>
      </c>
      <c r="E602" s="32">
        <v>87512488936</v>
      </c>
      <c r="I602" s="32">
        <v>26439020314</v>
      </c>
      <c r="J602" s="32">
        <v>22900986031</v>
      </c>
      <c r="K602" s="34">
        <v>21719226355</v>
      </c>
      <c r="L602" s="48" t="s">
        <v>1563</v>
      </c>
      <c r="M602" s="35"/>
      <c r="N602" s="35"/>
      <c r="O602" s="35"/>
      <c r="P602" s="35"/>
      <c r="Q602" s="35"/>
      <c r="R602" s="35"/>
      <c r="S602" s="35"/>
      <c r="T602" s="35"/>
    </row>
    <row r="603" spans="2:20" ht="15.75" customHeight="1">
      <c r="B603" s="42" t="s">
        <v>937</v>
      </c>
      <c r="C603" s="42" t="s">
        <v>913</v>
      </c>
      <c r="D603" s="32">
        <v>26498010603</v>
      </c>
      <c r="E603" s="32">
        <v>32628442347</v>
      </c>
      <c r="I603" s="32">
        <v>28672035899</v>
      </c>
      <c r="J603" s="32">
        <v>24790256865</v>
      </c>
      <c r="K603" s="34">
        <v>24140797266</v>
      </c>
      <c r="L603" s="48" t="s">
        <v>1564</v>
      </c>
      <c r="M603" s="35"/>
      <c r="N603" s="35"/>
      <c r="O603" s="35"/>
      <c r="P603" s="35"/>
      <c r="Q603" s="35"/>
      <c r="R603" s="35"/>
      <c r="S603" s="35"/>
      <c r="T603" s="35"/>
    </row>
    <row r="604" spans="2:20" ht="15.75" customHeight="1">
      <c r="B604" s="42" t="s">
        <v>822</v>
      </c>
      <c r="C604" s="42" t="s">
        <v>913</v>
      </c>
      <c r="D604" s="32">
        <v>3709784403</v>
      </c>
      <c r="E604" s="32">
        <v>3395558403</v>
      </c>
      <c r="I604" s="32">
        <v>3245969403</v>
      </c>
      <c r="J604" s="32">
        <v>3218742000</v>
      </c>
      <c r="K604" s="34">
        <v>3067889208</v>
      </c>
      <c r="L604" s="48" t="s">
        <v>1565</v>
      </c>
      <c r="M604" s="35"/>
      <c r="N604" s="35"/>
      <c r="O604" s="35"/>
      <c r="P604" s="35"/>
      <c r="Q604" s="35"/>
      <c r="R604" s="35"/>
      <c r="S604" s="35"/>
      <c r="T604" s="35"/>
    </row>
    <row r="605" spans="2:20" ht="15.75" customHeight="1">
      <c r="B605" s="42" t="s">
        <v>941</v>
      </c>
      <c r="C605" s="42" t="s">
        <v>913</v>
      </c>
      <c r="D605" s="32">
        <v>1278953370</v>
      </c>
      <c r="E605" s="32">
        <v>1440252966</v>
      </c>
      <c r="I605" s="32">
        <v>1335152966</v>
      </c>
      <c r="J605" s="32">
        <v>1317000000</v>
      </c>
      <c r="K605" s="34">
        <v>1288897626</v>
      </c>
      <c r="L605" s="48" t="s">
        <v>1566</v>
      </c>
      <c r="M605" s="35"/>
      <c r="N605" s="35"/>
      <c r="O605" s="35"/>
      <c r="P605" s="35"/>
      <c r="Q605" s="35"/>
      <c r="R605" s="35"/>
      <c r="S605" s="35"/>
      <c r="T605" s="35"/>
    </row>
    <row r="606" spans="2:20" ht="15.75" customHeight="1">
      <c r="B606" s="42" t="s">
        <v>684</v>
      </c>
      <c r="C606" s="42" t="s">
        <v>913</v>
      </c>
      <c r="D606" s="32">
        <v>576911000</v>
      </c>
      <c r="E606" s="32">
        <v>712911000</v>
      </c>
      <c r="I606" s="32">
        <v>712911000</v>
      </c>
      <c r="J606" s="32">
        <v>543150000</v>
      </c>
      <c r="K606" s="34">
        <v>611211809</v>
      </c>
      <c r="L606" s="48" t="s">
        <v>1567</v>
      </c>
      <c r="M606" s="35"/>
      <c r="N606" s="35"/>
      <c r="O606" s="35"/>
      <c r="P606" s="35"/>
      <c r="Q606" s="35"/>
      <c r="R606" s="35"/>
      <c r="S606" s="35"/>
      <c r="T606" s="35"/>
    </row>
    <row r="607" spans="2:20" ht="15.75" customHeight="1">
      <c r="B607" s="42" t="s">
        <v>829</v>
      </c>
      <c r="C607" s="42" t="s">
        <v>913</v>
      </c>
      <c r="D607" s="32">
        <v>608256430</v>
      </c>
      <c r="E607" s="32">
        <v>716668730</v>
      </c>
      <c r="I607" s="32">
        <v>358308300</v>
      </c>
      <c r="J607" s="32">
        <v>324412300</v>
      </c>
      <c r="K607" s="34">
        <v>322059033</v>
      </c>
      <c r="L607" s="48" t="s">
        <v>1568</v>
      </c>
      <c r="M607" s="35"/>
      <c r="N607" s="35"/>
      <c r="O607" s="35"/>
      <c r="P607" s="35"/>
      <c r="Q607" s="35"/>
      <c r="R607" s="35"/>
      <c r="S607" s="35"/>
      <c r="T607" s="35"/>
    </row>
    <row r="608" spans="2:20" ht="15.75" customHeight="1">
      <c r="B608" s="42" t="s">
        <v>148</v>
      </c>
      <c r="C608" s="42" t="s">
        <v>913</v>
      </c>
      <c r="D608" s="32">
        <v>5950000000</v>
      </c>
      <c r="E608" s="32">
        <v>2911297500</v>
      </c>
      <c r="I608" s="32">
        <v>2696297500</v>
      </c>
      <c r="J608" s="32">
        <v>1686156260</v>
      </c>
      <c r="K608" s="34">
        <v>1411823342</v>
      </c>
      <c r="L608" s="48" t="s">
        <v>1569</v>
      </c>
      <c r="M608" s="35"/>
      <c r="N608" s="35"/>
      <c r="O608" s="35"/>
      <c r="P608" s="35"/>
      <c r="Q608" s="35"/>
      <c r="R608" s="35"/>
      <c r="S608" s="35"/>
      <c r="T608" s="35"/>
    </row>
    <row r="609" spans="2:20" ht="15.75" customHeight="1">
      <c r="B609" s="42" t="s">
        <v>834</v>
      </c>
      <c r="C609" s="42" t="s">
        <v>913</v>
      </c>
      <c r="D609" s="32">
        <v>137000000</v>
      </c>
      <c r="E609" s="32">
        <v>87000000</v>
      </c>
      <c r="I609" s="32">
        <v>87000000</v>
      </c>
      <c r="J609" s="32">
        <v>46000000</v>
      </c>
      <c r="K609" s="34">
        <v>11096618</v>
      </c>
      <c r="L609" s="48" t="s">
        <v>1570</v>
      </c>
      <c r="M609" s="35"/>
      <c r="N609" s="35"/>
      <c r="O609" s="35"/>
      <c r="P609" s="35"/>
      <c r="Q609" s="35"/>
      <c r="R609" s="35"/>
      <c r="S609" s="35"/>
      <c r="T609" s="35"/>
    </row>
    <row r="610" spans="2:20" ht="15.75" customHeight="1">
      <c r="B610" s="31" t="s">
        <v>1042</v>
      </c>
      <c r="C610" s="42" t="s">
        <v>913</v>
      </c>
      <c r="D610" s="32">
        <v>477690120</v>
      </c>
      <c r="E610" s="32">
        <v>477690120</v>
      </c>
      <c r="I610" s="32">
        <v>63200000</v>
      </c>
      <c r="J610" s="32">
        <v>63000000</v>
      </c>
      <c r="K610" s="34">
        <v>62300432</v>
      </c>
      <c r="L610" s="48" t="s">
        <v>1571</v>
      </c>
      <c r="M610" s="35"/>
      <c r="N610" s="35"/>
      <c r="O610" s="35"/>
      <c r="P610" s="35"/>
      <c r="Q610" s="35"/>
      <c r="R610" s="35"/>
      <c r="S610" s="35"/>
      <c r="T610" s="35"/>
    </row>
    <row r="611" spans="2:20" ht="15.75" customHeight="1">
      <c r="B611" s="35" t="s">
        <v>170</v>
      </c>
      <c r="C611" s="42" t="s">
        <v>913</v>
      </c>
      <c r="D611" s="32">
        <v>2435000000</v>
      </c>
      <c r="E611" s="32">
        <v>2705000000</v>
      </c>
      <c r="I611" s="32">
        <v>2705000000</v>
      </c>
      <c r="J611" s="32">
        <v>2186000000</v>
      </c>
      <c r="K611" s="34">
        <v>1708041571</v>
      </c>
      <c r="L611" s="48" t="s">
        <v>1572</v>
      </c>
      <c r="M611" s="35"/>
      <c r="N611" s="35"/>
      <c r="O611" s="35"/>
      <c r="P611" s="35"/>
      <c r="Q611" s="35"/>
      <c r="R611" s="35"/>
      <c r="S611" s="35"/>
      <c r="T611" s="35"/>
    </row>
    <row r="612" spans="2:20" ht="15.75" customHeight="1">
      <c r="B612" s="31" t="s">
        <v>1044</v>
      </c>
      <c r="C612" s="42" t="s">
        <v>913</v>
      </c>
      <c r="D612" s="32">
        <v>290000000</v>
      </c>
      <c r="E612" s="32">
        <v>207000000</v>
      </c>
      <c r="I612" s="32">
        <v>207000000</v>
      </c>
      <c r="J612" s="32">
        <v>207000000</v>
      </c>
      <c r="K612" s="34">
        <v>206074573</v>
      </c>
      <c r="L612" s="48" t="s">
        <v>1573</v>
      </c>
      <c r="M612" s="35"/>
      <c r="N612" s="35"/>
      <c r="O612" s="35"/>
      <c r="P612" s="35"/>
      <c r="Q612" s="35"/>
      <c r="R612" s="35"/>
      <c r="S612" s="35"/>
      <c r="T612" s="35"/>
    </row>
    <row r="613" spans="2:20" ht="15.75" customHeight="1">
      <c r="B613" s="31" t="s">
        <v>188</v>
      </c>
      <c r="C613" s="42" t="s">
        <v>913</v>
      </c>
      <c r="D613" s="32">
        <v>500000000</v>
      </c>
      <c r="E613" s="32">
        <v>525000000</v>
      </c>
      <c r="I613" s="32">
        <v>525000000</v>
      </c>
      <c r="J613" s="32">
        <v>525000000</v>
      </c>
      <c r="K613" s="34">
        <v>525000000</v>
      </c>
      <c r="L613" s="48" t="s">
        <v>1574</v>
      </c>
      <c r="M613" s="35"/>
      <c r="N613" s="35"/>
      <c r="O613" s="35"/>
      <c r="P613" s="35"/>
      <c r="Q613" s="35"/>
      <c r="R613" s="35"/>
      <c r="S613" s="35"/>
      <c r="T613" s="35"/>
    </row>
    <row r="614" spans="2:20" ht="15.75" customHeight="1">
      <c r="B614" s="30" t="s">
        <v>196</v>
      </c>
      <c r="C614" s="42" t="s">
        <v>913</v>
      </c>
      <c r="D614" s="38">
        <v>446688701628</v>
      </c>
      <c r="E614" s="38">
        <v>463615275180</v>
      </c>
      <c r="I614" s="38">
        <v>275120043189</v>
      </c>
      <c r="J614" s="38">
        <v>223705607699</v>
      </c>
      <c r="K614" s="39">
        <v>241137343082</v>
      </c>
      <c r="L614" s="50" t="s">
        <v>1575</v>
      </c>
      <c r="M614" s="30"/>
      <c r="N614" s="30"/>
      <c r="O614" s="30"/>
      <c r="P614" s="30"/>
      <c r="Q614" s="30"/>
      <c r="R614" s="30"/>
      <c r="S614" s="30"/>
      <c r="T614" s="30"/>
    </row>
  </sheetData>
  <hyperlinks>
    <hyperlink ref="L151" r:id="rId1" xr:uid="{00000000-0004-0000-0100-000000000000}"/>
    <hyperlink ref="L152" r:id="rId2" xr:uid="{00000000-0004-0000-0100-000001000000}"/>
    <hyperlink ref="L153" r:id="rId3" xr:uid="{00000000-0004-0000-0100-000002000000}"/>
    <hyperlink ref="L154" r:id="rId4" xr:uid="{00000000-0004-0000-0100-000003000000}"/>
    <hyperlink ref="L155" r:id="rId5" xr:uid="{00000000-0004-0000-0100-000004000000}"/>
    <hyperlink ref="L156" r:id="rId6" xr:uid="{00000000-0004-0000-0100-000005000000}"/>
    <hyperlink ref="L157" r:id="rId7" xr:uid="{00000000-0004-0000-0100-000006000000}"/>
    <hyperlink ref="L158" r:id="rId8" xr:uid="{00000000-0004-0000-0100-000007000000}"/>
    <hyperlink ref="L159" r:id="rId9" xr:uid="{00000000-0004-0000-0100-000008000000}"/>
    <hyperlink ref="L160" r:id="rId10" xr:uid="{00000000-0004-0000-0100-000009000000}"/>
    <hyperlink ref="L161" r:id="rId11" xr:uid="{00000000-0004-0000-0100-00000A000000}"/>
    <hyperlink ref="L162" r:id="rId12" xr:uid="{00000000-0004-0000-0100-00000B000000}"/>
    <hyperlink ref="L163" r:id="rId13" xr:uid="{00000000-0004-0000-0100-00000C000000}"/>
    <hyperlink ref="L164" r:id="rId14" xr:uid="{00000000-0004-0000-0100-00000D000000}"/>
    <hyperlink ref="L165" r:id="rId15" xr:uid="{00000000-0004-0000-0100-00000E000000}"/>
    <hyperlink ref="L166" r:id="rId16" xr:uid="{00000000-0004-0000-0100-00000F000000}"/>
    <hyperlink ref="L167" r:id="rId17" xr:uid="{00000000-0004-0000-0100-000010000000}"/>
    <hyperlink ref="L168" r:id="rId18" xr:uid="{00000000-0004-0000-0100-000011000000}"/>
    <hyperlink ref="L169" r:id="rId19" xr:uid="{00000000-0004-0000-0100-000012000000}"/>
    <hyperlink ref="L170" r:id="rId20" xr:uid="{00000000-0004-0000-0100-000013000000}"/>
    <hyperlink ref="L171" r:id="rId21" xr:uid="{00000000-0004-0000-0100-000014000000}"/>
    <hyperlink ref="L172" r:id="rId22" xr:uid="{00000000-0004-0000-0100-000015000000}"/>
    <hyperlink ref="L173" r:id="rId23" xr:uid="{00000000-0004-0000-0100-000016000000}"/>
    <hyperlink ref="L174" r:id="rId24" xr:uid="{00000000-0004-0000-0100-000017000000}"/>
    <hyperlink ref="L175" r:id="rId25" xr:uid="{00000000-0004-0000-0100-000018000000}"/>
    <hyperlink ref="L176" r:id="rId26" xr:uid="{00000000-0004-0000-0100-000019000000}"/>
    <hyperlink ref="L177" r:id="rId27" xr:uid="{00000000-0004-0000-0100-00001A000000}"/>
    <hyperlink ref="L178" r:id="rId28" xr:uid="{00000000-0004-0000-0100-00001B000000}"/>
    <hyperlink ref="L179" r:id="rId29" xr:uid="{00000000-0004-0000-0100-00001C000000}"/>
    <hyperlink ref="L180" r:id="rId30" xr:uid="{00000000-0004-0000-0100-00001D000000}"/>
    <hyperlink ref="L181" r:id="rId31" xr:uid="{00000000-0004-0000-0100-00001E000000}"/>
    <hyperlink ref="L182" r:id="rId32" xr:uid="{00000000-0004-0000-0100-00001F000000}"/>
    <hyperlink ref="L183" r:id="rId33" xr:uid="{00000000-0004-0000-0100-000020000000}"/>
    <hyperlink ref="L184" r:id="rId34" xr:uid="{00000000-0004-0000-0100-000021000000}"/>
    <hyperlink ref="L185" r:id="rId35" xr:uid="{00000000-0004-0000-0100-000022000000}"/>
    <hyperlink ref="L186" r:id="rId36" xr:uid="{00000000-0004-0000-0100-000023000000}"/>
    <hyperlink ref="L187" r:id="rId37" xr:uid="{00000000-0004-0000-0100-000024000000}"/>
    <hyperlink ref="L188" r:id="rId38" xr:uid="{00000000-0004-0000-0100-000025000000}"/>
    <hyperlink ref="L189" r:id="rId39" xr:uid="{00000000-0004-0000-0100-000026000000}"/>
    <hyperlink ref="L190" r:id="rId40" xr:uid="{00000000-0004-0000-0100-000027000000}"/>
    <hyperlink ref="L191" r:id="rId41" xr:uid="{00000000-0004-0000-0100-000028000000}"/>
    <hyperlink ref="L192" r:id="rId42" xr:uid="{00000000-0004-0000-0100-000029000000}"/>
    <hyperlink ref="L193" r:id="rId43" xr:uid="{00000000-0004-0000-0100-00002A000000}"/>
    <hyperlink ref="L194" r:id="rId44" xr:uid="{00000000-0004-0000-0100-00002B000000}"/>
    <hyperlink ref="L195" r:id="rId45" xr:uid="{00000000-0004-0000-0100-00002C000000}"/>
    <hyperlink ref="L196" r:id="rId46" xr:uid="{00000000-0004-0000-0100-00002D000000}"/>
    <hyperlink ref="L197" r:id="rId47" xr:uid="{00000000-0004-0000-0100-00002E000000}"/>
    <hyperlink ref="L198" r:id="rId48" xr:uid="{00000000-0004-0000-0100-00002F000000}"/>
    <hyperlink ref="L199" r:id="rId49" xr:uid="{00000000-0004-0000-0100-000030000000}"/>
    <hyperlink ref="L200" r:id="rId50" xr:uid="{00000000-0004-0000-0100-000031000000}"/>
    <hyperlink ref="L201" r:id="rId51" xr:uid="{00000000-0004-0000-0100-000032000000}"/>
    <hyperlink ref="L202" r:id="rId52" xr:uid="{00000000-0004-0000-0100-000033000000}"/>
    <hyperlink ref="L203" r:id="rId53" xr:uid="{00000000-0004-0000-0100-000034000000}"/>
    <hyperlink ref="L206" r:id="rId54" xr:uid="{00000000-0004-0000-0100-000035000000}"/>
    <hyperlink ref="L207" r:id="rId55" xr:uid="{00000000-0004-0000-0100-000036000000}"/>
    <hyperlink ref="L208" r:id="rId56" xr:uid="{00000000-0004-0000-0100-000037000000}"/>
    <hyperlink ref="L209" r:id="rId57" xr:uid="{00000000-0004-0000-0100-000038000000}"/>
    <hyperlink ref="L210" r:id="rId58" xr:uid="{00000000-0004-0000-0100-000039000000}"/>
    <hyperlink ref="L211" r:id="rId59" xr:uid="{00000000-0004-0000-0100-00003A000000}"/>
    <hyperlink ref="L212" r:id="rId60" xr:uid="{00000000-0004-0000-0100-00003B000000}"/>
    <hyperlink ref="L213" r:id="rId61" xr:uid="{00000000-0004-0000-0100-00003C000000}"/>
    <hyperlink ref="L214" r:id="rId62" xr:uid="{00000000-0004-0000-0100-00003D000000}"/>
    <hyperlink ref="L215" r:id="rId63" xr:uid="{00000000-0004-0000-0100-00003E000000}"/>
    <hyperlink ref="L216" r:id="rId64" xr:uid="{00000000-0004-0000-0100-00003F000000}"/>
    <hyperlink ref="L217" r:id="rId65" xr:uid="{00000000-0004-0000-0100-000040000000}"/>
    <hyperlink ref="L218" r:id="rId66" xr:uid="{00000000-0004-0000-0100-000041000000}"/>
    <hyperlink ref="L219" r:id="rId67" xr:uid="{00000000-0004-0000-0100-000042000000}"/>
    <hyperlink ref="L220" r:id="rId68" xr:uid="{00000000-0004-0000-0100-000043000000}"/>
    <hyperlink ref="L221" r:id="rId69" xr:uid="{00000000-0004-0000-0100-000044000000}"/>
    <hyperlink ref="L222" r:id="rId70" xr:uid="{00000000-0004-0000-0100-000045000000}"/>
    <hyperlink ref="L223" r:id="rId71" xr:uid="{00000000-0004-0000-0100-000046000000}"/>
    <hyperlink ref="L224" r:id="rId72" xr:uid="{00000000-0004-0000-0100-000047000000}"/>
    <hyperlink ref="L225" r:id="rId73" xr:uid="{00000000-0004-0000-0100-000048000000}"/>
    <hyperlink ref="L226" r:id="rId74" xr:uid="{00000000-0004-0000-0100-000049000000}"/>
    <hyperlink ref="L227" r:id="rId75" xr:uid="{00000000-0004-0000-0100-00004A000000}"/>
    <hyperlink ref="L228" r:id="rId76" xr:uid="{00000000-0004-0000-0100-00004B000000}"/>
    <hyperlink ref="L229" r:id="rId77" xr:uid="{00000000-0004-0000-0100-00004C000000}"/>
    <hyperlink ref="L230" r:id="rId78" xr:uid="{00000000-0004-0000-0100-00004D000000}"/>
    <hyperlink ref="L231" r:id="rId79" xr:uid="{00000000-0004-0000-0100-00004E000000}"/>
    <hyperlink ref="L232" r:id="rId80" xr:uid="{00000000-0004-0000-0100-00004F000000}"/>
    <hyperlink ref="L233" r:id="rId81" xr:uid="{00000000-0004-0000-0100-000050000000}"/>
    <hyperlink ref="L234" r:id="rId82" xr:uid="{00000000-0004-0000-0100-000051000000}"/>
    <hyperlink ref="L235" r:id="rId83" xr:uid="{00000000-0004-0000-0100-000052000000}"/>
    <hyperlink ref="L236" r:id="rId84" xr:uid="{00000000-0004-0000-0100-000053000000}"/>
    <hyperlink ref="L237" r:id="rId85" xr:uid="{00000000-0004-0000-0100-000054000000}"/>
    <hyperlink ref="L238" r:id="rId86" xr:uid="{00000000-0004-0000-0100-000055000000}"/>
    <hyperlink ref="L239" r:id="rId87" xr:uid="{00000000-0004-0000-0100-000056000000}"/>
    <hyperlink ref="L240" r:id="rId88" xr:uid="{00000000-0004-0000-0100-000057000000}"/>
    <hyperlink ref="L241" r:id="rId89" xr:uid="{00000000-0004-0000-0100-000058000000}"/>
    <hyperlink ref="L242" r:id="rId90" xr:uid="{00000000-0004-0000-0100-000059000000}"/>
    <hyperlink ref="L243" r:id="rId91" xr:uid="{00000000-0004-0000-0100-00005A000000}"/>
    <hyperlink ref="L244" r:id="rId92" xr:uid="{00000000-0004-0000-0100-00005B000000}"/>
    <hyperlink ref="L245" r:id="rId93" xr:uid="{00000000-0004-0000-0100-00005C000000}"/>
    <hyperlink ref="L246" r:id="rId94" xr:uid="{00000000-0004-0000-0100-00005D000000}"/>
    <hyperlink ref="L247" r:id="rId95" xr:uid="{00000000-0004-0000-0100-00005E000000}"/>
    <hyperlink ref="L248" r:id="rId96" xr:uid="{00000000-0004-0000-0100-00005F000000}"/>
    <hyperlink ref="L249" r:id="rId97" xr:uid="{00000000-0004-0000-0100-000060000000}"/>
    <hyperlink ref="L250" r:id="rId98" xr:uid="{00000000-0004-0000-0100-000061000000}"/>
    <hyperlink ref="L251" r:id="rId99" xr:uid="{00000000-0004-0000-0100-000062000000}"/>
    <hyperlink ref="L252" r:id="rId100" xr:uid="{00000000-0004-0000-0100-000063000000}"/>
    <hyperlink ref="L253" r:id="rId101" xr:uid="{00000000-0004-0000-0100-000064000000}"/>
    <hyperlink ref="L254" r:id="rId102" xr:uid="{00000000-0004-0000-0100-000065000000}"/>
    <hyperlink ref="L255" r:id="rId103" xr:uid="{00000000-0004-0000-0100-000066000000}"/>
    <hyperlink ref="L256" r:id="rId104" xr:uid="{00000000-0004-0000-0100-000067000000}"/>
    <hyperlink ref="L257" r:id="rId105" xr:uid="{00000000-0004-0000-0100-000068000000}"/>
    <hyperlink ref="L258" r:id="rId106" xr:uid="{00000000-0004-0000-0100-000069000000}"/>
    <hyperlink ref="L262" r:id="rId107" xr:uid="{00000000-0004-0000-0100-00006A000000}"/>
    <hyperlink ref="L263" r:id="rId108" xr:uid="{00000000-0004-0000-0100-00006B000000}"/>
    <hyperlink ref="L264" r:id="rId109" xr:uid="{00000000-0004-0000-0100-00006C000000}"/>
    <hyperlink ref="L265" r:id="rId110" xr:uid="{00000000-0004-0000-0100-00006D000000}"/>
    <hyperlink ref="L266" r:id="rId111" xr:uid="{00000000-0004-0000-0100-00006E000000}"/>
    <hyperlink ref="L267" r:id="rId112" xr:uid="{00000000-0004-0000-0100-00006F000000}"/>
    <hyperlink ref="L268" r:id="rId113" xr:uid="{00000000-0004-0000-0100-000070000000}"/>
    <hyperlink ref="L269" r:id="rId114" xr:uid="{00000000-0004-0000-0100-000071000000}"/>
    <hyperlink ref="L270" r:id="rId115" xr:uid="{00000000-0004-0000-0100-000072000000}"/>
    <hyperlink ref="L271" r:id="rId116" xr:uid="{00000000-0004-0000-0100-000073000000}"/>
    <hyperlink ref="L272" r:id="rId117" xr:uid="{00000000-0004-0000-0100-000074000000}"/>
    <hyperlink ref="L273" r:id="rId118" xr:uid="{00000000-0004-0000-0100-000075000000}"/>
    <hyperlink ref="L274" r:id="rId119" xr:uid="{00000000-0004-0000-0100-000076000000}"/>
    <hyperlink ref="L275" r:id="rId120" xr:uid="{00000000-0004-0000-0100-000077000000}"/>
    <hyperlink ref="L276" r:id="rId121" xr:uid="{00000000-0004-0000-0100-000078000000}"/>
    <hyperlink ref="L277" r:id="rId122" xr:uid="{00000000-0004-0000-0100-000079000000}"/>
    <hyperlink ref="L278" r:id="rId123" xr:uid="{00000000-0004-0000-0100-00007A000000}"/>
    <hyperlink ref="L279" r:id="rId124" xr:uid="{00000000-0004-0000-0100-00007B000000}"/>
    <hyperlink ref="L280" r:id="rId125" xr:uid="{00000000-0004-0000-0100-00007C000000}"/>
    <hyperlink ref="L281" r:id="rId126" xr:uid="{00000000-0004-0000-0100-00007D000000}"/>
    <hyperlink ref="L282" r:id="rId127" xr:uid="{00000000-0004-0000-0100-00007E000000}"/>
    <hyperlink ref="L283" r:id="rId128" xr:uid="{00000000-0004-0000-0100-00007F000000}"/>
    <hyperlink ref="L284" r:id="rId129" xr:uid="{00000000-0004-0000-0100-000080000000}"/>
    <hyperlink ref="L285" r:id="rId130" xr:uid="{00000000-0004-0000-0100-000081000000}"/>
    <hyperlink ref="L286" r:id="rId131" xr:uid="{00000000-0004-0000-0100-000082000000}"/>
    <hyperlink ref="L287" r:id="rId132" xr:uid="{00000000-0004-0000-0100-000083000000}"/>
    <hyperlink ref="L288" r:id="rId133" xr:uid="{00000000-0004-0000-0100-000084000000}"/>
    <hyperlink ref="L289" r:id="rId134" xr:uid="{00000000-0004-0000-0100-000085000000}"/>
    <hyperlink ref="L290" r:id="rId135" xr:uid="{00000000-0004-0000-0100-000086000000}"/>
    <hyperlink ref="L291" r:id="rId136" xr:uid="{00000000-0004-0000-0100-000087000000}"/>
    <hyperlink ref="L292" r:id="rId137" xr:uid="{00000000-0004-0000-0100-000088000000}"/>
    <hyperlink ref="L293" r:id="rId138" xr:uid="{00000000-0004-0000-0100-000089000000}"/>
    <hyperlink ref="L294" r:id="rId139" xr:uid="{00000000-0004-0000-0100-00008A000000}"/>
    <hyperlink ref="L295" r:id="rId140" xr:uid="{00000000-0004-0000-0100-00008B000000}"/>
    <hyperlink ref="L296" r:id="rId141" xr:uid="{00000000-0004-0000-0100-00008C000000}"/>
    <hyperlink ref="L297" r:id="rId142" xr:uid="{00000000-0004-0000-0100-00008D000000}"/>
    <hyperlink ref="L298" r:id="rId143" xr:uid="{00000000-0004-0000-0100-00008E000000}"/>
    <hyperlink ref="L299" r:id="rId144" xr:uid="{00000000-0004-0000-0100-00008F000000}"/>
    <hyperlink ref="L300" r:id="rId145" xr:uid="{00000000-0004-0000-0100-000090000000}"/>
    <hyperlink ref="L301" r:id="rId146" xr:uid="{00000000-0004-0000-0100-000091000000}"/>
    <hyperlink ref="L302" r:id="rId147" xr:uid="{00000000-0004-0000-0100-000092000000}"/>
    <hyperlink ref="L303" r:id="rId148" xr:uid="{00000000-0004-0000-0100-000093000000}"/>
    <hyperlink ref="L304" r:id="rId149" xr:uid="{00000000-0004-0000-0100-000094000000}"/>
    <hyperlink ref="L305" r:id="rId150" xr:uid="{00000000-0004-0000-0100-000095000000}"/>
    <hyperlink ref="L306" r:id="rId151" xr:uid="{00000000-0004-0000-0100-000096000000}"/>
    <hyperlink ref="L307" r:id="rId152" xr:uid="{00000000-0004-0000-0100-000097000000}"/>
    <hyperlink ref="L308" r:id="rId153" xr:uid="{00000000-0004-0000-0100-000098000000}"/>
    <hyperlink ref="L309" r:id="rId154" xr:uid="{00000000-0004-0000-0100-000099000000}"/>
    <hyperlink ref="L310" r:id="rId155" xr:uid="{00000000-0004-0000-0100-00009A000000}"/>
    <hyperlink ref="L311" r:id="rId156" xr:uid="{00000000-0004-0000-0100-00009B000000}"/>
    <hyperlink ref="L312" r:id="rId157" xr:uid="{00000000-0004-0000-0100-00009C000000}"/>
    <hyperlink ref="L313" r:id="rId158" xr:uid="{00000000-0004-0000-0100-00009D000000}"/>
    <hyperlink ref="L314" r:id="rId159" xr:uid="{00000000-0004-0000-0100-00009E000000}"/>
    <hyperlink ref="L315" r:id="rId160" xr:uid="{00000000-0004-0000-0100-00009F000000}"/>
    <hyperlink ref="L316" r:id="rId161" xr:uid="{00000000-0004-0000-0100-0000A0000000}"/>
    <hyperlink ref="L317" r:id="rId162" xr:uid="{00000000-0004-0000-0100-0000A1000000}"/>
    <hyperlink ref="L318" r:id="rId163" xr:uid="{00000000-0004-0000-0100-0000A2000000}"/>
    <hyperlink ref="L319" r:id="rId164" xr:uid="{00000000-0004-0000-0100-0000A3000000}"/>
    <hyperlink ref="L323" r:id="rId165" xr:uid="{00000000-0004-0000-0100-0000A4000000}"/>
    <hyperlink ref="L324" r:id="rId166" xr:uid="{00000000-0004-0000-0100-0000A5000000}"/>
    <hyperlink ref="L325" r:id="rId167" xr:uid="{00000000-0004-0000-0100-0000A6000000}"/>
    <hyperlink ref="L326" r:id="rId168" xr:uid="{00000000-0004-0000-0100-0000A7000000}"/>
    <hyperlink ref="L327" r:id="rId169" xr:uid="{00000000-0004-0000-0100-0000A8000000}"/>
    <hyperlink ref="L328" r:id="rId170" xr:uid="{00000000-0004-0000-0100-0000A9000000}"/>
    <hyperlink ref="L329" r:id="rId171" xr:uid="{00000000-0004-0000-0100-0000AA000000}"/>
    <hyperlink ref="L330" r:id="rId172" xr:uid="{00000000-0004-0000-0100-0000AB000000}"/>
    <hyperlink ref="L331" r:id="rId173" xr:uid="{00000000-0004-0000-0100-0000AC000000}"/>
    <hyperlink ref="L332" r:id="rId174" xr:uid="{00000000-0004-0000-0100-0000AD000000}"/>
    <hyperlink ref="L333" r:id="rId175" xr:uid="{00000000-0004-0000-0100-0000AE000000}"/>
    <hyperlink ref="L334" r:id="rId176" xr:uid="{00000000-0004-0000-0100-0000AF000000}"/>
    <hyperlink ref="L335" r:id="rId177" xr:uid="{00000000-0004-0000-0100-0000B0000000}"/>
    <hyperlink ref="L336" r:id="rId178" xr:uid="{00000000-0004-0000-0100-0000B1000000}"/>
    <hyperlink ref="L337" r:id="rId179" xr:uid="{00000000-0004-0000-0100-0000B2000000}"/>
    <hyperlink ref="L338" r:id="rId180" xr:uid="{00000000-0004-0000-0100-0000B3000000}"/>
    <hyperlink ref="L339" r:id="rId181" xr:uid="{00000000-0004-0000-0100-0000B4000000}"/>
    <hyperlink ref="L340" r:id="rId182" xr:uid="{00000000-0004-0000-0100-0000B5000000}"/>
    <hyperlink ref="L341" r:id="rId183" xr:uid="{00000000-0004-0000-0100-0000B6000000}"/>
    <hyperlink ref="L342" r:id="rId184" xr:uid="{00000000-0004-0000-0100-0000B7000000}"/>
    <hyperlink ref="L343" r:id="rId185" xr:uid="{00000000-0004-0000-0100-0000B8000000}"/>
    <hyperlink ref="L344" r:id="rId186" xr:uid="{00000000-0004-0000-0100-0000B9000000}"/>
    <hyperlink ref="L345" r:id="rId187" xr:uid="{00000000-0004-0000-0100-0000BA000000}"/>
    <hyperlink ref="L346" r:id="rId188" xr:uid="{00000000-0004-0000-0100-0000BB000000}"/>
    <hyperlink ref="L347" r:id="rId189" xr:uid="{00000000-0004-0000-0100-0000BC000000}"/>
    <hyperlink ref="L348" r:id="rId190" xr:uid="{00000000-0004-0000-0100-0000BD000000}"/>
    <hyperlink ref="L349" r:id="rId191" xr:uid="{00000000-0004-0000-0100-0000BE000000}"/>
    <hyperlink ref="L350" r:id="rId192" xr:uid="{00000000-0004-0000-0100-0000BF000000}"/>
    <hyperlink ref="L351" r:id="rId193" xr:uid="{00000000-0004-0000-0100-0000C0000000}"/>
    <hyperlink ref="L352" r:id="rId194" xr:uid="{00000000-0004-0000-0100-0000C1000000}"/>
    <hyperlink ref="L353" r:id="rId195" xr:uid="{00000000-0004-0000-0100-0000C2000000}"/>
    <hyperlink ref="L354" r:id="rId196" xr:uid="{00000000-0004-0000-0100-0000C3000000}"/>
    <hyperlink ref="L355" r:id="rId197" xr:uid="{00000000-0004-0000-0100-0000C4000000}"/>
    <hyperlink ref="L356" r:id="rId198" xr:uid="{00000000-0004-0000-0100-0000C5000000}"/>
    <hyperlink ref="L357" r:id="rId199" xr:uid="{00000000-0004-0000-0100-0000C6000000}"/>
    <hyperlink ref="L358" r:id="rId200" xr:uid="{00000000-0004-0000-0100-0000C7000000}"/>
    <hyperlink ref="L359" r:id="rId201" xr:uid="{00000000-0004-0000-0100-0000C8000000}"/>
    <hyperlink ref="L360" r:id="rId202" xr:uid="{00000000-0004-0000-0100-0000C9000000}"/>
    <hyperlink ref="L361" r:id="rId203" xr:uid="{00000000-0004-0000-0100-0000CA000000}"/>
    <hyperlink ref="L362" r:id="rId204" xr:uid="{00000000-0004-0000-0100-0000CB000000}"/>
    <hyperlink ref="L363" r:id="rId205" xr:uid="{00000000-0004-0000-0100-0000CC000000}"/>
    <hyperlink ref="L364" r:id="rId206" xr:uid="{00000000-0004-0000-0100-0000CD000000}"/>
    <hyperlink ref="L365" r:id="rId207" xr:uid="{00000000-0004-0000-0100-0000CE000000}"/>
    <hyperlink ref="L366" r:id="rId208" xr:uid="{00000000-0004-0000-0100-0000CF000000}"/>
    <hyperlink ref="L367" r:id="rId209" xr:uid="{00000000-0004-0000-0100-0000D0000000}"/>
    <hyperlink ref="L368" r:id="rId210" xr:uid="{00000000-0004-0000-0100-0000D1000000}"/>
    <hyperlink ref="L369" r:id="rId211" xr:uid="{00000000-0004-0000-0100-0000D2000000}"/>
    <hyperlink ref="L370" r:id="rId212" xr:uid="{00000000-0004-0000-0100-0000D3000000}"/>
    <hyperlink ref="L371" r:id="rId213" xr:uid="{00000000-0004-0000-0100-0000D4000000}"/>
    <hyperlink ref="L372" r:id="rId214" xr:uid="{00000000-0004-0000-0100-0000D5000000}"/>
    <hyperlink ref="L373" r:id="rId215" xr:uid="{00000000-0004-0000-0100-0000D6000000}"/>
    <hyperlink ref="L374" r:id="rId216" xr:uid="{00000000-0004-0000-0100-0000D7000000}"/>
    <hyperlink ref="L375" r:id="rId217" xr:uid="{00000000-0004-0000-0100-0000D8000000}"/>
    <hyperlink ref="L376" r:id="rId218" xr:uid="{00000000-0004-0000-0100-0000D9000000}"/>
    <hyperlink ref="L377" r:id="rId219" xr:uid="{00000000-0004-0000-0100-0000DA000000}"/>
    <hyperlink ref="L378" r:id="rId220" xr:uid="{00000000-0004-0000-0100-0000DB000000}"/>
    <hyperlink ref="L379" r:id="rId221" xr:uid="{00000000-0004-0000-0100-0000DC000000}"/>
    <hyperlink ref="L380" r:id="rId222" xr:uid="{00000000-0004-0000-0100-0000DD000000}"/>
    <hyperlink ref="L383" r:id="rId223" xr:uid="{00000000-0004-0000-0100-0000DE000000}"/>
    <hyperlink ref="L384" r:id="rId224" xr:uid="{00000000-0004-0000-0100-0000DF000000}"/>
    <hyperlink ref="L385" r:id="rId225" xr:uid="{00000000-0004-0000-0100-0000E0000000}"/>
    <hyperlink ref="L386" r:id="rId226" xr:uid="{00000000-0004-0000-0100-0000E1000000}"/>
    <hyperlink ref="L387" r:id="rId227" xr:uid="{00000000-0004-0000-0100-0000E2000000}"/>
    <hyperlink ref="L388" r:id="rId228" xr:uid="{00000000-0004-0000-0100-0000E3000000}"/>
    <hyperlink ref="L389" r:id="rId229" xr:uid="{00000000-0004-0000-0100-0000E4000000}"/>
    <hyperlink ref="L390" r:id="rId230" xr:uid="{00000000-0004-0000-0100-0000E5000000}"/>
    <hyperlink ref="L391" r:id="rId231" xr:uid="{00000000-0004-0000-0100-0000E6000000}"/>
    <hyperlink ref="L392" r:id="rId232" xr:uid="{00000000-0004-0000-0100-0000E7000000}"/>
    <hyperlink ref="L393" r:id="rId233" xr:uid="{00000000-0004-0000-0100-0000E8000000}"/>
    <hyperlink ref="L394" r:id="rId234" xr:uid="{00000000-0004-0000-0100-0000E9000000}"/>
    <hyperlink ref="L395" r:id="rId235" xr:uid="{00000000-0004-0000-0100-0000EA000000}"/>
    <hyperlink ref="L396" r:id="rId236" xr:uid="{00000000-0004-0000-0100-0000EB000000}"/>
    <hyperlink ref="L397" r:id="rId237" xr:uid="{00000000-0004-0000-0100-0000EC000000}"/>
    <hyperlink ref="L398" r:id="rId238" xr:uid="{00000000-0004-0000-0100-0000ED000000}"/>
    <hyperlink ref="L399" r:id="rId239" xr:uid="{00000000-0004-0000-0100-0000EE000000}"/>
    <hyperlink ref="L400" r:id="rId240" xr:uid="{00000000-0004-0000-0100-0000EF000000}"/>
    <hyperlink ref="L401" r:id="rId241" xr:uid="{00000000-0004-0000-0100-0000F0000000}"/>
    <hyperlink ref="L402" r:id="rId242" xr:uid="{00000000-0004-0000-0100-0000F1000000}"/>
    <hyperlink ref="L403" r:id="rId243" xr:uid="{00000000-0004-0000-0100-0000F2000000}"/>
    <hyperlink ref="L404" r:id="rId244" xr:uid="{00000000-0004-0000-0100-0000F3000000}"/>
    <hyperlink ref="L405" r:id="rId245" xr:uid="{00000000-0004-0000-0100-0000F4000000}"/>
    <hyperlink ref="L406" r:id="rId246" xr:uid="{00000000-0004-0000-0100-0000F5000000}"/>
    <hyperlink ref="L407" r:id="rId247" xr:uid="{00000000-0004-0000-0100-0000F6000000}"/>
    <hyperlink ref="L408" r:id="rId248" xr:uid="{00000000-0004-0000-0100-0000F7000000}"/>
    <hyperlink ref="L409" r:id="rId249" xr:uid="{00000000-0004-0000-0100-0000F8000000}"/>
    <hyperlink ref="L410" r:id="rId250" xr:uid="{00000000-0004-0000-0100-0000F9000000}"/>
    <hyperlink ref="L411" r:id="rId251" xr:uid="{00000000-0004-0000-0100-0000FA000000}"/>
    <hyperlink ref="L412" r:id="rId252" xr:uid="{00000000-0004-0000-0100-0000FB000000}"/>
    <hyperlink ref="L413" r:id="rId253" xr:uid="{00000000-0004-0000-0100-0000FC000000}"/>
    <hyperlink ref="L414" r:id="rId254" xr:uid="{00000000-0004-0000-0100-0000FD000000}"/>
    <hyperlink ref="L415" r:id="rId255" xr:uid="{00000000-0004-0000-0100-0000FE000000}"/>
    <hyperlink ref="L416" r:id="rId256" xr:uid="{00000000-0004-0000-0100-0000FF000000}"/>
    <hyperlink ref="L417" r:id="rId257" xr:uid="{00000000-0004-0000-0100-000000010000}"/>
    <hyperlink ref="L418" r:id="rId258" xr:uid="{00000000-0004-0000-0100-000001010000}"/>
    <hyperlink ref="L419" r:id="rId259" xr:uid="{00000000-0004-0000-0100-000002010000}"/>
    <hyperlink ref="L420" r:id="rId260" xr:uid="{00000000-0004-0000-0100-000003010000}"/>
    <hyperlink ref="L421" r:id="rId261" xr:uid="{00000000-0004-0000-0100-000004010000}"/>
    <hyperlink ref="L422" r:id="rId262" xr:uid="{00000000-0004-0000-0100-000005010000}"/>
    <hyperlink ref="L423" r:id="rId263" xr:uid="{00000000-0004-0000-0100-000006010000}"/>
    <hyperlink ref="L424" r:id="rId264" xr:uid="{00000000-0004-0000-0100-000007010000}"/>
    <hyperlink ref="L425" r:id="rId265" xr:uid="{00000000-0004-0000-0100-000008010000}"/>
    <hyperlink ref="L426" r:id="rId266" xr:uid="{00000000-0004-0000-0100-000009010000}"/>
    <hyperlink ref="L427" r:id="rId267" xr:uid="{00000000-0004-0000-0100-00000A010000}"/>
    <hyperlink ref="L428" r:id="rId268" xr:uid="{00000000-0004-0000-0100-00000B010000}"/>
    <hyperlink ref="L429" r:id="rId269" xr:uid="{00000000-0004-0000-0100-00000C010000}"/>
    <hyperlink ref="L430" r:id="rId270" xr:uid="{00000000-0004-0000-0100-00000D010000}"/>
    <hyperlink ref="L431" r:id="rId271" xr:uid="{00000000-0004-0000-0100-00000E010000}"/>
    <hyperlink ref="L432" r:id="rId272" xr:uid="{00000000-0004-0000-0100-00000F010000}"/>
    <hyperlink ref="L433" r:id="rId273" xr:uid="{00000000-0004-0000-0100-000010010000}"/>
    <hyperlink ref="L434" r:id="rId274" xr:uid="{00000000-0004-0000-0100-000011010000}"/>
    <hyperlink ref="L435" r:id="rId275" xr:uid="{00000000-0004-0000-0100-000012010000}"/>
    <hyperlink ref="L436" r:id="rId276" xr:uid="{00000000-0004-0000-0100-000013010000}"/>
    <hyperlink ref="L439" r:id="rId277" xr:uid="{00000000-0004-0000-0100-000014010000}"/>
    <hyperlink ref="L440" r:id="rId278" xr:uid="{00000000-0004-0000-0100-000015010000}"/>
    <hyperlink ref="L441" r:id="rId279" xr:uid="{00000000-0004-0000-0100-000016010000}"/>
    <hyperlink ref="L442" r:id="rId280" xr:uid="{00000000-0004-0000-0100-000017010000}"/>
    <hyperlink ref="L443" r:id="rId281" xr:uid="{00000000-0004-0000-0100-000018010000}"/>
    <hyperlink ref="L444" r:id="rId282" xr:uid="{00000000-0004-0000-0100-000019010000}"/>
    <hyperlink ref="L445" r:id="rId283" xr:uid="{00000000-0004-0000-0100-00001A010000}"/>
    <hyperlink ref="L446" r:id="rId284" xr:uid="{00000000-0004-0000-0100-00001B010000}"/>
    <hyperlink ref="L447" r:id="rId285" xr:uid="{00000000-0004-0000-0100-00001C010000}"/>
    <hyperlink ref="L448" r:id="rId286" xr:uid="{00000000-0004-0000-0100-00001D010000}"/>
    <hyperlink ref="L449" r:id="rId287" xr:uid="{00000000-0004-0000-0100-00001E010000}"/>
    <hyperlink ref="L450" r:id="rId288" xr:uid="{00000000-0004-0000-0100-00001F010000}"/>
    <hyperlink ref="L451" r:id="rId289" xr:uid="{00000000-0004-0000-0100-000020010000}"/>
    <hyperlink ref="L452" r:id="rId290" xr:uid="{00000000-0004-0000-0100-000021010000}"/>
    <hyperlink ref="L453" r:id="rId291" xr:uid="{00000000-0004-0000-0100-000022010000}"/>
    <hyperlink ref="L454" r:id="rId292" xr:uid="{00000000-0004-0000-0100-000023010000}"/>
    <hyperlink ref="L455" r:id="rId293" xr:uid="{00000000-0004-0000-0100-000024010000}"/>
    <hyperlink ref="L456" r:id="rId294" xr:uid="{00000000-0004-0000-0100-000025010000}"/>
    <hyperlink ref="L457" r:id="rId295" xr:uid="{00000000-0004-0000-0100-000026010000}"/>
    <hyperlink ref="L458" r:id="rId296" xr:uid="{00000000-0004-0000-0100-000027010000}"/>
    <hyperlink ref="L459" r:id="rId297" xr:uid="{00000000-0004-0000-0100-000028010000}"/>
    <hyperlink ref="L460" r:id="rId298" xr:uid="{00000000-0004-0000-0100-000029010000}"/>
    <hyperlink ref="L461" r:id="rId299" xr:uid="{00000000-0004-0000-0100-00002A010000}"/>
    <hyperlink ref="L462" r:id="rId300" xr:uid="{00000000-0004-0000-0100-00002B010000}"/>
    <hyperlink ref="L463" r:id="rId301" xr:uid="{00000000-0004-0000-0100-00002C010000}"/>
    <hyperlink ref="L464" r:id="rId302" xr:uid="{00000000-0004-0000-0100-00002D010000}"/>
    <hyperlink ref="L465" r:id="rId303" xr:uid="{00000000-0004-0000-0100-00002E010000}"/>
    <hyperlink ref="L466" r:id="rId304" xr:uid="{00000000-0004-0000-0100-00002F010000}"/>
    <hyperlink ref="L467" r:id="rId305" xr:uid="{00000000-0004-0000-0100-000030010000}"/>
    <hyperlink ref="L468" r:id="rId306" xr:uid="{00000000-0004-0000-0100-000031010000}"/>
    <hyperlink ref="L469" r:id="rId307" xr:uid="{00000000-0004-0000-0100-000032010000}"/>
    <hyperlink ref="L470" r:id="rId308" xr:uid="{00000000-0004-0000-0100-000033010000}"/>
    <hyperlink ref="L471" r:id="rId309" xr:uid="{00000000-0004-0000-0100-000034010000}"/>
    <hyperlink ref="L472" r:id="rId310" xr:uid="{00000000-0004-0000-0100-000035010000}"/>
    <hyperlink ref="L473" r:id="rId311" xr:uid="{00000000-0004-0000-0100-000036010000}"/>
    <hyperlink ref="L474" r:id="rId312" xr:uid="{00000000-0004-0000-0100-000037010000}"/>
    <hyperlink ref="L475" r:id="rId313" xr:uid="{00000000-0004-0000-0100-000038010000}"/>
    <hyperlink ref="L476" r:id="rId314" xr:uid="{00000000-0004-0000-0100-000039010000}"/>
    <hyperlink ref="L477" r:id="rId315" xr:uid="{00000000-0004-0000-0100-00003A010000}"/>
    <hyperlink ref="L478" r:id="rId316" xr:uid="{00000000-0004-0000-0100-00003B010000}"/>
    <hyperlink ref="L479" r:id="rId317" xr:uid="{00000000-0004-0000-0100-00003C010000}"/>
    <hyperlink ref="L480" r:id="rId318" xr:uid="{00000000-0004-0000-0100-00003D010000}"/>
    <hyperlink ref="L481" r:id="rId319" xr:uid="{00000000-0004-0000-0100-00003E010000}"/>
    <hyperlink ref="L482" r:id="rId320" xr:uid="{00000000-0004-0000-0100-00003F010000}"/>
    <hyperlink ref="L483" r:id="rId321" xr:uid="{00000000-0004-0000-0100-000040010000}"/>
    <hyperlink ref="L484" r:id="rId322" xr:uid="{00000000-0004-0000-0100-000041010000}"/>
    <hyperlink ref="L485" r:id="rId323" xr:uid="{00000000-0004-0000-0100-000042010000}"/>
    <hyperlink ref="L486" r:id="rId324" xr:uid="{00000000-0004-0000-0100-000043010000}"/>
    <hyperlink ref="L487" r:id="rId325" xr:uid="{00000000-0004-0000-0100-000044010000}"/>
    <hyperlink ref="L488" r:id="rId326" xr:uid="{00000000-0004-0000-0100-000045010000}"/>
    <hyperlink ref="L489" r:id="rId327" xr:uid="{00000000-0004-0000-0100-000046010000}"/>
    <hyperlink ref="L490" r:id="rId328" xr:uid="{00000000-0004-0000-0100-000047010000}"/>
    <hyperlink ref="L493" r:id="rId329" xr:uid="{00000000-0004-0000-0100-000048010000}"/>
    <hyperlink ref="L494" r:id="rId330" xr:uid="{00000000-0004-0000-0100-000049010000}"/>
    <hyperlink ref="L495" r:id="rId331" xr:uid="{00000000-0004-0000-0100-00004A010000}"/>
    <hyperlink ref="L496" r:id="rId332" xr:uid="{00000000-0004-0000-0100-00004B010000}"/>
    <hyperlink ref="L497" r:id="rId333" xr:uid="{00000000-0004-0000-0100-00004C010000}"/>
    <hyperlink ref="L498" r:id="rId334" xr:uid="{00000000-0004-0000-0100-00004D010000}"/>
    <hyperlink ref="L499" r:id="rId335" xr:uid="{00000000-0004-0000-0100-00004E010000}"/>
    <hyperlink ref="L500" r:id="rId336" xr:uid="{00000000-0004-0000-0100-00004F010000}"/>
    <hyperlink ref="L501" r:id="rId337" xr:uid="{00000000-0004-0000-0100-000050010000}"/>
    <hyperlink ref="L502" r:id="rId338" xr:uid="{00000000-0004-0000-0100-000051010000}"/>
    <hyperlink ref="L503" r:id="rId339" xr:uid="{00000000-0004-0000-0100-000052010000}"/>
    <hyperlink ref="L504" r:id="rId340" xr:uid="{00000000-0004-0000-0100-000053010000}"/>
    <hyperlink ref="L505" r:id="rId341" xr:uid="{00000000-0004-0000-0100-000054010000}"/>
    <hyperlink ref="L506" r:id="rId342" xr:uid="{00000000-0004-0000-0100-000055010000}"/>
    <hyperlink ref="L507" r:id="rId343" xr:uid="{00000000-0004-0000-0100-000056010000}"/>
    <hyperlink ref="L508" r:id="rId344" xr:uid="{00000000-0004-0000-0100-000057010000}"/>
    <hyperlink ref="L509" r:id="rId345" xr:uid="{00000000-0004-0000-0100-000058010000}"/>
    <hyperlink ref="L510" r:id="rId346" xr:uid="{00000000-0004-0000-0100-000059010000}"/>
    <hyperlink ref="L511" r:id="rId347" xr:uid="{00000000-0004-0000-0100-00005A010000}"/>
    <hyperlink ref="L512" r:id="rId348" xr:uid="{00000000-0004-0000-0100-00005B010000}"/>
    <hyperlink ref="L513" r:id="rId349" xr:uid="{00000000-0004-0000-0100-00005C010000}"/>
    <hyperlink ref="L514" r:id="rId350" xr:uid="{00000000-0004-0000-0100-00005D010000}"/>
    <hyperlink ref="L515" r:id="rId351" xr:uid="{00000000-0004-0000-0100-00005E010000}"/>
    <hyperlink ref="L516" r:id="rId352" xr:uid="{00000000-0004-0000-0100-00005F010000}"/>
    <hyperlink ref="L517" r:id="rId353" xr:uid="{00000000-0004-0000-0100-000060010000}"/>
    <hyperlink ref="L518" r:id="rId354" xr:uid="{00000000-0004-0000-0100-000061010000}"/>
    <hyperlink ref="L519" r:id="rId355" xr:uid="{00000000-0004-0000-0100-000062010000}"/>
    <hyperlink ref="L520" r:id="rId356" xr:uid="{00000000-0004-0000-0100-000063010000}"/>
    <hyperlink ref="M520" r:id="rId357" xr:uid="{00000000-0004-0000-0100-000064010000}"/>
    <hyperlink ref="L521" r:id="rId358" xr:uid="{00000000-0004-0000-0100-000065010000}"/>
    <hyperlink ref="L522" r:id="rId359" xr:uid="{00000000-0004-0000-0100-000066010000}"/>
    <hyperlink ref="L523" r:id="rId360" xr:uid="{00000000-0004-0000-0100-000067010000}"/>
    <hyperlink ref="L524" r:id="rId361" xr:uid="{00000000-0004-0000-0100-000068010000}"/>
    <hyperlink ref="L525" r:id="rId362" xr:uid="{00000000-0004-0000-0100-000069010000}"/>
    <hyperlink ref="L526" r:id="rId363" xr:uid="{00000000-0004-0000-0100-00006A010000}"/>
    <hyperlink ref="L527" r:id="rId364" xr:uid="{00000000-0004-0000-0100-00006B010000}"/>
    <hyperlink ref="L528" r:id="rId365" xr:uid="{00000000-0004-0000-0100-00006C010000}"/>
    <hyperlink ref="L529" r:id="rId366" xr:uid="{00000000-0004-0000-0100-00006D010000}"/>
    <hyperlink ref="L530" r:id="rId367" xr:uid="{00000000-0004-0000-0100-00006E010000}"/>
    <hyperlink ref="L531" r:id="rId368" xr:uid="{00000000-0004-0000-0100-00006F010000}"/>
    <hyperlink ref="L535" r:id="rId369" xr:uid="{00000000-0004-0000-0100-000070010000}"/>
    <hyperlink ref="L536" r:id="rId370" xr:uid="{00000000-0004-0000-0100-000071010000}"/>
    <hyperlink ref="L537" r:id="rId371" xr:uid="{00000000-0004-0000-0100-000072010000}"/>
    <hyperlink ref="L538" r:id="rId372" xr:uid="{00000000-0004-0000-0100-000073010000}"/>
    <hyperlink ref="L539" r:id="rId373" xr:uid="{00000000-0004-0000-0100-000074010000}"/>
    <hyperlink ref="L540" r:id="rId374" xr:uid="{00000000-0004-0000-0100-000075010000}"/>
    <hyperlink ref="L541" r:id="rId375" xr:uid="{00000000-0004-0000-0100-000076010000}"/>
    <hyperlink ref="L542" r:id="rId376" xr:uid="{00000000-0004-0000-0100-000077010000}"/>
    <hyperlink ref="L543" r:id="rId377" xr:uid="{00000000-0004-0000-0100-000078010000}"/>
    <hyperlink ref="L544" r:id="rId378" xr:uid="{00000000-0004-0000-0100-000079010000}"/>
    <hyperlink ref="L545" r:id="rId379" xr:uid="{00000000-0004-0000-0100-00007A010000}"/>
    <hyperlink ref="L546" r:id="rId380" xr:uid="{00000000-0004-0000-0100-00007B010000}"/>
    <hyperlink ref="L547" r:id="rId381" xr:uid="{00000000-0004-0000-0100-00007C010000}"/>
    <hyperlink ref="L548" r:id="rId382" xr:uid="{00000000-0004-0000-0100-00007D010000}"/>
    <hyperlink ref="L549" r:id="rId383" xr:uid="{00000000-0004-0000-0100-00007E010000}"/>
    <hyperlink ref="L550" r:id="rId384" xr:uid="{00000000-0004-0000-0100-00007F010000}"/>
    <hyperlink ref="L551" r:id="rId385" xr:uid="{00000000-0004-0000-0100-000080010000}"/>
    <hyperlink ref="L552" r:id="rId386" xr:uid="{00000000-0004-0000-0100-000081010000}"/>
    <hyperlink ref="L553" r:id="rId387" xr:uid="{00000000-0004-0000-0100-000082010000}"/>
    <hyperlink ref="L554" r:id="rId388" xr:uid="{00000000-0004-0000-0100-000083010000}"/>
    <hyperlink ref="L555" r:id="rId389" xr:uid="{00000000-0004-0000-0100-000084010000}"/>
    <hyperlink ref="L556" r:id="rId390" xr:uid="{00000000-0004-0000-0100-000085010000}"/>
    <hyperlink ref="L557" r:id="rId391" xr:uid="{00000000-0004-0000-0100-000086010000}"/>
    <hyperlink ref="L558" r:id="rId392" xr:uid="{00000000-0004-0000-0100-000087010000}"/>
    <hyperlink ref="L559" r:id="rId393" xr:uid="{00000000-0004-0000-0100-000088010000}"/>
    <hyperlink ref="L560" r:id="rId394" xr:uid="{00000000-0004-0000-0100-000089010000}"/>
    <hyperlink ref="L561" r:id="rId395" xr:uid="{00000000-0004-0000-0100-00008A010000}"/>
    <hyperlink ref="L562" r:id="rId396" xr:uid="{00000000-0004-0000-0100-00008B010000}"/>
    <hyperlink ref="L563" r:id="rId397" xr:uid="{00000000-0004-0000-0100-00008C010000}"/>
    <hyperlink ref="L564" r:id="rId398" xr:uid="{00000000-0004-0000-0100-00008D010000}"/>
    <hyperlink ref="L565" r:id="rId399" xr:uid="{00000000-0004-0000-0100-00008E010000}"/>
    <hyperlink ref="L566" r:id="rId400" xr:uid="{00000000-0004-0000-0100-00008F010000}"/>
    <hyperlink ref="L567" r:id="rId401" xr:uid="{00000000-0004-0000-0100-000090010000}"/>
    <hyperlink ref="L568" r:id="rId402" xr:uid="{00000000-0004-0000-0100-000091010000}"/>
    <hyperlink ref="L569" r:id="rId403" xr:uid="{00000000-0004-0000-0100-000092010000}"/>
    <hyperlink ref="L570" r:id="rId404" xr:uid="{00000000-0004-0000-0100-000093010000}"/>
    <hyperlink ref="L571" r:id="rId405" xr:uid="{00000000-0004-0000-0100-000094010000}"/>
    <hyperlink ref="L572" r:id="rId406" xr:uid="{00000000-0004-0000-0100-000095010000}"/>
    <hyperlink ref="L573" r:id="rId407" xr:uid="{00000000-0004-0000-0100-000096010000}"/>
    <hyperlink ref="L574" r:id="rId408" xr:uid="{00000000-0004-0000-0100-000097010000}"/>
    <hyperlink ref="L575" r:id="rId409" xr:uid="{00000000-0004-0000-0100-000098010000}"/>
    <hyperlink ref="L576" r:id="rId410" xr:uid="{00000000-0004-0000-0100-000099010000}"/>
    <hyperlink ref="L577" r:id="rId411" xr:uid="{00000000-0004-0000-0100-00009A010000}"/>
    <hyperlink ref="L578" r:id="rId412" xr:uid="{00000000-0004-0000-0100-00009B010000}"/>
    <hyperlink ref="L579" r:id="rId413" xr:uid="{00000000-0004-0000-0100-00009C010000}"/>
    <hyperlink ref="L580" r:id="rId414" xr:uid="{00000000-0004-0000-0100-00009D010000}"/>
    <hyperlink ref="L581" r:id="rId415" xr:uid="{00000000-0004-0000-0100-00009E010000}"/>
    <hyperlink ref="L582" r:id="rId416" xr:uid="{00000000-0004-0000-0100-00009F010000}"/>
    <hyperlink ref="L583" r:id="rId417" xr:uid="{00000000-0004-0000-0100-0000A0010000}"/>
    <hyperlink ref="L584" r:id="rId418" xr:uid="{00000000-0004-0000-0100-0000A1010000}"/>
    <hyperlink ref="L585" r:id="rId419" xr:uid="{00000000-0004-0000-0100-0000A2010000}"/>
    <hyperlink ref="L589" r:id="rId420" xr:uid="{00000000-0004-0000-0100-0000A3010000}"/>
    <hyperlink ref="L590" r:id="rId421" xr:uid="{00000000-0004-0000-0100-0000A4010000}"/>
    <hyperlink ref="L591" r:id="rId422" xr:uid="{00000000-0004-0000-0100-0000A5010000}"/>
    <hyperlink ref="L592" r:id="rId423" xr:uid="{00000000-0004-0000-0100-0000A6010000}"/>
    <hyperlink ref="L593" r:id="rId424" xr:uid="{00000000-0004-0000-0100-0000A7010000}"/>
    <hyperlink ref="L594" r:id="rId425" xr:uid="{00000000-0004-0000-0100-0000A8010000}"/>
    <hyperlink ref="L595" r:id="rId426" xr:uid="{00000000-0004-0000-0100-0000A9010000}"/>
    <hyperlink ref="L596" r:id="rId427" xr:uid="{00000000-0004-0000-0100-0000AA010000}"/>
    <hyperlink ref="L597" r:id="rId428" xr:uid="{00000000-0004-0000-0100-0000AB010000}"/>
    <hyperlink ref="L598" r:id="rId429" xr:uid="{00000000-0004-0000-0100-0000AC010000}"/>
    <hyperlink ref="L599" r:id="rId430" xr:uid="{00000000-0004-0000-0100-0000AD010000}"/>
    <hyperlink ref="L600" r:id="rId431" xr:uid="{00000000-0004-0000-0100-0000AE010000}"/>
    <hyperlink ref="L601" r:id="rId432" xr:uid="{00000000-0004-0000-0100-0000AF010000}"/>
    <hyperlink ref="L602" r:id="rId433" xr:uid="{00000000-0004-0000-0100-0000B0010000}"/>
    <hyperlink ref="L603" r:id="rId434" xr:uid="{00000000-0004-0000-0100-0000B1010000}"/>
    <hyperlink ref="L604" r:id="rId435" xr:uid="{00000000-0004-0000-0100-0000B2010000}"/>
    <hyperlink ref="L605" r:id="rId436" xr:uid="{00000000-0004-0000-0100-0000B3010000}"/>
    <hyperlink ref="L606" r:id="rId437" xr:uid="{00000000-0004-0000-0100-0000B4010000}"/>
    <hyperlink ref="L607" r:id="rId438" xr:uid="{00000000-0004-0000-0100-0000B5010000}"/>
    <hyperlink ref="L608" r:id="rId439" xr:uid="{00000000-0004-0000-0100-0000B6010000}"/>
    <hyperlink ref="L609" r:id="rId440" xr:uid="{00000000-0004-0000-0100-0000B7010000}"/>
    <hyperlink ref="L610" r:id="rId441" xr:uid="{00000000-0004-0000-0100-0000B8010000}"/>
    <hyperlink ref="L611" r:id="rId442" xr:uid="{00000000-0004-0000-0100-0000B9010000}"/>
    <hyperlink ref="L612" r:id="rId443" xr:uid="{00000000-0004-0000-0100-0000BA010000}"/>
    <hyperlink ref="L613" r:id="rId444" xr:uid="{00000000-0004-0000-0100-0000BB010000}"/>
    <hyperlink ref="L614" r:id="rId445" xr:uid="{00000000-0004-0000-0100-0000B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Recurrent Expenditure</vt:lpstr>
      <vt:lpstr>MDAs Development 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Christine K</cp:lastModifiedBy>
  <dcterms:created xsi:type="dcterms:W3CDTF">2025-01-21T05:55:15Z</dcterms:created>
  <dcterms:modified xsi:type="dcterms:W3CDTF">2026-03-18T18:12:22Z</dcterms:modified>
</cp:coreProperties>
</file>